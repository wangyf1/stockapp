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yan\Desktop\NBgupiao\stockapp\client\excel\maotai\"/>
    </mc:Choice>
  </mc:AlternateContent>
  <xr:revisionPtr revIDLastSave="0" documentId="13_ncr:1_{98DB6538-7135-4E8C-9B50-47C36DE47D90}" xr6:coauthVersionLast="45" xr6:coauthVersionMax="46" xr10:uidLastSave="{00000000-0000-0000-0000-000000000000}"/>
  <bookViews>
    <workbookView xWindow="390" yWindow="2250" windowWidth="28410" windowHeight="11835" tabRatio="837" activeTab="8" xr2:uid="{00000000-000D-0000-FFFF-FFFF00000000}"/>
  </bookViews>
  <sheets>
    <sheet name="main_original" sheetId="89" r:id="rId1"/>
    <sheet name="debt_original" sheetId="88" r:id="rId2"/>
    <sheet name="cash_original" sheetId="87" r:id="rId3"/>
    <sheet name="benefit_original" sheetId="82" r:id="rId4"/>
    <sheet name="main" sheetId="85" r:id="rId5"/>
    <sheet name="debt" sheetId="84" r:id="rId6"/>
    <sheet name="cash" sheetId="83" r:id="rId7"/>
    <sheet name="benefit" sheetId="86" r:id="rId8"/>
    <sheet name="keyData" sheetId="60" r:id="rId9"/>
    <sheet name="Charts Here" sheetId="23" r:id="rId10"/>
    <sheet name="code" sheetId="73" r:id="rId11"/>
    <sheet name="Instruction" sheetId="1" r:id="rId1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73" l="1"/>
  <c r="B2" i="73"/>
  <c r="C2" i="73" l="1"/>
  <c r="D2" i="73"/>
  <c r="E2" i="73"/>
  <c r="F2" i="73"/>
  <c r="G2" i="73"/>
  <c r="H2" i="73"/>
  <c r="I2" i="73"/>
  <c r="J2" i="73"/>
  <c r="K2" i="73"/>
  <c r="L2" i="73"/>
  <c r="M2" i="73"/>
  <c r="N2" i="73"/>
  <c r="O2" i="73"/>
  <c r="P2" i="73"/>
  <c r="Q2" i="73"/>
  <c r="R2" i="73"/>
  <c r="S2" i="73"/>
  <c r="T2" i="73"/>
  <c r="U2" i="73"/>
  <c r="V2" i="73"/>
  <c r="W2" i="73"/>
  <c r="X2" i="73"/>
  <c r="Y2" i="73"/>
  <c r="Z2" i="73"/>
  <c r="AA2" i="73"/>
  <c r="AB2" i="73"/>
  <c r="AC2" i="73"/>
  <c r="B3" i="73"/>
  <c r="C3" i="73"/>
  <c r="D3" i="73"/>
  <c r="E3" i="73"/>
  <c r="F3" i="73"/>
  <c r="G3" i="73"/>
  <c r="H3" i="73"/>
  <c r="I3" i="73"/>
  <c r="J3" i="73"/>
  <c r="K3" i="73"/>
  <c r="L3" i="73"/>
  <c r="M3" i="73"/>
  <c r="N3" i="73"/>
  <c r="O3" i="73"/>
  <c r="P3" i="73"/>
  <c r="Q3" i="73"/>
  <c r="R3" i="73"/>
  <c r="S3" i="73"/>
  <c r="T3" i="73"/>
  <c r="U3" i="73"/>
  <c r="V3" i="73"/>
  <c r="W3" i="73"/>
  <c r="X3" i="73"/>
  <c r="Y3" i="73"/>
  <c r="Z3" i="73"/>
  <c r="AA3" i="73"/>
  <c r="AB3" i="73"/>
  <c r="AC3" i="73"/>
  <c r="B4" i="73"/>
  <c r="C4" i="73"/>
  <c r="D4" i="73"/>
  <c r="E4" i="73"/>
  <c r="F4" i="73"/>
  <c r="G4" i="73"/>
  <c r="H4" i="73"/>
  <c r="I4" i="73"/>
  <c r="J4" i="73"/>
  <c r="K4" i="73"/>
  <c r="L4" i="73"/>
  <c r="M4" i="73"/>
  <c r="N4" i="73"/>
  <c r="O4" i="73"/>
  <c r="P4" i="73"/>
  <c r="Q4" i="73"/>
  <c r="R4" i="73"/>
  <c r="S4" i="73"/>
  <c r="T4" i="73"/>
  <c r="U4" i="73"/>
  <c r="V4" i="73"/>
  <c r="W4" i="73"/>
  <c r="X4" i="73"/>
  <c r="Y4" i="73"/>
  <c r="Z4" i="73"/>
  <c r="AA4" i="73"/>
  <c r="AB4" i="73"/>
  <c r="AC4" i="73"/>
  <c r="B5" i="73"/>
  <c r="C5" i="73"/>
  <c r="D5" i="73"/>
  <c r="E5" i="73"/>
  <c r="F5" i="73"/>
  <c r="G5" i="73"/>
  <c r="H5" i="73"/>
  <c r="I5" i="73"/>
  <c r="J5" i="73"/>
  <c r="K5" i="73"/>
  <c r="L5" i="73"/>
  <c r="M5" i="73"/>
  <c r="N5" i="73"/>
  <c r="O5" i="73"/>
  <c r="P5" i="73"/>
  <c r="Q5" i="73"/>
  <c r="R5" i="73"/>
  <c r="S5" i="73"/>
  <c r="T5" i="73"/>
  <c r="U5" i="73"/>
  <c r="V5" i="73"/>
  <c r="W5" i="73"/>
  <c r="X5" i="73"/>
  <c r="Y5" i="73"/>
  <c r="Z5" i="73"/>
  <c r="AA5" i="73"/>
  <c r="AB5" i="73"/>
  <c r="AC5" i="73"/>
  <c r="B6" i="73"/>
  <c r="C6" i="73"/>
  <c r="D6" i="73"/>
  <c r="E6" i="73"/>
  <c r="F6" i="73"/>
  <c r="G6" i="73"/>
  <c r="H6" i="73"/>
  <c r="I6" i="73"/>
  <c r="J6" i="73"/>
  <c r="K6" i="73"/>
  <c r="L6" i="73"/>
  <c r="M6" i="73"/>
  <c r="N6" i="73"/>
  <c r="O6" i="73"/>
  <c r="P6" i="73"/>
  <c r="Q6" i="73"/>
  <c r="R6" i="73"/>
  <c r="S6" i="73"/>
  <c r="T6" i="73"/>
  <c r="U6" i="73"/>
  <c r="V6" i="73"/>
  <c r="W6" i="73"/>
  <c r="X6" i="73"/>
  <c r="Y6" i="73"/>
  <c r="Z6" i="73"/>
  <c r="AA6" i="73"/>
  <c r="AB6" i="73"/>
  <c r="AC6" i="73"/>
  <c r="C7" i="73"/>
  <c r="D7" i="73"/>
  <c r="E7" i="73"/>
  <c r="F7" i="73"/>
  <c r="G7" i="73"/>
  <c r="H7" i="73"/>
  <c r="I7" i="73"/>
  <c r="J7" i="73"/>
  <c r="K7" i="73"/>
  <c r="L7" i="73"/>
  <c r="M7" i="73"/>
  <c r="N7" i="73"/>
  <c r="O7" i="73"/>
  <c r="P7" i="73"/>
  <c r="Q7" i="73"/>
  <c r="R7" i="73"/>
  <c r="S7" i="73"/>
  <c r="T7" i="73"/>
  <c r="U7" i="73"/>
  <c r="V7" i="73"/>
  <c r="W7" i="73"/>
  <c r="X7" i="73"/>
  <c r="Y7" i="73"/>
  <c r="Z7" i="73"/>
  <c r="AA7" i="73"/>
  <c r="AB7" i="73"/>
  <c r="AC7" i="73"/>
  <c r="B8" i="73"/>
  <c r="C8" i="73"/>
  <c r="D8" i="73"/>
  <c r="E8" i="73"/>
  <c r="F8" i="73"/>
  <c r="G8" i="73"/>
  <c r="H8" i="73"/>
  <c r="I8" i="73"/>
  <c r="J8" i="73"/>
  <c r="K8" i="73"/>
  <c r="L8" i="73"/>
  <c r="M8" i="73"/>
  <c r="N8" i="73"/>
  <c r="O8" i="73"/>
  <c r="P8" i="73"/>
  <c r="Q8" i="73"/>
  <c r="R8" i="73"/>
  <c r="S8" i="73"/>
  <c r="T8" i="73"/>
  <c r="U8" i="73"/>
  <c r="V8" i="73"/>
  <c r="W8" i="73"/>
  <c r="X8" i="73"/>
  <c r="Y8" i="73"/>
  <c r="Z8" i="73"/>
  <c r="AA8" i="73"/>
  <c r="AB8" i="73"/>
  <c r="AC8" i="73"/>
  <c r="B9" i="73"/>
  <c r="C9" i="73"/>
  <c r="D9" i="73"/>
  <c r="E9" i="73"/>
  <c r="F9" i="73"/>
  <c r="G9" i="73"/>
  <c r="H9" i="73"/>
  <c r="I9" i="73"/>
  <c r="J9" i="73"/>
  <c r="K9" i="73"/>
  <c r="L9" i="73"/>
  <c r="M9" i="73"/>
  <c r="N9" i="73"/>
  <c r="O9" i="73"/>
  <c r="P9" i="73"/>
  <c r="Q9" i="73"/>
  <c r="R9" i="73"/>
  <c r="S9" i="73"/>
  <c r="T9" i="73"/>
  <c r="U9" i="73"/>
  <c r="V9" i="73"/>
  <c r="W9" i="73"/>
  <c r="X9" i="73"/>
  <c r="Y9" i="73"/>
  <c r="Z9" i="73"/>
  <c r="AA9" i="73"/>
  <c r="AB9" i="73"/>
  <c r="AC9" i="73"/>
  <c r="B10" i="73"/>
  <c r="C10" i="73"/>
  <c r="D10" i="73"/>
  <c r="E10" i="73"/>
  <c r="F10" i="73"/>
  <c r="G10" i="73"/>
  <c r="H10" i="73"/>
  <c r="I10" i="73"/>
  <c r="J10" i="73"/>
  <c r="K10" i="73"/>
  <c r="L10" i="73"/>
  <c r="M10" i="73"/>
  <c r="N10" i="73"/>
  <c r="O10" i="73"/>
  <c r="P10" i="73"/>
  <c r="Q10" i="73"/>
  <c r="R10" i="73"/>
  <c r="S10" i="73"/>
  <c r="T10" i="73"/>
  <c r="U10" i="73"/>
  <c r="V10" i="73"/>
  <c r="W10" i="73"/>
  <c r="X10" i="73"/>
  <c r="Y10" i="73"/>
  <c r="Z10" i="73"/>
  <c r="AA10" i="73"/>
  <c r="AB10" i="73"/>
  <c r="AC10" i="73"/>
  <c r="B11" i="73"/>
  <c r="C11" i="73"/>
  <c r="D11" i="73"/>
  <c r="E11" i="73"/>
  <c r="F11" i="73"/>
  <c r="G11" i="73"/>
  <c r="H11" i="73"/>
  <c r="I11" i="73"/>
  <c r="J11" i="73"/>
  <c r="K11" i="73"/>
  <c r="L11" i="73"/>
  <c r="M11" i="73"/>
  <c r="N11" i="73"/>
  <c r="O11" i="73"/>
  <c r="P11" i="73"/>
  <c r="Q11" i="73"/>
  <c r="R11" i="73"/>
  <c r="S11" i="73"/>
  <c r="T11" i="73"/>
  <c r="U11" i="73"/>
  <c r="V11" i="73"/>
  <c r="W11" i="73"/>
  <c r="X11" i="73"/>
  <c r="Y11" i="73"/>
  <c r="Z11" i="73"/>
  <c r="AA11" i="73"/>
  <c r="AB11" i="73"/>
  <c r="AC11" i="73"/>
  <c r="B12" i="73"/>
  <c r="C12" i="73"/>
  <c r="D12" i="73"/>
  <c r="E12" i="73"/>
  <c r="F12" i="73"/>
  <c r="G12" i="73"/>
  <c r="H12" i="73"/>
  <c r="I12" i="73"/>
  <c r="J12" i="73"/>
  <c r="K12" i="73"/>
  <c r="L12" i="73"/>
  <c r="M12" i="73"/>
  <c r="N12" i="73"/>
  <c r="O12" i="73"/>
  <c r="P12" i="73"/>
  <c r="Q12" i="73"/>
  <c r="R12" i="73"/>
  <c r="S12" i="73"/>
  <c r="T12" i="73"/>
  <c r="U12" i="73"/>
  <c r="V12" i="73"/>
  <c r="W12" i="73"/>
  <c r="X12" i="73"/>
  <c r="Y12" i="73"/>
  <c r="Z12" i="73"/>
  <c r="AA12" i="73"/>
  <c r="AB12" i="73"/>
  <c r="AC12" i="73"/>
  <c r="B13" i="73"/>
  <c r="C13" i="73"/>
  <c r="D13" i="73"/>
  <c r="E13" i="73"/>
  <c r="F13" i="73"/>
  <c r="G13" i="73"/>
  <c r="H13" i="73"/>
  <c r="I13" i="73"/>
  <c r="J13" i="73"/>
  <c r="K13" i="73"/>
  <c r="L13" i="73"/>
  <c r="M13" i="73"/>
  <c r="N13" i="73"/>
  <c r="O13" i="73"/>
  <c r="P13" i="73"/>
  <c r="Q13" i="73"/>
  <c r="R13" i="73"/>
  <c r="S13" i="73"/>
  <c r="T13" i="73"/>
  <c r="U13" i="73"/>
  <c r="V13" i="73"/>
  <c r="W13" i="73"/>
  <c r="X13" i="73"/>
  <c r="Y13" i="73"/>
  <c r="Z13" i="73"/>
  <c r="AA13" i="73"/>
  <c r="AB13" i="73"/>
  <c r="AC13" i="73"/>
  <c r="B14" i="73"/>
  <c r="C14" i="73"/>
  <c r="D14" i="73"/>
  <c r="E14" i="73"/>
  <c r="F14" i="73"/>
  <c r="G14" i="73"/>
  <c r="H14" i="73"/>
  <c r="I14" i="73"/>
  <c r="J14" i="73"/>
  <c r="K14" i="73"/>
  <c r="L14" i="73"/>
  <c r="M14" i="73"/>
  <c r="N14" i="73"/>
  <c r="O14" i="73"/>
  <c r="P14" i="73"/>
  <c r="Q14" i="73"/>
  <c r="R14" i="73"/>
  <c r="S14" i="73"/>
  <c r="T14" i="73"/>
  <c r="U14" i="73"/>
  <c r="V14" i="73"/>
  <c r="W14" i="73"/>
  <c r="X14" i="73"/>
  <c r="Y14" i="73"/>
  <c r="Z14" i="73"/>
  <c r="AA14" i="73"/>
  <c r="AB14" i="73"/>
  <c r="AC14" i="73"/>
  <c r="B15" i="73"/>
  <c r="C15" i="73"/>
  <c r="D15" i="73"/>
  <c r="E15" i="73"/>
  <c r="F15" i="73"/>
  <c r="G15" i="73"/>
  <c r="H15" i="73"/>
  <c r="I15" i="73"/>
  <c r="J15" i="73"/>
  <c r="K15" i="73"/>
  <c r="L15" i="73"/>
  <c r="M15" i="73"/>
  <c r="N15" i="73"/>
  <c r="O15" i="73"/>
  <c r="P15" i="73"/>
  <c r="Q15" i="73"/>
  <c r="R15" i="73"/>
  <c r="S15" i="73"/>
  <c r="T15" i="73"/>
  <c r="U15" i="73"/>
  <c r="V15" i="73"/>
  <c r="W15" i="73"/>
  <c r="X15" i="73"/>
  <c r="Y15" i="73"/>
  <c r="Z15" i="73"/>
  <c r="AA15" i="73"/>
  <c r="AB15" i="73"/>
  <c r="AC15" i="73"/>
  <c r="B16" i="73"/>
  <c r="C16" i="73"/>
  <c r="D16" i="73"/>
  <c r="E16" i="73"/>
  <c r="F16" i="73"/>
  <c r="G16" i="73"/>
  <c r="H16" i="73"/>
  <c r="I16" i="73"/>
  <c r="J16" i="73"/>
  <c r="K16" i="73"/>
  <c r="L16" i="73"/>
  <c r="M16" i="73"/>
  <c r="N16" i="73"/>
  <c r="O16" i="73"/>
  <c r="P16" i="73"/>
  <c r="Q16" i="73"/>
  <c r="R16" i="73"/>
  <c r="S16" i="73"/>
  <c r="T16" i="73"/>
  <c r="U16" i="73"/>
  <c r="V16" i="73"/>
  <c r="W16" i="73"/>
  <c r="X16" i="73"/>
  <c r="Y16" i="73"/>
  <c r="Z16" i="73"/>
  <c r="AA16" i="73"/>
  <c r="AB16" i="73"/>
  <c r="AC16" i="73"/>
  <c r="B19" i="73"/>
  <c r="C19" i="73"/>
  <c r="D19" i="73"/>
  <c r="E19" i="73"/>
  <c r="F19" i="73"/>
  <c r="G19" i="73"/>
  <c r="H19" i="73"/>
  <c r="I19" i="73"/>
  <c r="J19" i="73"/>
  <c r="K19" i="73"/>
  <c r="L19" i="73"/>
  <c r="B20" i="73"/>
  <c r="C20" i="73"/>
  <c r="D20" i="73"/>
  <c r="E20" i="73"/>
  <c r="F20" i="73"/>
  <c r="G20" i="73"/>
  <c r="H20" i="73"/>
  <c r="I20" i="73"/>
  <c r="J20" i="73"/>
  <c r="K20" i="73"/>
  <c r="L20" i="73"/>
  <c r="B21" i="73"/>
  <c r="C21" i="73"/>
  <c r="D21" i="73"/>
  <c r="E21" i="73"/>
  <c r="F21" i="73"/>
  <c r="G21" i="73"/>
  <c r="H21" i="73"/>
  <c r="I21" i="73"/>
  <c r="J21" i="73"/>
  <c r="K21" i="73"/>
  <c r="L21" i="73"/>
  <c r="B22" i="73"/>
  <c r="C22" i="73"/>
  <c r="D22" i="73"/>
  <c r="E22" i="73"/>
  <c r="F22" i="73"/>
  <c r="G22" i="73"/>
  <c r="H22" i="73"/>
  <c r="I22" i="73"/>
  <c r="J22" i="73"/>
  <c r="K22" i="73"/>
  <c r="L22" i="73"/>
  <c r="B23" i="73"/>
  <c r="C23" i="73"/>
  <c r="D23" i="73"/>
  <c r="E23" i="73"/>
  <c r="F23" i="73"/>
  <c r="G23" i="73"/>
  <c r="H23" i="73"/>
  <c r="I23" i="73"/>
  <c r="J23" i="73"/>
  <c r="K23" i="73"/>
  <c r="L23" i="73"/>
  <c r="B24" i="73"/>
  <c r="C24" i="73"/>
  <c r="D24" i="73"/>
  <c r="E24" i="73"/>
  <c r="F24" i="73"/>
  <c r="G24" i="73"/>
  <c r="H24" i="73"/>
  <c r="I24" i="73"/>
  <c r="J24" i="73"/>
  <c r="K24" i="73"/>
  <c r="L24" i="73"/>
  <c r="B25" i="73"/>
  <c r="C25" i="73"/>
  <c r="D25" i="73"/>
  <c r="E25" i="73"/>
  <c r="F25" i="73"/>
  <c r="G25" i="73"/>
  <c r="H25" i="73"/>
  <c r="I25" i="73"/>
  <c r="J25" i="73"/>
  <c r="K25" i="73"/>
  <c r="L25" i="73"/>
  <c r="B26" i="73"/>
  <c r="C26" i="73"/>
  <c r="D26" i="73"/>
  <c r="E26" i="73"/>
  <c r="F26" i="73"/>
  <c r="G26" i="73"/>
  <c r="H26" i="73"/>
  <c r="I26" i="73"/>
  <c r="J26" i="73"/>
  <c r="K26" i="73"/>
  <c r="L26" i="73"/>
  <c r="B27" i="73"/>
  <c r="C27" i="73"/>
  <c r="D27" i="73"/>
  <c r="E27" i="73"/>
  <c r="F27" i="73"/>
  <c r="G27" i="73"/>
  <c r="H27" i="73"/>
  <c r="I27" i="73"/>
  <c r="J27" i="73"/>
  <c r="K27" i="73"/>
  <c r="L27" i="73"/>
  <c r="B28" i="73"/>
  <c r="C28" i="73"/>
  <c r="D28" i="73"/>
  <c r="E28" i="73"/>
  <c r="F28" i="73"/>
  <c r="G28" i="73"/>
  <c r="H28" i="73"/>
  <c r="I28" i="73"/>
  <c r="J28" i="73"/>
  <c r="K28" i="73"/>
  <c r="L28" i="73"/>
  <c r="B29" i="73"/>
  <c r="C29" i="73"/>
  <c r="D29" i="73"/>
  <c r="E29" i="73"/>
  <c r="F29" i="73"/>
  <c r="G29" i="73"/>
  <c r="H29" i="73"/>
  <c r="I29" i="73"/>
  <c r="J29" i="73"/>
  <c r="K29" i="73"/>
  <c r="L29" i="73"/>
  <c r="B31" i="73"/>
  <c r="C31" i="73"/>
  <c r="D31" i="73"/>
  <c r="E31" i="73"/>
  <c r="F31" i="73"/>
  <c r="G31" i="73"/>
  <c r="H31" i="73"/>
  <c r="I31" i="73"/>
  <c r="J31" i="73"/>
  <c r="K31" i="73"/>
  <c r="L31" i="73"/>
  <c r="M31" i="73"/>
  <c r="N31" i="73"/>
  <c r="O31" i="73"/>
  <c r="P31" i="73"/>
  <c r="Q31" i="73"/>
  <c r="R31" i="73"/>
  <c r="S31" i="73"/>
  <c r="T31" i="73"/>
  <c r="U31" i="73"/>
  <c r="V31" i="73"/>
  <c r="W31" i="73"/>
  <c r="X31" i="73"/>
  <c r="Y31" i="73"/>
  <c r="Z31" i="73"/>
  <c r="AA31" i="73"/>
  <c r="AB31" i="73"/>
  <c r="AC31" i="73"/>
  <c r="B32" i="73"/>
  <c r="C32" i="73"/>
  <c r="D32" i="73"/>
  <c r="E32" i="73"/>
  <c r="F32" i="73"/>
  <c r="G32" i="73"/>
  <c r="H32" i="73"/>
  <c r="I32" i="73"/>
  <c r="J32" i="73"/>
  <c r="K32" i="73"/>
  <c r="L32" i="73"/>
  <c r="M32" i="73"/>
  <c r="N32" i="73"/>
  <c r="O32" i="73"/>
  <c r="P32" i="73"/>
  <c r="Q32" i="73"/>
  <c r="R32" i="73"/>
  <c r="S32" i="73"/>
  <c r="T32" i="73"/>
  <c r="U32" i="73"/>
  <c r="V32" i="73"/>
  <c r="W32" i="73"/>
  <c r="X32" i="73"/>
  <c r="Y32" i="73"/>
  <c r="Z32" i="73"/>
  <c r="AA32" i="73"/>
  <c r="AB32" i="73"/>
  <c r="AC32" i="73"/>
  <c r="AD63" i="73"/>
  <c r="AC63" i="73"/>
  <c r="AB63" i="73"/>
  <c r="AA63" i="73"/>
  <c r="Z63" i="73"/>
  <c r="Y63" i="73"/>
  <c r="X63" i="73"/>
  <c r="W63" i="73"/>
  <c r="V63" i="73"/>
  <c r="U63" i="73"/>
  <c r="T63" i="73"/>
  <c r="S63" i="73"/>
  <c r="R63" i="73"/>
  <c r="Q63" i="73"/>
  <c r="P63" i="73"/>
  <c r="O63" i="73"/>
  <c r="N63" i="73"/>
  <c r="M63" i="73"/>
  <c r="L63" i="73"/>
  <c r="K63" i="73"/>
  <c r="J63" i="73"/>
  <c r="I63" i="73"/>
  <c r="H63" i="73"/>
  <c r="G63" i="73"/>
  <c r="F63" i="73"/>
  <c r="E63" i="73"/>
  <c r="D63" i="73"/>
  <c r="C63" i="73"/>
  <c r="B63" i="73"/>
  <c r="M29" i="73" s="1"/>
  <c r="AD62" i="73"/>
  <c r="AC62" i="73"/>
  <c r="AB62" i="73"/>
  <c r="AA62" i="73"/>
  <c r="Z62" i="73"/>
  <c r="Y62" i="73"/>
  <c r="X62" i="73"/>
  <c r="W62" i="73"/>
  <c r="V62" i="73"/>
  <c r="U62" i="73"/>
  <c r="T62" i="73"/>
  <c r="S62" i="73"/>
  <c r="R62" i="73"/>
  <c r="Q62" i="73"/>
  <c r="P62" i="73"/>
  <c r="O62" i="73"/>
  <c r="N62" i="73"/>
  <c r="M62" i="73"/>
  <c r="L62" i="73"/>
  <c r="K62" i="73"/>
  <c r="J62" i="73"/>
  <c r="I62" i="73"/>
  <c r="H62" i="73"/>
  <c r="G62" i="73"/>
  <c r="F62" i="73"/>
  <c r="E62" i="73"/>
  <c r="D62" i="73"/>
  <c r="C62" i="73"/>
  <c r="B62" i="73"/>
  <c r="M28" i="73" s="1"/>
  <c r="AD61" i="73"/>
  <c r="AC61" i="73"/>
  <c r="AB61" i="73"/>
  <c r="AA61" i="73"/>
  <c r="Z61" i="73"/>
  <c r="Y61" i="73"/>
  <c r="X61" i="73"/>
  <c r="W61" i="73"/>
  <c r="V61" i="73"/>
  <c r="U61" i="73"/>
  <c r="T61" i="73"/>
  <c r="S61" i="73"/>
  <c r="R61" i="73"/>
  <c r="Q61" i="73"/>
  <c r="P61" i="73"/>
  <c r="O61" i="73"/>
  <c r="N61" i="73"/>
  <c r="M61" i="73"/>
  <c r="L61" i="73"/>
  <c r="K61" i="73"/>
  <c r="J61" i="73"/>
  <c r="I61" i="73"/>
  <c r="H61" i="73"/>
  <c r="G61" i="73"/>
  <c r="F61" i="73"/>
  <c r="E61" i="73"/>
  <c r="D61" i="73"/>
  <c r="C61" i="73"/>
  <c r="B61" i="73"/>
  <c r="M27" i="73" s="1"/>
  <c r="AD60" i="73"/>
  <c r="AC60" i="73"/>
  <c r="AB60" i="73"/>
  <c r="AA60" i="73"/>
  <c r="Z60" i="73"/>
  <c r="Y60" i="73"/>
  <c r="X60" i="73"/>
  <c r="W60" i="73"/>
  <c r="V60" i="73"/>
  <c r="U60" i="73"/>
  <c r="T60" i="73"/>
  <c r="S60" i="73"/>
  <c r="R60" i="73"/>
  <c r="Q60" i="73"/>
  <c r="P60" i="73"/>
  <c r="O60" i="73"/>
  <c r="N60" i="73"/>
  <c r="M60" i="73"/>
  <c r="L60" i="73"/>
  <c r="K60" i="73"/>
  <c r="J60" i="73"/>
  <c r="I60" i="73"/>
  <c r="H60" i="73"/>
  <c r="G60" i="73"/>
  <c r="F60" i="73"/>
  <c r="E60" i="73"/>
  <c r="D60" i="73"/>
  <c r="C60" i="73"/>
  <c r="B60" i="73"/>
  <c r="M26" i="73" s="1"/>
  <c r="AD59" i="73"/>
  <c r="AC59" i="73"/>
  <c r="AB59" i="73"/>
  <c r="AA59" i="73"/>
  <c r="Z59" i="73"/>
  <c r="Y59" i="73"/>
  <c r="X59" i="73"/>
  <c r="W59" i="73"/>
  <c r="V59" i="73"/>
  <c r="U59" i="73"/>
  <c r="T59" i="73"/>
  <c r="S59" i="73"/>
  <c r="R59" i="73"/>
  <c r="Q59" i="73"/>
  <c r="P59" i="73"/>
  <c r="O59" i="73"/>
  <c r="N59" i="73"/>
  <c r="M59" i="73"/>
  <c r="L59" i="73"/>
  <c r="K59" i="73"/>
  <c r="J59" i="73"/>
  <c r="I59" i="73"/>
  <c r="H59" i="73"/>
  <c r="G59" i="73"/>
  <c r="F59" i="73"/>
  <c r="E59" i="73"/>
  <c r="D59" i="73"/>
  <c r="C59" i="73"/>
  <c r="B59" i="73"/>
  <c r="M25" i="73" s="1"/>
  <c r="AD58" i="73"/>
  <c r="AC58" i="73"/>
  <c r="AB58" i="73"/>
  <c r="AA58" i="73"/>
  <c r="Z58" i="73"/>
  <c r="Y58" i="73"/>
  <c r="X58" i="73"/>
  <c r="W58" i="73"/>
  <c r="V58" i="73"/>
  <c r="U58" i="73"/>
  <c r="T58" i="73"/>
  <c r="S58" i="73"/>
  <c r="R58" i="73"/>
  <c r="Q58" i="73"/>
  <c r="P58" i="73"/>
  <c r="O58" i="73"/>
  <c r="N58" i="73"/>
  <c r="M58" i="73"/>
  <c r="L58" i="73"/>
  <c r="K58" i="73"/>
  <c r="J58" i="73"/>
  <c r="I58" i="73"/>
  <c r="H58" i="73"/>
  <c r="G58" i="73"/>
  <c r="F58" i="73"/>
  <c r="E58" i="73"/>
  <c r="D58" i="73"/>
  <c r="C58" i="73"/>
  <c r="B58" i="73"/>
  <c r="M24" i="73" s="1"/>
  <c r="AD57" i="73"/>
  <c r="AC57" i="73"/>
  <c r="AB57" i="73"/>
  <c r="AA57" i="73"/>
  <c r="Z57" i="73"/>
  <c r="Y57" i="73"/>
  <c r="X57" i="73"/>
  <c r="W57" i="73"/>
  <c r="V57" i="73"/>
  <c r="U57" i="73"/>
  <c r="T57" i="73"/>
  <c r="S57" i="73"/>
  <c r="R57" i="73"/>
  <c r="Q57" i="73"/>
  <c r="P57" i="73"/>
  <c r="O57" i="73"/>
  <c r="N57" i="73"/>
  <c r="M57" i="73"/>
  <c r="L57" i="73"/>
  <c r="K57" i="73"/>
  <c r="J57" i="73"/>
  <c r="I57" i="73"/>
  <c r="H57" i="73"/>
  <c r="G57" i="73"/>
  <c r="F57" i="73"/>
  <c r="E57" i="73"/>
  <c r="D57" i="73"/>
  <c r="C57" i="73"/>
  <c r="B57" i="73"/>
  <c r="M23" i="73" s="1"/>
  <c r="AD56" i="73"/>
  <c r="AC56" i="73"/>
  <c r="AB56" i="73"/>
  <c r="AA56" i="73"/>
  <c r="Z56" i="73"/>
  <c r="Y56" i="73"/>
  <c r="X56" i="73"/>
  <c r="W56" i="73"/>
  <c r="V56" i="73"/>
  <c r="U56" i="73"/>
  <c r="T56" i="73"/>
  <c r="S56" i="73"/>
  <c r="R56" i="73"/>
  <c r="Q56" i="73"/>
  <c r="P56" i="73"/>
  <c r="O56" i="73"/>
  <c r="N56" i="73"/>
  <c r="M56" i="73"/>
  <c r="L56" i="73"/>
  <c r="K56" i="73"/>
  <c r="J56" i="73"/>
  <c r="I56" i="73"/>
  <c r="H56" i="73"/>
  <c r="G56" i="73"/>
  <c r="F56" i="73"/>
  <c r="E56" i="73"/>
  <c r="D56" i="73"/>
  <c r="C56" i="73"/>
  <c r="B56" i="73"/>
  <c r="M22" i="73" s="1"/>
  <c r="AD55" i="73"/>
  <c r="AC55" i="73"/>
  <c r="AB55" i="73"/>
  <c r="AA55" i="73"/>
  <c r="Z55" i="73"/>
  <c r="Y55" i="73"/>
  <c r="X55" i="73"/>
  <c r="W55" i="73"/>
  <c r="V55" i="73"/>
  <c r="U55" i="73"/>
  <c r="T55" i="73"/>
  <c r="S55" i="73"/>
  <c r="R55" i="73"/>
  <c r="Q55" i="73"/>
  <c r="P55" i="73"/>
  <c r="O55" i="73"/>
  <c r="N55" i="73"/>
  <c r="M55" i="73"/>
  <c r="L55" i="73"/>
  <c r="K55" i="73"/>
  <c r="J55" i="73"/>
  <c r="I55" i="73"/>
  <c r="H55" i="73"/>
  <c r="G55" i="73"/>
  <c r="F55" i="73"/>
  <c r="E55" i="73"/>
  <c r="D55" i="73"/>
  <c r="C55" i="73"/>
  <c r="B55" i="73"/>
  <c r="M21" i="73" s="1"/>
  <c r="AD54" i="73"/>
  <c r="AC54" i="73"/>
  <c r="AB54" i="73"/>
  <c r="AA54" i="73"/>
  <c r="Z54" i="73"/>
  <c r="Y54" i="73"/>
  <c r="X54" i="73"/>
  <c r="W54" i="73"/>
  <c r="V54" i="73"/>
  <c r="U54" i="73"/>
  <c r="T54" i="73"/>
  <c r="S54" i="73"/>
  <c r="R54" i="73"/>
  <c r="Q54" i="73"/>
  <c r="P54" i="73"/>
  <c r="O54" i="73"/>
  <c r="N54" i="73"/>
  <c r="M54" i="73"/>
  <c r="L54" i="73"/>
  <c r="K54" i="73"/>
  <c r="J54" i="73"/>
  <c r="I54" i="73"/>
  <c r="H54" i="73"/>
  <c r="G54" i="73"/>
  <c r="F54" i="73"/>
  <c r="E54" i="73"/>
  <c r="D54" i="73"/>
  <c r="C54" i="73"/>
  <c r="B54" i="73"/>
  <c r="M20" i="73" s="1"/>
  <c r="AD53" i="73"/>
  <c r="AC53" i="73"/>
  <c r="AB53" i="73"/>
  <c r="AA53" i="73"/>
  <c r="Z53" i="73"/>
  <c r="Y53" i="73"/>
  <c r="X53" i="73"/>
  <c r="W53" i="73"/>
  <c r="V53" i="73"/>
  <c r="U53" i="73"/>
  <c r="T53" i="73"/>
  <c r="S53" i="73"/>
  <c r="R53" i="73"/>
  <c r="Q53" i="73"/>
  <c r="P53" i="73"/>
  <c r="O53" i="73"/>
  <c r="N53" i="73"/>
  <c r="M53" i="73"/>
  <c r="L53" i="73"/>
  <c r="K53" i="73"/>
  <c r="J53" i="73"/>
  <c r="I53" i="73"/>
  <c r="H53" i="73"/>
  <c r="G53" i="73"/>
  <c r="F53" i="73"/>
  <c r="E53" i="73"/>
  <c r="D53" i="73"/>
  <c r="C53" i="73"/>
  <c r="B53" i="73"/>
  <c r="M19" i="73" s="1"/>
  <c r="AD50" i="73"/>
  <c r="AC50" i="73"/>
  <c r="AB50" i="73"/>
  <c r="AA50" i="73"/>
  <c r="Z50" i="73"/>
  <c r="Y50" i="73"/>
  <c r="X50" i="73"/>
  <c r="W50" i="73"/>
  <c r="V50" i="73"/>
  <c r="U50" i="73"/>
  <c r="T50" i="73"/>
  <c r="S50" i="73"/>
  <c r="R50" i="73"/>
  <c r="Q50" i="73"/>
  <c r="P50" i="73"/>
  <c r="O50" i="73"/>
  <c r="N50" i="73"/>
  <c r="M50" i="73"/>
  <c r="L50" i="73"/>
  <c r="K50" i="73"/>
  <c r="J50" i="73"/>
  <c r="I50" i="73"/>
  <c r="H50" i="73"/>
  <c r="G50" i="73"/>
  <c r="F50" i="73"/>
  <c r="E50" i="73"/>
  <c r="D50" i="73"/>
  <c r="C50" i="73"/>
  <c r="B50" i="73"/>
  <c r="AD16" i="73" s="1"/>
  <c r="AD49" i="73"/>
  <c r="AC49" i="73"/>
  <c r="AB49" i="73"/>
  <c r="AA49" i="73"/>
  <c r="Z49" i="73"/>
  <c r="Y49" i="73"/>
  <c r="X49" i="73"/>
  <c r="W49" i="73"/>
  <c r="V49" i="73"/>
  <c r="U49" i="73"/>
  <c r="T49" i="73"/>
  <c r="S49" i="73"/>
  <c r="R49" i="73"/>
  <c r="Q49" i="73"/>
  <c r="P49" i="73"/>
  <c r="O49" i="73"/>
  <c r="N49" i="73"/>
  <c r="M49" i="73"/>
  <c r="L49" i="73"/>
  <c r="K49" i="73"/>
  <c r="J49" i="73"/>
  <c r="I49" i="73"/>
  <c r="H49" i="73"/>
  <c r="G49" i="73"/>
  <c r="F49" i="73"/>
  <c r="E49" i="73"/>
  <c r="D49" i="73"/>
  <c r="C49" i="73"/>
  <c r="B49" i="73"/>
  <c r="AD15" i="73" s="1"/>
  <c r="AD48" i="73"/>
  <c r="AC48" i="73"/>
  <c r="AB48" i="73"/>
  <c r="AA48" i="73"/>
  <c r="Z48" i="73"/>
  <c r="Y48" i="73"/>
  <c r="X48" i="73"/>
  <c r="W48" i="73"/>
  <c r="V48" i="73"/>
  <c r="U48" i="73"/>
  <c r="T48" i="73"/>
  <c r="S48" i="73"/>
  <c r="R48" i="73"/>
  <c r="Q48" i="73"/>
  <c r="P48" i="73"/>
  <c r="O48" i="73"/>
  <c r="N48" i="73"/>
  <c r="M48" i="73"/>
  <c r="L48" i="73"/>
  <c r="K48" i="73"/>
  <c r="J48" i="73"/>
  <c r="I48" i="73"/>
  <c r="H48" i="73"/>
  <c r="G48" i="73"/>
  <c r="F48" i="73"/>
  <c r="E48" i="73"/>
  <c r="D48" i="73"/>
  <c r="C48" i="73"/>
  <c r="B48" i="73"/>
  <c r="AD14" i="73" s="1"/>
  <c r="AD47" i="73"/>
  <c r="AC47" i="73"/>
  <c r="AB47" i="73"/>
  <c r="AA47" i="73"/>
  <c r="Z47" i="73"/>
  <c r="Y47" i="73"/>
  <c r="X47" i="73"/>
  <c r="W47" i="73"/>
  <c r="V47" i="73"/>
  <c r="U47" i="73"/>
  <c r="T47" i="73"/>
  <c r="S47" i="73"/>
  <c r="R47" i="73"/>
  <c r="Q47" i="73"/>
  <c r="P47" i="73"/>
  <c r="O47" i="73"/>
  <c r="N47" i="73"/>
  <c r="M47" i="73"/>
  <c r="L47" i="73"/>
  <c r="K47" i="73"/>
  <c r="J47" i="73"/>
  <c r="I47" i="73"/>
  <c r="H47" i="73"/>
  <c r="G47" i="73"/>
  <c r="F47" i="73"/>
  <c r="E47" i="73"/>
  <c r="D47" i="73"/>
  <c r="C47" i="73"/>
  <c r="B47" i="73"/>
  <c r="AD13" i="73" s="1"/>
  <c r="AD46" i="73"/>
  <c r="AC46" i="73"/>
  <c r="AB46" i="73"/>
  <c r="AA46" i="73"/>
  <c r="Z46" i="73"/>
  <c r="Y46" i="73"/>
  <c r="X46" i="73"/>
  <c r="W46" i="73"/>
  <c r="V46" i="73"/>
  <c r="U46" i="73"/>
  <c r="T46" i="73"/>
  <c r="S46" i="73"/>
  <c r="R46" i="73"/>
  <c r="Q46" i="73"/>
  <c r="P46" i="73"/>
  <c r="O46" i="73"/>
  <c r="N46" i="73"/>
  <c r="M46" i="73"/>
  <c r="L46" i="73"/>
  <c r="K46" i="73"/>
  <c r="J46" i="73"/>
  <c r="I46" i="73"/>
  <c r="H46" i="73"/>
  <c r="G46" i="73"/>
  <c r="F46" i="73"/>
  <c r="E46" i="73"/>
  <c r="D46" i="73"/>
  <c r="C46" i="73"/>
  <c r="B46" i="73"/>
  <c r="AD12" i="73" s="1"/>
  <c r="AD45" i="73"/>
  <c r="AC45" i="73"/>
  <c r="AB45" i="73"/>
  <c r="AA45" i="73"/>
  <c r="Z45" i="73"/>
  <c r="Y45" i="73"/>
  <c r="X45" i="73"/>
  <c r="W45" i="73"/>
  <c r="V45" i="73"/>
  <c r="U45" i="73"/>
  <c r="T45" i="73"/>
  <c r="S45" i="73"/>
  <c r="R45" i="73"/>
  <c r="Q45" i="73"/>
  <c r="P45" i="73"/>
  <c r="O45" i="73"/>
  <c r="N45" i="73"/>
  <c r="M45" i="73"/>
  <c r="L45" i="73"/>
  <c r="K45" i="73"/>
  <c r="J45" i="73"/>
  <c r="I45" i="73"/>
  <c r="H45" i="73"/>
  <c r="G45" i="73"/>
  <c r="F45" i="73"/>
  <c r="E45" i="73"/>
  <c r="D45" i="73"/>
  <c r="C45" i="73"/>
  <c r="B45" i="73"/>
  <c r="AD11" i="73" s="1"/>
  <c r="AD44" i="73"/>
  <c r="AC44" i="73"/>
  <c r="AB44" i="73"/>
  <c r="AA44" i="73"/>
  <c r="Z44" i="73"/>
  <c r="Y44" i="73"/>
  <c r="X44" i="73"/>
  <c r="W44" i="73"/>
  <c r="V44" i="73"/>
  <c r="U44" i="73"/>
  <c r="T44" i="73"/>
  <c r="S44" i="73"/>
  <c r="R44" i="73"/>
  <c r="Q44" i="73"/>
  <c r="P44" i="73"/>
  <c r="O44" i="73"/>
  <c r="N44" i="73"/>
  <c r="M44" i="73"/>
  <c r="L44" i="73"/>
  <c r="K44" i="73"/>
  <c r="J44" i="73"/>
  <c r="I44" i="73"/>
  <c r="H44" i="73"/>
  <c r="G44" i="73"/>
  <c r="F44" i="73"/>
  <c r="E44" i="73"/>
  <c r="D44" i="73"/>
  <c r="C44" i="73"/>
  <c r="B44" i="73"/>
  <c r="AD10" i="73" s="1"/>
  <c r="AD43" i="73"/>
  <c r="AC43" i="73"/>
  <c r="AB43" i="73"/>
  <c r="AA43" i="73"/>
  <c r="Z43" i="73"/>
  <c r="Y43" i="73"/>
  <c r="X43" i="73"/>
  <c r="W43" i="73"/>
  <c r="V43" i="73"/>
  <c r="U43" i="73"/>
  <c r="T43" i="73"/>
  <c r="S43" i="73"/>
  <c r="R43" i="73"/>
  <c r="Q43" i="73"/>
  <c r="P43" i="73"/>
  <c r="O43" i="73"/>
  <c r="N43" i="73"/>
  <c r="M43" i="73"/>
  <c r="L43" i="73"/>
  <c r="K43" i="73"/>
  <c r="J43" i="73"/>
  <c r="I43" i="73"/>
  <c r="H43" i="73"/>
  <c r="G43" i="73"/>
  <c r="F43" i="73"/>
  <c r="E43" i="73"/>
  <c r="D43" i="73"/>
  <c r="C43" i="73"/>
  <c r="B43" i="73"/>
  <c r="AD9" i="73" s="1"/>
  <c r="AD42" i="73"/>
  <c r="AC42" i="73"/>
  <c r="AB42" i="73"/>
  <c r="AA42" i="73"/>
  <c r="Z42" i="73"/>
  <c r="Y42" i="73"/>
  <c r="X42" i="73"/>
  <c r="W42" i="73"/>
  <c r="V42" i="73"/>
  <c r="U42" i="73"/>
  <c r="T42" i="73"/>
  <c r="S42" i="73"/>
  <c r="R42" i="73"/>
  <c r="Q42" i="73"/>
  <c r="P42" i="73"/>
  <c r="O42" i="73"/>
  <c r="N42" i="73"/>
  <c r="M42" i="73"/>
  <c r="L42" i="73"/>
  <c r="K42" i="73"/>
  <c r="J42" i="73"/>
  <c r="I42" i="73"/>
  <c r="H42" i="73"/>
  <c r="G42" i="73"/>
  <c r="F42" i="73"/>
  <c r="E42" i="73"/>
  <c r="D42" i="73"/>
  <c r="C42" i="73"/>
  <c r="B42" i="73"/>
  <c r="AD8" i="73" s="1"/>
  <c r="AD41" i="73"/>
  <c r="AC41" i="73"/>
  <c r="AB41" i="73"/>
  <c r="AA41" i="73"/>
  <c r="Z41" i="73"/>
  <c r="Y41" i="73"/>
  <c r="X41" i="73"/>
  <c r="W41" i="73"/>
  <c r="V41" i="73"/>
  <c r="U41" i="73"/>
  <c r="T41" i="73"/>
  <c r="S41" i="73"/>
  <c r="R41" i="73"/>
  <c r="Q41" i="73"/>
  <c r="P41" i="73"/>
  <c r="O41" i="73"/>
  <c r="N41" i="73"/>
  <c r="M41" i="73"/>
  <c r="L41" i="73"/>
  <c r="K41" i="73"/>
  <c r="J41" i="73"/>
  <c r="I41" i="73"/>
  <c r="H41" i="73"/>
  <c r="G41" i="73"/>
  <c r="F41" i="73"/>
  <c r="E41" i="73"/>
  <c r="D41" i="73"/>
  <c r="C41" i="73"/>
  <c r="B41" i="73"/>
  <c r="AD7" i="73" s="1"/>
  <c r="AD40" i="73"/>
  <c r="AC40" i="73"/>
  <c r="AB40" i="73"/>
  <c r="AA40" i="73"/>
  <c r="Z40" i="73"/>
  <c r="Y40" i="73"/>
  <c r="X40" i="73"/>
  <c r="W40" i="73"/>
  <c r="V40" i="73"/>
  <c r="U40" i="73"/>
  <c r="T40" i="73"/>
  <c r="S40" i="73"/>
  <c r="R40" i="73"/>
  <c r="Q40" i="73"/>
  <c r="P40" i="73"/>
  <c r="O40" i="73"/>
  <c r="N40" i="73"/>
  <c r="M40" i="73"/>
  <c r="L40" i="73"/>
  <c r="K40" i="73"/>
  <c r="J40" i="73"/>
  <c r="I40" i="73"/>
  <c r="H40" i="73"/>
  <c r="G40" i="73"/>
  <c r="F40" i="73"/>
  <c r="E40" i="73"/>
  <c r="D40" i="73"/>
  <c r="C40" i="73"/>
  <c r="B40" i="73"/>
  <c r="AD6" i="73" s="1"/>
  <c r="AD39" i="73"/>
  <c r="AC39" i="73"/>
  <c r="AB39" i="73"/>
  <c r="AA39" i="73"/>
  <c r="Z39" i="73"/>
  <c r="Y39" i="73"/>
  <c r="X39" i="73"/>
  <c r="W39" i="73"/>
  <c r="V39" i="73"/>
  <c r="U39" i="73"/>
  <c r="T39" i="73"/>
  <c r="T65" i="73" s="1"/>
  <c r="S39" i="73"/>
  <c r="R39" i="73"/>
  <c r="Q39" i="73"/>
  <c r="P39" i="73"/>
  <c r="O39" i="73"/>
  <c r="N39" i="73"/>
  <c r="M39" i="73"/>
  <c r="L39" i="73"/>
  <c r="K39" i="73"/>
  <c r="J39" i="73"/>
  <c r="I39" i="73"/>
  <c r="H39" i="73"/>
  <c r="G39" i="73"/>
  <c r="F39" i="73"/>
  <c r="E39" i="73"/>
  <c r="D39" i="73"/>
  <c r="D65" i="73" s="1"/>
  <c r="C39" i="73"/>
  <c r="B39" i="73"/>
  <c r="AD5" i="73" s="1"/>
  <c r="AD38" i="73"/>
  <c r="AC38" i="73"/>
  <c r="AB38" i="73"/>
  <c r="AA38" i="73"/>
  <c r="Z38" i="73"/>
  <c r="Y38" i="73"/>
  <c r="X38" i="73"/>
  <c r="W38" i="73"/>
  <c r="V38" i="73"/>
  <c r="U38" i="73"/>
  <c r="T38" i="73"/>
  <c r="S38" i="73"/>
  <c r="R38" i="73"/>
  <c r="Q38" i="73"/>
  <c r="P38" i="73"/>
  <c r="O38" i="73"/>
  <c r="N38" i="73"/>
  <c r="M38" i="73"/>
  <c r="L38" i="73"/>
  <c r="K38" i="73"/>
  <c r="J38" i="73"/>
  <c r="I38" i="73"/>
  <c r="H38" i="73"/>
  <c r="G38" i="73"/>
  <c r="F38" i="73"/>
  <c r="E38" i="73"/>
  <c r="D38" i="73"/>
  <c r="C38" i="73"/>
  <c r="B38" i="73"/>
  <c r="AD4" i="73" s="1"/>
  <c r="AD37" i="73"/>
  <c r="AC37" i="73"/>
  <c r="AB37" i="73"/>
  <c r="AA37" i="73"/>
  <c r="Z37" i="73"/>
  <c r="Y37" i="73"/>
  <c r="X37" i="73"/>
  <c r="W37" i="73"/>
  <c r="V37" i="73"/>
  <c r="U37" i="73"/>
  <c r="T37" i="73"/>
  <c r="S37" i="73"/>
  <c r="R37" i="73"/>
  <c r="Q37" i="73"/>
  <c r="P37" i="73"/>
  <c r="O37" i="73"/>
  <c r="N37" i="73"/>
  <c r="M37" i="73"/>
  <c r="L37" i="73"/>
  <c r="K37" i="73"/>
  <c r="J37" i="73"/>
  <c r="I37" i="73"/>
  <c r="H37" i="73"/>
  <c r="G37" i="73"/>
  <c r="F37" i="73"/>
  <c r="E37" i="73"/>
  <c r="D37" i="73"/>
  <c r="C37" i="73"/>
  <c r="B37" i="73"/>
  <c r="AD3" i="73" s="1"/>
  <c r="AD36" i="73"/>
  <c r="AC36" i="73"/>
  <c r="AB36" i="73"/>
  <c r="AA36" i="73"/>
  <c r="Z36" i="73"/>
  <c r="Y36" i="73"/>
  <c r="X36" i="73"/>
  <c r="W36" i="73"/>
  <c r="V36" i="73"/>
  <c r="U36" i="73"/>
  <c r="T36" i="73"/>
  <c r="S36" i="73"/>
  <c r="R36" i="73"/>
  <c r="Q36" i="73"/>
  <c r="P36" i="73"/>
  <c r="O36" i="73"/>
  <c r="N36" i="73"/>
  <c r="M36" i="73"/>
  <c r="L36" i="73"/>
  <c r="K36" i="73"/>
  <c r="J36" i="73"/>
  <c r="I36" i="73"/>
  <c r="H36" i="73"/>
  <c r="G36" i="73"/>
  <c r="F36" i="73"/>
  <c r="E36" i="73"/>
  <c r="D36" i="73"/>
  <c r="C36" i="73"/>
  <c r="B36" i="73"/>
  <c r="AD2" i="73" s="1"/>
  <c r="C50" i="60"/>
  <c r="D50" i="60"/>
  <c r="E50" i="60"/>
  <c r="F50" i="60"/>
  <c r="G50" i="60"/>
  <c r="H50" i="60"/>
  <c r="I50" i="60"/>
  <c r="J50" i="60"/>
  <c r="K50" i="60"/>
  <c r="L50" i="60"/>
  <c r="M50" i="60"/>
  <c r="N50" i="60"/>
  <c r="B50" i="60"/>
  <c r="C48" i="60"/>
  <c r="D48" i="60"/>
  <c r="E48" i="60"/>
  <c r="F48" i="60"/>
  <c r="G48" i="60"/>
  <c r="H48" i="60"/>
  <c r="I48" i="60"/>
  <c r="J48" i="60"/>
  <c r="K48" i="60"/>
  <c r="L48" i="60"/>
  <c r="M48" i="60"/>
  <c r="N48" i="60"/>
  <c r="B48" i="60"/>
  <c r="C45" i="60"/>
  <c r="D45" i="60"/>
  <c r="E45" i="60"/>
  <c r="F45" i="60"/>
  <c r="G45" i="60"/>
  <c r="H45" i="60"/>
  <c r="I45" i="60"/>
  <c r="J45" i="60"/>
  <c r="K45" i="60"/>
  <c r="L45" i="60"/>
  <c r="M45" i="60"/>
  <c r="N45" i="60"/>
  <c r="O45" i="60"/>
  <c r="P45" i="60"/>
  <c r="Q45" i="60"/>
  <c r="R45" i="60"/>
  <c r="S45" i="60"/>
  <c r="T45" i="60"/>
  <c r="U45" i="60"/>
  <c r="V45" i="60"/>
  <c r="W45" i="60"/>
  <c r="X45" i="60"/>
  <c r="Y45" i="60"/>
  <c r="Z45" i="60"/>
  <c r="AA45" i="60"/>
  <c r="AB45" i="60"/>
  <c r="AC45" i="60"/>
  <c r="AD45" i="60"/>
  <c r="B45" i="60"/>
  <c r="C43" i="60"/>
  <c r="D43" i="60"/>
  <c r="E43" i="60"/>
  <c r="F43" i="60"/>
  <c r="G43" i="60"/>
  <c r="H43" i="60"/>
  <c r="I43" i="60"/>
  <c r="J43" i="60"/>
  <c r="K43" i="60"/>
  <c r="L43" i="60"/>
  <c r="M43" i="60"/>
  <c r="N43" i="60"/>
  <c r="O43" i="60"/>
  <c r="P43" i="60"/>
  <c r="Q43" i="60"/>
  <c r="R43" i="60"/>
  <c r="S43" i="60"/>
  <c r="T43" i="60"/>
  <c r="U43" i="60"/>
  <c r="V43" i="60"/>
  <c r="W43" i="60"/>
  <c r="X43" i="60"/>
  <c r="Y43" i="60"/>
  <c r="Z43" i="60"/>
  <c r="AA43" i="60"/>
  <c r="AB43" i="60"/>
  <c r="AC43" i="60"/>
  <c r="AD43" i="60"/>
  <c r="B43" i="60"/>
  <c r="C40" i="60"/>
  <c r="B40" i="60"/>
  <c r="AD35" i="60"/>
  <c r="C36" i="60"/>
  <c r="D36" i="60"/>
  <c r="E36" i="60"/>
  <c r="F36" i="60"/>
  <c r="G36" i="60"/>
  <c r="H36" i="60"/>
  <c r="I36" i="60"/>
  <c r="J36" i="60"/>
  <c r="K36" i="60"/>
  <c r="L36" i="60"/>
  <c r="M36" i="60"/>
  <c r="N36" i="60"/>
  <c r="O36" i="60"/>
  <c r="P36" i="60"/>
  <c r="Q36" i="60"/>
  <c r="R36" i="60"/>
  <c r="S36" i="60"/>
  <c r="T36" i="60"/>
  <c r="U36" i="60"/>
  <c r="V36" i="60"/>
  <c r="W36" i="60"/>
  <c r="X36" i="60"/>
  <c r="Y36" i="60"/>
  <c r="Z36" i="60"/>
  <c r="AA36" i="60"/>
  <c r="AB36" i="60"/>
  <c r="AC36" i="60"/>
  <c r="AD36" i="60"/>
  <c r="C37" i="60"/>
  <c r="D37" i="60"/>
  <c r="E37" i="60"/>
  <c r="F37" i="60"/>
  <c r="G37" i="60"/>
  <c r="H37" i="60"/>
  <c r="I37" i="60"/>
  <c r="J37" i="60"/>
  <c r="K37" i="60"/>
  <c r="L37" i="60"/>
  <c r="M37" i="60"/>
  <c r="N37" i="60"/>
  <c r="O37" i="60"/>
  <c r="P37" i="60"/>
  <c r="Q37" i="60"/>
  <c r="R37" i="60"/>
  <c r="S37" i="60"/>
  <c r="T37" i="60"/>
  <c r="U37" i="60"/>
  <c r="V37" i="60"/>
  <c r="W37" i="60"/>
  <c r="X37" i="60"/>
  <c r="Y37" i="60"/>
  <c r="Z37" i="60"/>
  <c r="AA37" i="60"/>
  <c r="AB37" i="60"/>
  <c r="AC37" i="60"/>
  <c r="AD37" i="60"/>
  <c r="C38" i="60"/>
  <c r="D38" i="60"/>
  <c r="E38" i="60"/>
  <c r="F38" i="60"/>
  <c r="G38" i="60"/>
  <c r="H38" i="60"/>
  <c r="I38" i="60"/>
  <c r="J38" i="60"/>
  <c r="K38" i="60"/>
  <c r="L38" i="60"/>
  <c r="M38" i="60"/>
  <c r="N38" i="60"/>
  <c r="O38" i="60"/>
  <c r="P38" i="60"/>
  <c r="Q38" i="60"/>
  <c r="R38" i="60"/>
  <c r="S38" i="60"/>
  <c r="T38" i="60"/>
  <c r="U38" i="60"/>
  <c r="V38" i="60"/>
  <c r="W38" i="60"/>
  <c r="X38" i="60"/>
  <c r="Y38" i="60"/>
  <c r="Z38" i="60"/>
  <c r="AA38" i="60"/>
  <c r="AB38" i="60"/>
  <c r="AC38" i="60"/>
  <c r="AD38" i="60"/>
  <c r="C39" i="60"/>
  <c r="D39" i="60"/>
  <c r="E39" i="60"/>
  <c r="F39" i="60"/>
  <c r="G39" i="60"/>
  <c r="H39" i="60"/>
  <c r="I39" i="60"/>
  <c r="J39" i="60"/>
  <c r="K39" i="60"/>
  <c r="L39" i="60"/>
  <c r="M39" i="60"/>
  <c r="N39" i="60"/>
  <c r="O39" i="60"/>
  <c r="P39" i="60"/>
  <c r="Q39" i="60"/>
  <c r="R39" i="60"/>
  <c r="S39" i="60"/>
  <c r="T39" i="60"/>
  <c r="U39" i="60"/>
  <c r="V39" i="60"/>
  <c r="W39" i="60"/>
  <c r="X39" i="60"/>
  <c r="Y39" i="60"/>
  <c r="Z39" i="60"/>
  <c r="AA39" i="60"/>
  <c r="AB39" i="60"/>
  <c r="AC39" i="60"/>
  <c r="AD39" i="60"/>
  <c r="D40" i="60"/>
  <c r="E40" i="60"/>
  <c r="F40" i="60"/>
  <c r="G40" i="60"/>
  <c r="H40" i="60"/>
  <c r="I40" i="60"/>
  <c r="J40" i="60"/>
  <c r="K40" i="60"/>
  <c r="L40" i="60"/>
  <c r="M40" i="60"/>
  <c r="N40" i="60"/>
  <c r="O40" i="60"/>
  <c r="P40" i="60"/>
  <c r="Q40" i="60"/>
  <c r="R40" i="60"/>
  <c r="S40" i="60"/>
  <c r="T40" i="60"/>
  <c r="U40" i="60"/>
  <c r="V40" i="60"/>
  <c r="W40" i="60"/>
  <c r="X40" i="60"/>
  <c r="Y40" i="60"/>
  <c r="Z40" i="60"/>
  <c r="AA40" i="60"/>
  <c r="AB40" i="60"/>
  <c r="AC40" i="60"/>
  <c r="AD40" i="60"/>
  <c r="C41" i="60"/>
  <c r="D41" i="60"/>
  <c r="E41" i="60"/>
  <c r="F41" i="60"/>
  <c r="G41" i="60"/>
  <c r="H41" i="60"/>
  <c r="I41" i="60"/>
  <c r="J41" i="60"/>
  <c r="K41" i="60"/>
  <c r="L41" i="60"/>
  <c r="M41" i="60"/>
  <c r="N41" i="60"/>
  <c r="O41" i="60"/>
  <c r="P41" i="60"/>
  <c r="Q41" i="60"/>
  <c r="R41" i="60"/>
  <c r="S41" i="60"/>
  <c r="T41" i="60"/>
  <c r="U41" i="60"/>
  <c r="V41" i="60"/>
  <c r="W41" i="60"/>
  <c r="X41" i="60"/>
  <c r="Y41" i="60"/>
  <c r="Z41" i="60"/>
  <c r="AA41" i="60"/>
  <c r="AB41" i="60"/>
  <c r="AC41" i="60"/>
  <c r="AD41" i="60"/>
  <c r="C42" i="60"/>
  <c r="D42" i="60"/>
  <c r="E42" i="60"/>
  <c r="F42" i="60"/>
  <c r="G42" i="60"/>
  <c r="H42" i="60"/>
  <c r="I42" i="60"/>
  <c r="J42" i="60"/>
  <c r="K42" i="60"/>
  <c r="L42" i="60"/>
  <c r="M42" i="60"/>
  <c r="N42" i="60"/>
  <c r="O42" i="60"/>
  <c r="P42" i="60"/>
  <c r="Q42" i="60"/>
  <c r="R42" i="60"/>
  <c r="S42" i="60"/>
  <c r="T42" i="60"/>
  <c r="U42" i="60"/>
  <c r="V42" i="60"/>
  <c r="W42" i="60"/>
  <c r="X42" i="60"/>
  <c r="Y42" i="60"/>
  <c r="Z42" i="60"/>
  <c r="AA42" i="60"/>
  <c r="AB42" i="60"/>
  <c r="AC42" i="60"/>
  <c r="AD42" i="60"/>
  <c r="C44" i="60"/>
  <c r="D44" i="60"/>
  <c r="E44" i="60"/>
  <c r="F44" i="60"/>
  <c r="G44" i="60"/>
  <c r="H44" i="60"/>
  <c r="I44" i="60"/>
  <c r="J44" i="60"/>
  <c r="K44" i="60"/>
  <c r="L44" i="60"/>
  <c r="M44" i="60"/>
  <c r="N44" i="60"/>
  <c r="O44" i="60"/>
  <c r="P44" i="60"/>
  <c r="Q44" i="60"/>
  <c r="R44" i="60"/>
  <c r="S44" i="60"/>
  <c r="T44" i="60"/>
  <c r="U44" i="60"/>
  <c r="V44" i="60"/>
  <c r="W44" i="60"/>
  <c r="X44" i="60"/>
  <c r="Y44" i="60"/>
  <c r="Z44" i="60"/>
  <c r="AA44" i="60"/>
  <c r="AB44" i="60"/>
  <c r="AC44" i="60"/>
  <c r="AD44" i="60"/>
  <c r="C46" i="60"/>
  <c r="D46" i="60"/>
  <c r="E46" i="60"/>
  <c r="F46" i="60"/>
  <c r="G46" i="60"/>
  <c r="H46" i="60"/>
  <c r="I46" i="60"/>
  <c r="J46" i="60"/>
  <c r="K46" i="60"/>
  <c r="L46" i="60"/>
  <c r="M46" i="60"/>
  <c r="N46" i="60"/>
  <c r="O46" i="60"/>
  <c r="P46" i="60"/>
  <c r="Q46" i="60"/>
  <c r="R46" i="60"/>
  <c r="S46" i="60"/>
  <c r="T46" i="60"/>
  <c r="U46" i="60"/>
  <c r="V46" i="60"/>
  <c r="W46" i="60"/>
  <c r="X46" i="60"/>
  <c r="Y46" i="60"/>
  <c r="Z46" i="60"/>
  <c r="AA46" i="60"/>
  <c r="AB46" i="60"/>
  <c r="AC46" i="60"/>
  <c r="AD46" i="60"/>
  <c r="C47" i="60"/>
  <c r="D47" i="60"/>
  <c r="E47" i="60"/>
  <c r="F47" i="60"/>
  <c r="G47" i="60"/>
  <c r="H47" i="60"/>
  <c r="I47" i="60"/>
  <c r="J47" i="60"/>
  <c r="K47" i="60"/>
  <c r="L47" i="60"/>
  <c r="M47" i="60"/>
  <c r="N47" i="60"/>
  <c r="O47" i="60"/>
  <c r="P47" i="60"/>
  <c r="Q47" i="60"/>
  <c r="R47" i="60"/>
  <c r="S47" i="60"/>
  <c r="T47" i="60"/>
  <c r="U47" i="60"/>
  <c r="V47" i="60"/>
  <c r="W47" i="60"/>
  <c r="X47" i="60"/>
  <c r="Y47" i="60"/>
  <c r="Z47" i="60"/>
  <c r="AA47" i="60"/>
  <c r="AB47" i="60"/>
  <c r="AC47" i="60"/>
  <c r="AD47" i="60"/>
  <c r="O48" i="60"/>
  <c r="P48" i="60"/>
  <c r="Q48" i="60"/>
  <c r="R48" i="60"/>
  <c r="S48" i="60"/>
  <c r="T48" i="60"/>
  <c r="U48" i="60"/>
  <c r="V48" i="60"/>
  <c r="W48" i="60"/>
  <c r="X48" i="60"/>
  <c r="Y48" i="60"/>
  <c r="Z48" i="60"/>
  <c r="AA48" i="60"/>
  <c r="AB48" i="60"/>
  <c r="AC48" i="60"/>
  <c r="AD48" i="60"/>
  <c r="O50" i="60"/>
  <c r="P50" i="60"/>
  <c r="Q50" i="60"/>
  <c r="R50" i="60"/>
  <c r="S50" i="60"/>
  <c r="T50" i="60"/>
  <c r="U50" i="60"/>
  <c r="V50" i="60"/>
  <c r="W50" i="60"/>
  <c r="X50" i="60"/>
  <c r="Y50" i="60"/>
  <c r="Z50" i="60"/>
  <c r="AA50" i="60"/>
  <c r="AB50" i="60"/>
  <c r="AC50" i="60"/>
  <c r="AD50" i="60"/>
  <c r="B36" i="60"/>
  <c r="B37" i="60"/>
  <c r="B38" i="60"/>
  <c r="B39" i="60"/>
  <c r="B41" i="60"/>
  <c r="B42" i="60"/>
  <c r="B44" i="60"/>
  <c r="B46" i="60"/>
  <c r="B47" i="60"/>
  <c r="C3" i="60"/>
  <c r="D3" i="60"/>
  <c r="E3" i="60"/>
  <c r="F3" i="60"/>
  <c r="G3" i="60"/>
  <c r="H3" i="60"/>
  <c r="I3" i="60"/>
  <c r="J3" i="60"/>
  <c r="K3" i="60"/>
  <c r="L3" i="60"/>
  <c r="M3" i="60"/>
  <c r="N3" i="60"/>
  <c r="O3" i="60"/>
  <c r="P3" i="60"/>
  <c r="Q3" i="60"/>
  <c r="R3" i="60"/>
  <c r="S3" i="60"/>
  <c r="T3" i="60"/>
  <c r="U3" i="60"/>
  <c r="V3" i="60"/>
  <c r="W3" i="60"/>
  <c r="X3" i="60"/>
  <c r="Y3" i="60"/>
  <c r="Z3" i="60"/>
  <c r="AA3" i="60"/>
  <c r="AB3" i="60"/>
  <c r="AC3" i="60"/>
  <c r="AD3" i="60"/>
  <c r="C4" i="60"/>
  <c r="D4" i="60"/>
  <c r="E4" i="60"/>
  <c r="F4" i="60"/>
  <c r="G4" i="60"/>
  <c r="H4" i="60"/>
  <c r="I4" i="60"/>
  <c r="J4" i="60"/>
  <c r="K4" i="60"/>
  <c r="L4" i="60"/>
  <c r="M4" i="60"/>
  <c r="N4" i="60"/>
  <c r="O4" i="60"/>
  <c r="P4" i="60"/>
  <c r="Q4" i="60"/>
  <c r="R4" i="60"/>
  <c r="S4" i="60"/>
  <c r="T4" i="60"/>
  <c r="U4" i="60"/>
  <c r="V4" i="60"/>
  <c r="W4" i="60"/>
  <c r="X4" i="60"/>
  <c r="Y4" i="60"/>
  <c r="Z4" i="60"/>
  <c r="AA4" i="60"/>
  <c r="AB4" i="60"/>
  <c r="AC4" i="60"/>
  <c r="AD4" i="60"/>
  <c r="C5" i="60"/>
  <c r="D5" i="60"/>
  <c r="E5" i="60"/>
  <c r="F5" i="60"/>
  <c r="G5" i="60"/>
  <c r="H5" i="60"/>
  <c r="I5" i="60"/>
  <c r="J5" i="60"/>
  <c r="K5" i="60"/>
  <c r="L5" i="60"/>
  <c r="M5" i="60"/>
  <c r="N5" i="60"/>
  <c r="O5" i="60"/>
  <c r="P5" i="60"/>
  <c r="Q5" i="60"/>
  <c r="R5" i="60"/>
  <c r="S5" i="60"/>
  <c r="T5" i="60"/>
  <c r="U5" i="60"/>
  <c r="V5" i="60"/>
  <c r="W5" i="60"/>
  <c r="X5" i="60"/>
  <c r="Y5" i="60"/>
  <c r="Z5" i="60"/>
  <c r="AA5" i="60"/>
  <c r="AB5" i="60"/>
  <c r="AC5" i="60"/>
  <c r="AD5" i="60"/>
  <c r="C6" i="60"/>
  <c r="D6" i="60"/>
  <c r="E6" i="60"/>
  <c r="F6" i="60"/>
  <c r="G6" i="60"/>
  <c r="H6" i="60"/>
  <c r="I6" i="60"/>
  <c r="J6" i="60"/>
  <c r="K6" i="60"/>
  <c r="L6" i="60"/>
  <c r="M6" i="60"/>
  <c r="N6" i="60"/>
  <c r="O6" i="60"/>
  <c r="P6" i="60"/>
  <c r="Q6" i="60"/>
  <c r="R6" i="60"/>
  <c r="S6" i="60"/>
  <c r="T6" i="60"/>
  <c r="U6" i="60"/>
  <c r="V6" i="60"/>
  <c r="W6" i="60"/>
  <c r="X6" i="60"/>
  <c r="Y6" i="60"/>
  <c r="Z6" i="60"/>
  <c r="AA6" i="60"/>
  <c r="AB6" i="60"/>
  <c r="AC6" i="60"/>
  <c r="AD6" i="60"/>
  <c r="C7" i="60"/>
  <c r="D7" i="60"/>
  <c r="E7" i="60"/>
  <c r="F7" i="60"/>
  <c r="G7" i="60"/>
  <c r="H7" i="60"/>
  <c r="I7" i="60"/>
  <c r="J7" i="60"/>
  <c r="K7" i="60"/>
  <c r="L7" i="60"/>
  <c r="M7" i="60"/>
  <c r="N7" i="60"/>
  <c r="O7" i="60"/>
  <c r="P7" i="60"/>
  <c r="Q7" i="60"/>
  <c r="R7" i="60"/>
  <c r="S7" i="60"/>
  <c r="T7" i="60"/>
  <c r="U7" i="60"/>
  <c r="V7" i="60"/>
  <c r="W7" i="60"/>
  <c r="X7" i="60"/>
  <c r="Y7" i="60"/>
  <c r="Z7" i="60"/>
  <c r="AA7" i="60"/>
  <c r="AB7" i="60"/>
  <c r="AC7" i="60"/>
  <c r="AD7" i="60"/>
  <c r="C8" i="60"/>
  <c r="D8" i="60"/>
  <c r="E8" i="60"/>
  <c r="F8" i="60"/>
  <c r="G8" i="60"/>
  <c r="H8" i="60"/>
  <c r="I8" i="60"/>
  <c r="J8" i="60"/>
  <c r="K8" i="60"/>
  <c r="L8" i="60"/>
  <c r="M8" i="60"/>
  <c r="N8" i="60"/>
  <c r="O8" i="60"/>
  <c r="P8" i="60"/>
  <c r="Q8" i="60"/>
  <c r="R8" i="60"/>
  <c r="S8" i="60"/>
  <c r="T8" i="60"/>
  <c r="U8" i="60"/>
  <c r="V8" i="60"/>
  <c r="W8" i="60"/>
  <c r="X8" i="60"/>
  <c r="Y8" i="60"/>
  <c r="Z8" i="60"/>
  <c r="AA8" i="60"/>
  <c r="AB8" i="60"/>
  <c r="AC8" i="60"/>
  <c r="AD8" i="60"/>
  <c r="C9" i="60"/>
  <c r="D9" i="60"/>
  <c r="E9" i="60"/>
  <c r="F9" i="60"/>
  <c r="G9" i="60"/>
  <c r="H9" i="60"/>
  <c r="I9" i="60"/>
  <c r="J9" i="60"/>
  <c r="K9" i="60"/>
  <c r="L9" i="60"/>
  <c r="M9" i="60"/>
  <c r="N9" i="60"/>
  <c r="O9" i="60"/>
  <c r="P9" i="60"/>
  <c r="Q9" i="60"/>
  <c r="R9" i="60"/>
  <c r="S9" i="60"/>
  <c r="T9" i="60"/>
  <c r="U9" i="60"/>
  <c r="V9" i="60"/>
  <c r="W9" i="60"/>
  <c r="X9" i="60"/>
  <c r="Y9" i="60"/>
  <c r="Z9" i="60"/>
  <c r="AA9" i="60"/>
  <c r="AB9" i="60"/>
  <c r="AC9" i="60"/>
  <c r="AD9" i="60"/>
  <c r="C10" i="60"/>
  <c r="D10" i="60"/>
  <c r="E10" i="60"/>
  <c r="F10" i="60"/>
  <c r="G10" i="60"/>
  <c r="H10" i="60"/>
  <c r="I10" i="60"/>
  <c r="J10" i="60"/>
  <c r="K10" i="60"/>
  <c r="L10" i="60"/>
  <c r="M10" i="60"/>
  <c r="N10" i="60"/>
  <c r="O10" i="60"/>
  <c r="P10" i="60"/>
  <c r="Q10" i="60"/>
  <c r="R10" i="60"/>
  <c r="S10" i="60"/>
  <c r="T10" i="60"/>
  <c r="U10" i="60"/>
  <c r="V10" i="60"/>
  <c r="W10" i="60"/>
  <c r="X10" i="60"/>
  <c r="Y10" i="60"/>
  <c r="Z10" i="60"/>
  <c r="AA10" i="60"/>
  <c r="AB10" i="60"/>
  <c r="AC10" i="60"/>
  <c r="AD10" i="60"/>
  <c r="C11" i="60"/>
  <c r="D11" i="60"/>
  <c r="E11" i="60"/>
  <c r="F11" i="60"/>
  <c r="G11" i="60"/>
  <c r="H11" i="60"/>
  <c r="I11" i="60"/>
  <c r="J11" i="60"/>
  <c r="K11" i="60"/>
  <c r="L11" i="60"/>
  <c r="M11" i="60"/>
  <c r="N11" i="60"/>
  <c r="O11" i="60"/>
  <c r="P11" i="60"/>
  <c r="Q11" i="60"/>
  <c r="R11" i="60"/>
  <c r="S11" i="60"/>
  <c r="T11" i="60"/>
  <c r="U11" i="60"/>
  <c r="V11" i="60"/>
  <c r="W11" i="60"/>
  <c r="X11" i="60"/>
  <c r="Y11" i="60"/>
  <c r="Z11" i="60"/>
  <c r="AA11" i="60"/>
  <c r="AB11" i="60"/>
  <c r="AC11" i="60"/>
  <c r="AD11" i="60"/>
  <c r="C12" i="60"/>
  <c r="D12" i="60"/>
  <c r="E12" i="60"/>
  <c r="F12" i="60"/>
  <c r="G12" i="60"/>
  <c r="H12" i="60"/>
  <c r="I12" i="60"/>
  <c r="J12" i="60"/>
  <c r="K12" i="60"/>
  <c r="L12" i="60"/>
  <c r="M12" i="60"/>
  <c r="N12" i="60"/>
  <c r="O12" i="60"/>
  <c r="P12" i="60"/>
  <c r="Q12" i="60"/>
  <c r="R12" i="60"/>
  <c r="S12" i="60"/>
  <c r="T12" i="60"/>
  <c r="U12" i="60"/>
  <c r="V12" i="60"/>
  <c r="W12" i="60"/>
  <c r="X12" i="60"/>
  <c r="Y12" i="60"/>
  <c r="Z12" i="60"/>
  <c r="AA12" i="60"/>
  <c r="AB12" i="60"/>
  <c r="AC12" i="60"/>
  <c r="AD12" i="60"/>
  <c r="C13" i="60"/>
  <c r="D13" i="60"/>
  <c r="E13" i="60"/>
  <c r="F13" i="60"/>
  <c r="G13" i="60"/>
  <c r="H13" i="60"/>
  <c r="I13" i="60"/>
  <c r="J13" i="60"/>
  <c r="K13" i="60"/>
  <c r="L13" i="60"/>
  <c r="M13" i="60"/>
  <c r="N13" i="60"/>
  <c r="O13" i="60"/>
  <c r="P13" i="60"/>
  <c r="Q13" i="60"/>
  <c r="R13" i="60"/>
  <c r="S13" i="60"/>
  <c r="T13" i="60"/>
  <c r="U13" i="60"/>
  <c r="V13" i="60"/>
  <c r="W13" i="60"/>
  <c r="X13" i="60"/>
  <c r="Y13" i="60"/>
  <c r="Z13" i="60"/>
  <c r="AA13" i="60"/>
  <c r="AB13" i="60"/>
  <c r="AC13" i="60"/>
  <c r="AD13" i="60"/>
  <c r="C14" i="60"/>
  <c r="D14" i="60"/>
  <c r="E14" i="60"/>
  <c r="F14" i="60"/>
  <c r="G14" i="60"/>
  <c r="H14" i="60"/>
  <c r="I14" i="60"/>
  <c r="J14" i="60"/>
  <c r="K14" i="60"/>
  <c r="L14" i="60"/>
  <c r="M14" i="60"/>
  <c r="N14" i="60"/>
  <c r="O14" i="60"/>
  <c r="P14" i="60"/>
  <c r="Q14" i="60"/>
  <c r="R14" i="60"/>
  <c r="S14" i="60"/>
  <c r="T14" i="60"/>
  <c r="U14" i="60"/>
  <c r="V14" i="60"/>
  <c r="W14" i="60"/>
  <c r="X14" i="60"/>
  <c r="Y14" i="60"/>
  <c r="Z14" i="60"/>
  <c r="AA14" i="60"/>
  <c r="AB14" i="60"/>
  <c r="AC14" i="60"/>
  <c r="AD14" i="60"/>
  <c r="C15" i="60"/>
  <c r="D15" i="60"/>
  <c r="E15" i="60"/>
  <c r="F15" i="60"/>
  <c r="G15" i="60"/>
  <c r="H15" i="60"/>
  <c r="I15" i="60"/>
  <c r="J15" i="60"/>
  <c r="K15" i="60"/>
  <c r="L15" i="60"/>
  <c r="M15" i="60"/>
  <c r="N15" i="60"/>
  <c r="O15" i="60"/>
  <c r="P15" i="60"/>
  <c r="Q15" i="60"/>
  <c r="R15" i="60"/>
  <c r="S15" i="60"/>
  <c r="T15" i="60"/>
  <c r="U15" i="60"/>
  <c r="V15" i="60"/>
  <c r="W15" i="60"/>
  <c r="X15" i="60"/>
  <c r="Y15" i="60"/>
  <c r="Z15" i="60"/>
  <c r="AA15" i="60"/>
  <c r="AB15" i="60"/>
  <c r="AC15" i="60"/>
  <c r="AD15" i="60"/>
  <c r="C16" i="60"/>
  <c r="D16" i="60"/>
  <c r="E16" i="60"/>
  <c r="F16" i="60"/>
  <c r="G16" i="60"/>
  <c r="H16" i="60"/>
  <c r="I16" i="60"/>
  <c r="J16" i="60"/>
  <c r="K16" i="60"/>
  <c r="L16" i="60"/>
  <c r="M16" i="60"/>
  <c r="N16" i="60"/>
  <c r="O16" i="60"/>
  <c r="P16" i="60"/>
  <c r="Q16" i="60"/>
  <c r="R16" i="60"/>
  <c r="S16" i="60"/>
  <c r="T16" i="60"/>
  <c r="U16" i="60"/>
  <c r="V16" i="60"/>
  <c r="W16" i="60"/>
  <c r="X16" i="60"/>
  <c r="Y16" i="60"/>
  <c r="Z16" i="60"/>
  <c r="AA16" i="60"/>
  <c r="AB16" i="60"/>
  <c r="AC16" i="60"/>
  <c r="AD16" i="60"/>
  <c r="B12" i="60"/>
  <c r="B13" i="60"/>
  <c r="B14" i="60"/>
  <c r="B15" i="60"/>
  <c r="B16" i="60"/>
  <c r="B11" i="60"/>
  <c r="B7" i="60"/>
  <c r="B8" i="60"/>
  <c r="B9" i="60"/>
  <c r="B10" i="60"/>
  <c r="B6" i="60"/>
  <c r="B4" i="60"/>
  <c r="B5" i="60"/>
  <c r="B3" i="60"/>
  <c r="C19" i="60"/>
  <c r="D19" i="60"/>
  <c r="E19" i="60"/>
  <c r="F19" i="60"/>
  <c r="G19" i="60"/>
  <c r="H19" i="60"/>
  <c r="I19" i="60"/>
  <c r="J19" i="60"/>
  <c r="K19" i="60"/>
  <c r="L19" i="60"/>
  <c r="M19" i="60"/>
  <c r="N19" i="60"/>
  <c r="O19" i="60"/>
  <c r="P19" i="60"/>
  <c r="Q19" i="60"/>
  <c r="R19" i="60"/>
  <c r="S19" i="60"/>
  <c r="T19" i="60"/>
  <c r="U19" i="60"/>
  <c r="V19" i="60"/>
  <c r="W19" i="60"/>
  <c r="X19" i="60"/>
  <c r="Y19" i="60"/>
  <c r="Z19" i="60"/>
  <c r="AA19" i="60"/>
  <c r="AB19" i="60"/>
  <c r="AC19" i="60"/>
  <c r="AD19" i="60"/>
  <c r="C20" i="60"/>
  <c r="D20" i="60"/>
  <c r="E20" i="60"/>
  <c r="F20" i="60"/>
  <c r="G20" i="60"/>
  <c r="H20" i="60"/>
  <c r="I20" i="60"/>
  <c r="J20" i="60"/>
  <c r="K20" i="60"/>
  <c r="L20" i="60"/>
  <c r="M20" i="60"/>
  <c r="N20" i="60"/>
  <c r="O20" i="60"/>
  <c r="P20" i="60"/>
  <c r="Q20" i="60"/>
  <c r="R20" i="60"/>
  <c r="S20" i="60"/>
  <c r="T20" i="60"/>
  <c r="U20" i="60"/>
  <c r="V20" i="60"/>
  <c r="W20" i="60"/>
  <c r="X20" i="60"/>
  <c r="Y20" i="60"/>
  <c r="Z20" i="60"/>
  <c r="AA20" i="60"/>
  <c r="AB20" i="60"/>
  <c r="AC20" i="60"/>
  <c r="AD20" i="60"/>
  <c r="C21" i="60"/>
  <c r="D21" i="60"/>
  <c r="E21" i="60"/>
  <c r="F21" i="60"/>
  <c r="G21" i="60"/>
  <c r="H21" i="60"/>
  <c r="I21" i="60"/>
  <c r="J21" i="60"/>
  <c r="K21" i="60"/>
  <c r="L21" i="60"/>
  <c r="M21" i="60"/>
  <c r="N21" i="60"/>
  <c r="O21" i="60"/>
  <c r="P21" i="60"/>
  <c r="Q21" i="60"/>
  <c r="R21" i="60"/>
  <c r="S21" i="60"/>
  <c r="T21" i="60"/>
  <c r="U21" i="60"/>
  <c r="V21" i="60"/>
  <c r="W21" i="60"/>
  <c r="X21" i="60"/>
  <c r="Y21" i="60"/>
  <c r="Z21" i="60"/>
  <c r="AA21" i="60"/>
  <c r="AB21" i="60"/>
  <c r="AC21" i="60"/>
  <c r="AD21" i="60"/>
  <c r="C22" i="60"/>
  <c r="D22" i="60"/>
  <c r="E22" i="60"/>
  <c r="F22" i="60"/>
  <c r="G22" i="60"/>
  <c r="H22" i="60"/>
  <c r="I22" i="60"/>
  <c r="J22" i="60"/>
  <c r="K22" i="60"/>
  <c r="L22" i="60"/>
  <c r="M22" i="60"/>
  <c r="N22" i="60"/>
  <c r="O22" i="60"/>
  <c r="P22" i="60"/>
  <c r="Q22" i="60"/>
  <c r="R22" i="60"/>
  <c r="S22" i="60"/>
  <c r="T22" i="60"/>
  <c r="U22" i="60"/>
  <c r="V22" i="60"/>
  <c r="W22" i="60"/>
  <c r="X22" i="60"/>
  <c r="Y22" i="60"/>
  <c r="Z22" i="60"/>
  <c r="AA22" i="60"/>
  <c r="AB22" i="60"/>
  <c r="AC22" i="60"/>
  <c r="AD22" i="60"/>
  <c r="C23" i="60"/>
  <c r="D23" i="60"/>
  <c r="E23" i="60"/>
  <c r="F23" i="60"/>
  <c r="G23" i="60"/>
  <c r="H23" i="60"/>
  <c r="I23" i="60"/>
  <c r="J23" i="60"/>
  <c r="K23" i="60"/>
  <c r="L23" i="60"/>
  <c r="M23" i="60"/>
  <c r="N23" i="60"/>
  <c r="O23" i="60"/>
  <c r="P23" i="60"/>
  <c r="Q23" i="60"/>
  <c r="R23" i="60"/>
  <c r="S23" i="60"/>
  <c r="T23" i="60"/>
  <c r="U23" i="60"/>
  <c r="V23" i="60"/>
  <c r="W23" i="60"/>
  <c r="X23" i="60"/>
  <c r="Y23" i="60"/>
  <c r="Z23" i="60"/>
  <c r="AA23" i="60"/>
  <c r="AB23" i="60"/>
  <c r="AC23" i="60"/>
  <c r="AD23" i="60"/>
  <c r="C24" i="60"/>
  <c r="D24" i="60"/>
  <c r="E24" i="60"/>
  <c r="F24" i="60"/>
  <c r="G24" i="60"/>
  <c r="H24" i="60"/>
  <c r="I24" i="60"/>
  <c r="J24" i="60"/>
  <c r="K24" i="60"/>
  <c r="L24" i="60"/>
  <c r="M24" i="60"/>
  <c r="N24" i="60"/>
  <c r="O24" i="60"/>
  <c r="P24" i="60"/>
  <c r="Q24" i="60"/>
  <c r="R24" i="60"/>
  <c r="S24" i="60"/>
  <c r="T24" i="60"/>
  <c r="U24" i="60"/>
  <c r="V24" i="60"/>
  <c r="W24" i="60"/>
  <c r="X24" i="60"/>
  <c r="Y24" i="60"/>
  <c r="Z24" i="60"/>
  <c r="AA24" i="60"/>
  <c r="AB24" i="60"/>
  <c r="AC24" i="60"/>
  <c r="AD24" i="60"/>
  <c r="C25" i="60"/>
  <c r="D25" i="60"/>
  <c r="E25" i="60"/>
  <c r="F25" i="60"/>
  <c r="G25" i="60"/>
  <c r="H25" i="60"/>
  <c r="I25" i="60"/>
  <c r="J25" i="60"/>
  <c r="K25" i="60"/>
  <c r="L25" i="60"/>
  <c r="M25" i="60"/>
  <c r="N25" i="60"/>
  <c r="O25" i="60"/>
  <c r="P25" i="60"/>
  <c r="Q25" i="60"/>
  <c r="R25" i="60"/>
  <c r="S25" i="60"/>
  <c r="T25" i="60"/>
  <c r="U25" i="60"/>
  <c r="V25" i="60"/>
  <c r="W25" i="60"/>
  <c r="X25" i="60"/>
  <c r="Y25" i="60"/>
  <c r="Z25" i="60"/>
  <c r="AA25" i="60"/>
  <c r="AB25" i="60"/>
  <c r="AC25" i="60"/>
  <c r="AD25" i="60"/>
  <c r="C26" i="60"/>
  <c r="D26" i="60"/>
  <c r="E26" i="60"/>
  <c r="F26" i="60"/>
  <c r="G26" i="60"/>
  <c r="H26" i="60"/>
  <c r="I26" i="60"/>
  <c r="J26" i="60"/>
  <c r="K26" i="60"/>
  <c r="L26" i="60"/>
  <c r="M26" i="60"/>
  <c r="N26" i="60"/>
  <c r="O26" i="60"/>
  <c r="P26" i="60"/>
  <c r="Q26" i="60"/>
  <c r="R26" i="60"/>
  <c r="S26" i="60"/>
  <c r="T26" i="60"/>
  <c r="U26" i="60"/>
  <c r="V26" i="60"/>
  <c r="W26" i="60"/>
  <c r="X26" i="60"/>
  <c r="Y26" i="60"/>
  <c r="Z26" i="60"/>
  <c r="AA26" i="60"/>
  <c r="AB26" i="60"/>
  <c r="AC26" i="60"/>
  <c r="AD26" i="60"/>
  <c r="C27" i="60"/>
  <c r="D27" i="60"/>
  <c r="E27" i="60"/>
  <c r="F27" i="60"/>
  <c r="G27" i="60"/>
  <c r="H27" i="60"/>
  <c r="I27" i="60"/>
  <c r="J27" i="60"/>
  <c r="K27" i="60"/>
  <c r="L27" i="60"/>
  <c r="M27" i="60"/>
  <c r="N27" i="60"/>
  <c r="O27" i="60"/>
  <c r="P27" i="60"/>
  <c r="Q27" i="60"/>
  <c r="R27" i="60"/>
  <c r="S27" i="60"/>
  <c r="T27" i="60"/>
  <c r="U27" i="60"/>
  <c r="V27" i="60"/>
  <c r="W27" i="60"/>
  <c r="X27" i="60"/>
  <c r="Y27" i="60"/>
  <c r="Z27" i="60"/>
  <c r="AA27" i="60"/>
  <c r="AB27" i="60"/>
  <c r="AC27" i="60"/>
  <c r="AD27" i="60"/>
  <c r="C28" i="60"/>
  <c r="D28" i="60"/>
  <c r="E28" i="60"/>
  <c r="F28" i="60"/>
  <c r="G28" i="60"/>
  <c r="H28" i="60"/>
  <c r="I28" i="60"/>
  <c r="J28" i="60"/>
  <c r="K28" i="60"/>
  <c r="L28" i="60"/>
  <c r="M28" i="60"/>
  <c r="N28" i="60"/>
  <c r="O28" i="60"/>
  <c r="P28" i="60"/>
  <c r="Q28" i="60"/>
  <c r="R28" i="60"/>
  <c r="S28" i="60"/>
  <c r="T28" i="60"/>
  <c r="U28" i="60"/>
  <c r="V28" i="60"/>
  <c r="W28" i="60"/>
  <c r="X28" i="60"/>
  <c r="Y28" i="60"/>
  <c r="Z28" i="60"/>
  <c r="AA28" i="60"/>
  <c r="AB28" i="60"/>
  <c r="AC28" i="60"/>
  <c r="AD28" i="60"/>
  <c r="C29" i="60"/>
  <c r="D29" i="60"/>
  <c r="E29" i="60"/>
  <c r="F29" i="60"/>
  <c r="G29" i="60"/>
  <c r="H29" i="60"/>
  <c r="I29" i="60"/>
  <c r="J29" i="60"/>
  <c r="K29" i="60"/>
  <c r="L29" i="60"/>
  <c r="M29" i="60"/>
  <c r="N29" i="60"/>
  <c r="O29" i="60"/>
  <c r="P29" i="60"/>
  <c r="Q29" i="60"/>
  <c r="R29" i="60"/>
  <c r="S29" i="60"/>
  <c r="T29" i="60"/>
  <c r="U29" i="60"/>
  <c r="V29" i="60"/>
  <c r="W29" i="60"/>
  <c r="X29" i="60"/>
  <c r="Y29" i="60"/>
  <c r="Z29" i="60"/>
  <c r="AA29" i="60"/>
  <c r="AB29" i="60"/>
  <c r="AC29" i="60"/>
  <c r="AD29" i="60"/>
  <c r="B20" i="60"/>
  <c r="B21" i="60"/>
  <c r="B22" i="60"/>
  <c r="B23" i="60"/>
  <c r="B24" i="60"/>
  <c r="B25" i="60"/>
  <c r="B26" i="60"/>
  <c r="B27" i="60"/>
  <c r="B28" i="60"/>
  <c r="B29" i="60"/>
  <c r="B19" i="60"/>
  <c r="C2" i="60"/>
  <c r="D2" i="60"/>
  <c r="E2" i="60"/>
  <c r="F2" i="60"/>
  <c r="G2" i="60"/>
  <c r="H2" i="60"/>
  <c r="I2" i="60"/>
  <c r="J2" i="60"/>
  <c r="K2" i="60"/>
  <c r="L2" i="60"/>
  <c r="M2" i="60"/>
  <c r="N2" i="60"/>
  <c r="O2" i="60"/>
  <c r="P2" i="60"/>
  <c r="Q2" i="60"/>
  <c r="R2" i="60"/>
  <c r="S2" i="60"/>
  <c r="T2" i="60"/>
  <c r="U2" i="60"/>
  <c r="V2" i="60"/>
  <c r="W2" i="60"/>
  <c r="X2" i="60"/>
  <c r="Y2" i="60"/>
  <c r="Z2" i="60"/>
  <c r="AA2" i="60"/>
  <c r="AB2" i="60"/>
  <c r="AC2" i="60"/>
  <c r="AD2" i="60"/>
  <c r="B2" i="60"/>
  <c r="B4" i="86"/>
  <c r="C4" i="86"/>
  <c r="D4" i="86"/>
  <c r="E4" i="86"/>
  <c r="F4" i="86"/>
  <c r="G4" i="86"/>
  <c r="H4" i="86"/>
  <c r="I4" i="86"/>
  <c r="J4" i="86"/>
  <c r="K4" i="86"/>
  <c r="L4" i="86"/>
  <c r="M4" i="86"/>
  <c r="N4" i="86"/>
  <c r="O4" i="86"/>
  <c r="P4" i="86"/>
  <c r="Q4" i="86"/>
  <c r="R4" i="86"/>
  <c r="S4" i="86"/>
  <c r="T4" i="86"/>
  <c r="U4" i="86"/>
  <c r="V4" i="86"/>
  <c r="W4" i="86"/>
  <c r="X4" i="86"/>
  <c r="Y4" i="86"/>
  <c r="Z4" i="86"/>
  <c r="AA4" i="86"/>
  <c r="AB4" i="86"/>
  <c r="AC4" i="86"/>
  <c r="AD4" i="86"/>
  <c r="AE4" i="86"/>
  <c r="AF4" i="86"/>
  <c r="AG4" i="86"/>
  <c r="AH4" i="86"/>
  <c r="AI4" i="86"/>
  <c r="AJ4" i="86"/>
  <c r="AK4" i="86"/>
  <c r="AL4" i="86"/>
  <c r="AM4" i="86"/>
  <c r="AN4" i="86"/>
  <c r="AO4" i="86"/>
  <c r="AP4" i="86"/>
  <c r="AQ4" i="86"/>
  <c r="B5" i="86"/>
  <c r="C5" i="86"/>
  <c r="D5" i="86"/>
  <c r="E5" i="86"/>
  <c r="F5" i="86"/>
  <c r="G5" i="86"/>
  <c r="H5" i="86"/>
  <c r="I5" i="86"/>
  <c r="J5" i="86"/>
  <c r="K5" i="86"/>
  <c r="L5" i="86"/>
  <c r="M5" i="86"/>
  <c r="N5" i="86"/>
  <c r="O5" i="86"/>
  <c r="P5" i="86"/>
  <c r="Q5" i="86"/>
  <c r="R5" i="86"/>
  <c r="S5" i="86"/>
  <c r="T5" i="86"/>
  <c r="U5" i="86"/>
  <c r="V5" i="86"/>
  <c r="W5" i="86"/>
  <c r="X5" i="86"/>
  <c r="Y5" i="86"/>
  <c r="Z5" i="86"/>
  <c r="AA5" i="86"/>
  <c r="AB5" i="86"/>
  <c r="AC5" i="86"/>
  <c r="AD5" i="86"/>
  <c r="AE5" i="86"/>
  <c r="AF5" i="86"/>
  <c r="AG5" i="86"/>
  <c r="AH5" i="86"/>
  <c r="AI5" i="86"/>
  <c r="AJ5" i="86"/>
  <c r="AK5" i="86"/>
  <c r="AL5" i="86"/>
  <c r="AM5" i="86"/>
  <c r="AN5" i="86"/>
  <c r="AO5" i="86"/>
  <c r="AP5" i="86"/>
  <c r="AQ5" i="86"/>
  <c r="B6" i="86"/>
  <c r="C6" i="86"/>
  <c r="D6" i="86"/>
  <c r="E6" i="86"/>
  <c r="F6" i="86"/>
  <c r="G6" i="86"/>
  <c r="H6" i="86"/>
  <c r="I6" i="86"/>
  <c r="J6" i="86"/>
  <c r="K6" i="86"/>
  <c r="L6" i="86"/>
  <c r="M6" i="86"/>
  <c r="N6" i="86"/>
  <c r="O6" i="86"/>
  <c r="P6" i="86"/>
  <c r="Q6" i="86"/>
  <c r="R6" i="86"/>
  <c r="S6" i="86"/>
  <c r="T6" i="86"/>
  <c r="U6" i="86"/>
  <c r="V6" i="86"/>
  <c r="W6" i="86"/>
  <c r="X6" i="86"/>
  <c r="Y6" i="86"/>
  <c r="Z6" i="86"/>
  <c r="AA6" i="86"/>
  <c r="AB6" i="86"/>
  <c r="AC6" i="86"/>
  <c r="AD6" i="86"/>
  <c r="AE6" i="86"/>
  <c r="AF6" i="86"/>
  <c r="AG6" i="86"/>
  <c r="AH6" i="86"/>
  <c r="AI6" i="86"/>
  <c r="AJ6" i="86"/>
  <c r="AK6" i="86"/>
  <c r="AL6" i="86"/>
  <c r="AM6" i="86"/>
  <c r="AN6" i="86"/>
  <c r="AO6" i="86"/>
  <c r="AP6" i="86"/>
  <c r="AQ6" i="86"/>
  <c r="B7" i="86"/>
  <c r="C7" i="86"/>
  <c r="D7" i="86"/>
  <c r="E7" i="86"/>
  <c r="F7" i="86"/>
  <c r="G7" i="86"/>
  <c r="H7" i="86"/>
  <c r="I7" i="86"/>
  <c r="J7" i="86"/>
  <c r="K7" i="86"/>
  <c r="L7" i="86"/>
  <c r="M7" i="86"/>
  <c r="N7" i="86"/>
  <c r="O7" i="86"/>
  <c r="P7" i="86"/>
  <c r="Q7" i="86"/>
  <c r="R7" i="86"/>
  <c r="S7" i="86"/>
  <c r="T7" i="86"/>
  <c r="U7" i="86"/>
  <c r="V7" i="86"/>
  <c r="W7" i="86"/>
  <c r="X7" i="86"/>
  <c r="Y7" i="86"/>
  <c r="Z7" i="86"/>
  <c r="AA7" i="86"/>
  <c r="AB7" i="86"/>
  <c r="AC7" i="86"/>
  <c r="AD7" i="86"/>
  <c r="AE7" i="86"/>
  <c r="AF7" i="86"/>
  <c r="AG7" i="86"/>
  <c r="AH7" i="86"/>
  <c r="AI7" i="86"/>
  <c r="AJ7" i="86"/>
  <c r="AK7" i="86"/>
  <c r="AL7" i="86"/>
  <c r="AM7" i="86"/>
  <c r="AN7" i="86"/>
  <c r="AO7" i="86"/>
  <c r="AP7" i="86"/>
  <c r="AQ7" i="86"/>
  <c r="B8" i="86"/>
  <c r="C8" i="86"/>
  <c r="D8" i="86"/>
  <c r="E8" i="86"/>
  <c r="F8" i="86"/>
  <c r="G8" i="86"/>
  <c r="H8" i="86"/>
  <c r="I8" i="86"/>
  <c r="J8" i="86"/>
  <c r="K8" i="86"/>
  <c r="L8" i="86"/>
  <c r="M8" i="86"/>
  <c r="N8" i="86"/>
  <c r="O8" i="86"/>
  <c r="P8" i="86"/>
  <c r="Q8" i="86"/>
  <c r="R8" i="86"/>
  <c r="S8" i="86"/>
  <c r="T8" i="86"/>
  <c r="U8" i="86"/>
  <c r="V8" i="86"/>
  <c r="W8" i="86"/>
  <c r="X8" i="86"/>
  <c r="Y8" i="86"/>
  <c r="Z8" i="86"/>
  <c r="AA8" i="86"/>
  <c r="AB8" i="86"/>
  <c r="AC8" i="86"/>
  <c r="AD8" i="86"/>
  <c r="AE8" i="86"/>
  <c r="AF8" i="86"/>
  <c r="AG8" i="86"/>
  <c r="AH8" i="86"/>
  <c r="AI8" i="86"/>
  <c r="AJ8" i="86"/>
  <c r="AK8" i="86"/>
  <c r="AL8" i="86"/>
  <c r="AM8" i="86"/>
  <c r="AN8" i="86"/>
  <c r="AO8" i="86"/>
  <c r="AP8" i="86"/>
  <c r="AQ8" i="86"/>
  <c r="B9" i="86"/>
  <c r="C9" i="86"/>
  <c r="D9" i="86"/>
  <c r="E9" i="86"/>
  <c r="F9" i="86"/>
  <c r="G9" i="86"/>
  <c r="H9" i="86"/>
  <c r="I9" i="86"/>
  <c r="J9" i="86"/>
  <c r="K9" i="86"/>
  <c r="L9" i="86"/>
  <c r="M9" i="86"/>
  <c r="N9" i="86"/>
  <c r="O9" i="86"/>
  <c r="P9" i="86"/>
  <c r="Q9" i="86"/>
  <c r="R9" i="86"/>
  <c r="S9" i="86"/>
  <c r="T9" i="86"/>
  <c r="U9" i="86"/>
  <c r="V9" i="86"/>
  <c r="W9" i="86"/>
  <c r="X9" i="86"/>
  <c r="Y9" i="86"/>
  <c r="Z9" i="86"/>
  <c r="AA9" i="86"/>
  <c r="AB9" i="86"/>
  <c r="AC9" i="86"/>
  <c r="AD9" i="86"/>
  <c r="AE9" i="86"/>
  <c r="AF9" i="86"/>
  <c r="AG9" i="86"/>
  <c r="AH9" i="86"/>
  <c r="AI9" i="86"/>
  <c r="AJ9" i="86"/>
  <c r="AK9" i="86"/>
  <c r="AL9" i="86"/>
  <c r="AM9" i="86"/>
  <c r="AN9" i="86"/>
  <c r="AO9" i="86"/>
  <c r="AP9" i="86"/>
  <c r="AQ9" i="86"/>
  <c r="B10" i="86"/>
  <c r="C10" i="86"/>
  <c r="D10" i="86"/>
  <c r="E10" i="86"/>
  <c r="F10" i="86"/>
  <c r="G10" i="86"/>
  <c r="H10" i="86"/>
  <c r="I10" i="86"/>
  <c r="J10" i="86"/>
  <c r="K10" i="86"/>
  <c r="L10" i="86"/>
  <c r="M10" i="86"/>
  <c r="N10" i="86"/>
  <c r="O10" i="86"/>
  <c r="P10" i="86"/>
  <c r="Q10" i="86"/>
  <c r="R10" i="86"/>
  <c r="S10" i="86"/>
  <c r="T10" i="86"/>
  <c r="U10" i="86"/>
  <c r="V10" i="86"/>
  <c r="W10" i="86"/>
  <c r="X10" i="86"/>
  <c r="Y10" i="86"/>
  <c r="Z10" i="86"/>
  <c r="AA10" i="86"/>
  <c r="AB10" i="86"/>
  <c r="AC10" i="86"/>
  <c r="AD10" i="86"/>
  <c r="AE10" i="86"/>
  <c r="AF10" i="86"/>
  <c r="AG10" i="86"/>
  <c r="AH10" i="86"/>
  <c r="AI10" i="86"/>
  <c r="AJ10" i="86"/>
  <c r="AK10" i="86"/>
  <c r="AL10" i="86"/>
  <c r="AM10" i="86"/>
  <c r="AN10" i="86"/>
  <c r="AO10" i="86"/>
  <c r="AP10" i="86"/>
  <c r="AQ10" i="86"/>
  <c r="B11" i="86"/>
  <c r="C11" i="86"/>
  <c r="D11" i="86"/>
  <c r="E11" i="86"/>
  <c r="F11" i="86"/>
  <c r="G11" i="86"/>
  <c r="H11" i="86"/>
  <c r="I11" i="86"/>
  <c r="J11" i="86"/>
  <c r="K11" i="86"/>
  <c r="L11" i="86"/>
  <c r="M11" i="86"/>
  <c r="N11" i="86"/>
  <c r="O11" i="86"/>
  <c r="P11" i="86"/>
  <c r="Q11" i="86"/>
  <c r="R11" i="86"/>
  <c r="S11" i="86"/>
  <c r="T11" i="86"/>
  <c r="U11" i="86"/>
  <c r="V11" i="86"/>
  <c r="W11" i="86"/>
  <c r="X11" i="86"/>
  <c r="Y11" i="86"/>
  <c r="Z11" i="86"/>
  <c r="AA11" i="86"/>
  <c r="AB11" i="86"/>
  <c r="AC11" i="86"/>
  <c r="AD11" i="86"/>
  <c r="AE11" i="86"/>
  <c r="AF11" i="86"/>
  <c r="AG11" i="86"/>
  <c r="AH11" i="86"/>
  <c r="AI11" i="86"/>
  <c r="AJ11" i="86"/>
  <c r="AK11" i="86"/>
  <c r="AL11" i="86"/>
  <c r="AM11" i="86"/>
  <c r="AN11" i="86"/>
  <c r="AO11" i="86"/>
  <c r="AP11" i="86"/>
  <c r="AQ11" i="86"/>
  <c r="B12" i="86"/>
  <c r="C12" i="86"/>
  <c r="D12" i="86"/>
  <c r="E12" i="86"/>
  <c r="F12" i="86"/>
  <c r="G12" i="86"/>
  <c r="H12" i="86"/>
  <c r="I12" i="86"/>
  <c r="J12" i="86"/>
  <c r="K12" i="86"/>
  <c r="L12" i="86"/>
  <c r="M12" i="86"/>
  <c r="N12" i="86"/>
  <c r="O12" i="86"/>
  <c r="P12" i="86"/>
  <c r="Q12" i="86"/>
  <c r="R12" i="86"/>
  <c r="S12" i="86"/>
  <c r="T12" i="86"/>
  <c r="U12" i="86"/>
  <c r="V12" i="86"/>
  <c r="W12" i="86"/>
  <c r="X12" i="86"/>
  <c r="Y12" i="86"/>
  <c r="Z12" i="86"/>
  <c r="AA12" i="86"/>
  <c r="AB12" i="86"/>
  <c r="AC12" i="86"/>
  <c r="AD12" i="86"/>
  <c r="AE12" i="86"/>
  <c r="AF12" i="86"/>
  <c r="AG12" i="86"/>
  <c r="AH12" i="86"/>
  <c r="AI12" i="86"/>
  <c r="AJ12" i="86"/>
  <c r="AK12" i="86"/>
  <c r="AL12" i="86"/>
  <c r="AM12" i="86"/>
  <c r="AN12" i="86"/>
  <c r="AO12" i="86"/>
  <c r="AP12" i="86"/>
  <c r="AQ12" i="86"/>
  <c r="B13" i="86"/>
  <c r="C13" i="86"/>
  <c r="D13" i="86"/>
  <c r="E13" i="86"/>
  <c r="F13" i="86"/>
  <c r="G13" i="86"/>
  <c r="H13" i="86"/>
  <c r="I13" i="86"/>
  <c r="J13" i="86"/>
  <c r="K13" i="86"/>
  <c r="L13" i="86"/>
  <c r="M13" i="86"/>
  <c r="N13" i="86"/>
  <c r="O13" i="86"/>
  <c r="P13" i="86"/>
  <c r="Q13" i="86"/>
  <c r="R13" i="86"/>
  <c r="S13" i="86"/>
  <c r="T13" i="86"/>
  <c r="U13" i="86"/>
  <c r="V13" i="86"/>
  <c r="W13" i="86"/>
  <c r="X13" i="86"/>
  <c r="Y13" i="86"/>
  <c r="Z13" i="86"/>
  <c r="AA13" i="86"/>
  <c r="AB13" i="86"/>
  <c r="AC13" i="86"/>
  <c r="AD13" i="86"/>
  <c r="AE13" i="86"/>
  <c r="AF13" i="86"/>
  <c r="AG13" i="86"/>
  <c r="AH13" i="86"/>
  <c r="AI13" i="86"/>
  <c r="AJ13" i="86"/>
  <c r="AK13" i="86"/>
  <c r="AL13" i="86"/>
  <c r="AM13" i="86"/>
  <c r="AN13" i="86"/>
  <c r="AO13" i="86"/>
  <c r="AP13" i="86"/>
  <c r="AQ13" i="86"/>
  <c r="B14" i="86"/>
  <c r="C14" i="86"/>
  <c r="D14" i="86"/>
  <c r="E14" i="86"/>
  <c r="F14" i="86"/>
  <c r="G14" i="86"/>
  <c r="H14" i="86"/>
  <c r="I14" i="86"/>
  <c r="J14" i="86"/>
  <c r="K14" i="86"/>
  <c r="L14" i="86"/>
  <c r="M14" i="86"/>
  <c r="N14" i="86"/>
  <c r="O14" i="86"/>
  <c r="P14" i="86"/>
  <c r="Q14" i="86"/>
  <c r="R14" i="86"/>
  <c r="S14" i="86"/>
  <c r="T14" i="86"/>
  <c r="U14" i="86"/>
  <c r="V14" i="86"/>
  <c r="W14" i="86"/>
  <c r="X14" i="86"/>
  <c r="Y14" i="86"/>
  <c r="Z14" i="86"/>
  <c r="AA14" i="86"/>
  <c r="AB14" i="86"/>
  <c r="AC14" i="86"/>
  <c r="AD14" i="86"/>
  <c r="AE14" i="86"/>
  <c r="AF14" i="86"/>
  <c r="AG14" i="86"/>
  <c r="AH14" i="86"/>
  <c r="AI14" i="86"/>
  <c r="AJ14" i="86"/>
  <c r="AK14" i="86"/>
  <c r="AL14" i="86"/>
  <c r="AM14" i="86"/>
  <c r="AN14" i="86"/>
  <c r="AO14" i="86"/>
  <c r="AP14" i="86"/>
  <c r="AQ14" i="86"/>
  <c r="B15" i="86"/>
  <c r="C15" i="86"/>
  <c r="D15" i="86"/>
  <c r="E15" i="86"/>
  <c r="F15" i="86"/>
  <c r="G15" i="86"/>
  <c r="H15" i="86"/>
  <c r="I15" i="86"/>
  <c r="J15" i="86"/>
  <c r="K15" i="86"/>
  <c r="L15" i="86"/>
  <c r="M15" i="86"/>
  <c r="N15" i="86"/>
  <c r="O15" i="86"/>
  <c r="P15" i="86"/>
  <c r="Q15" i="86"/>
  <c r="R15" i="86"/>
  <c r="S15" i="86"/>
  <c r="T15" i="86"/>
  <c r="U15" i="86"/>
  <c r="V15" i="86"/>
  <c r="W15" i="86"/>
  <c r="X15" i="86"/>
  <c r="Y15" i="86"/>
  <c r="Z15" i="86"/>
  <c r="AA15" i="86"/>
  <c r="AB15" i="86"/>
  <c r="AC15" i="86"/>
  <c r="AD15" i="86"/>
  <c r="AE15" i="86"/>
  <c r="AF15" i="86"/>
  <c r="AG15" i="86"/>
  <c r="AH15" i="86"/>
  <c r="AI15" i="86"/>
  <c r="AJ15" i="86"/>
  <c r="AK15" i="86"/>
  <c r="AL15" i="86"/>
  <c r="AM15" i="86"/>
  <c r="AN15" i="86"/>
  <c r="AO15" i="86"/>
  <c r="AP15" i="86"/>
  <c r="AQ15" i="86"/>
  <c r="B16" i="86"/>
  <c r="C16" i="86"/>
  <c r="D16" i="86"/>
  <c r="E16" i="86"/>
  <c r="F16" i="86"/>
  <c r="G16" i="86"/>
  <c r="H16" i="86"/>
  <c r="I16" i="86"/>
  <c r="J16" i="86"/>
  <c r="K16" i="86"/>
  <c r="L16" i="86"/>
  <c r="M16" i="86"/>
  <c r="N16" i="86"/>
  <c r="O16" i="86"/>
  <c r="P16" i="86"/>
  <c r="Q16" i="86"/>
  <c r="R16" i="86"/>
  <c r="S16" i="86"/>
  <c r="T16" i="86"/>
  <c r="U16" i="86"/>
  <c r="V16" i="86"/>
  <c r="W16" i="86"/>
  <c r="X16" i="86"/>
  <c r="Y16" i="86"/>
  <c r="Z16" i="86"/>
  <c r="AA16" i="86"/>
  <c r="AB16" i="86"/>
  <c r="AC16" i="86"/>
  <c r="AD16" i="86"/>
  <c r="AE16" i="86"/>
  <c r="AF16" i="86"/>
  <c r="AG16" i="86"/>
  <c r="AH16" i="86"/>
  <c r="AI16" i="86"/>
  <c r="AJ16" i="86"/>
  <c r="AK16" i="86"/>
  <c r="AL16" i="86"/>
  <c r="AM16" i="86"/>
  <c r="AN16" i="86"/>
  <c r="AO16" i="86"/>
  <c r="AP16" i="86"/>
  <c r="AQ16" i="86"/>
  <c r="B17" i="86"/>
  <c r="C17" i="86"/>
  <c r="D17" i="86"/>
  <c r="E17" i="86"/>
  <c r="F17" i="86"/>
  <c r="G17" i="86"/>
  <c r="H17" i="86"/>
  <c r="I17" i="86"/>
  <c r="J17" i="86"/>
  <c r="K17" i="86"/>
  <c r="L17" i="86"/>
  <c r="M17" i="86"/>
  <c r="N17" i="86"/>
  <c r="O17" i="86"/>
  <c r="P17" i="86"/>
  <c r="Q17" i="86"/>
  <c r="R17" i="86"/>
  <c r="S17" i="86"/>
  <c r="T17" i="86"/>
  <c r="U17" i="86"/>
  <c r="V17" i="86"/>
  <c r="W17" i="86"/>
  <c r="X17" i="86"/>
  <c r="Y17" i="86"/>
  <c r="Z17" i="86"/>
  <c r="AA17" i="86"/>
  <c r="AB17" i="86"/>
  <c r="AC17" i="86"/>
  <c r="AD17" i="86"/>
  <c r="AE17" i="86"/>
  <c r="AF17" i="86"/>
  <c r="AG17" i="86"/>
  <c r="AH17" i="86"/>
  <c r="AI17" i="86"/>
  <c r="AJ17" i="86"/>
  <c r="AK17" i="86"/>
  <c r="AL17" i="86"/>
  <c r="AM17" i="86"/>
  <c r="AN17" i="86"/>
  <c r="AO17" i="86"/>
  <c r="AP17" i="86"/>
  <c r="AQ17" i="86"/>
  <c r="B18" i="86"/>
  <c r="C18" i="86"/>
  <c r="D18" i="86"/>
  <c r="E18" i="86"/>
  <c r="F18" i="86"/>
  <c r="G18" i="86"/>
  <c r="H18" i="86"/>
  <c r="I18" i="86"/>
  <c r="J18" i="86"/>
  <c r="K18" i="86"/>
  <c r="L18" i="86"/>
  <c r="M18" i="86"/>
  <c r="N18" i="86"/>
  <c r="O18" i="86"/>
  <c r="P18" i="86"/>
  <c r="Q18" i="86"/>
  <c r="R18" i="86"/>
  <c r="S18" i="86"/>
  <c r="T18" i="86"/>
  <c r="U18" i="86"/>
  <c r="V18" i="86"/>
  <c r="W18" i="86"/>
  <c r="X18" i="86"/>
  <c r="Y18" i="86"/>
  <c r="Z18" i="86"/>
  <c r="AA18" i="86"/>
  <c r="AB18" i="86"/>
  <c r="AC18" i="86"/>
  <c r="AD18" i="86"/>
  <c r="AE18" i="86"/>
  <c r="AF18" i="86"/>
  <c r="AG18" i="86"/>
  <c r="AH18" i="86"/>
  <c r="AI18" i="86"/>
  <c r="AJ18" i="86"/>
  <c r="AK18" i="86"/>
  <c r="AL18" i="86"/>
  <c r="AM18" i="86"/>
  <c r="AN18" i="86"/>
  <c r="AO18" i="86"/>
  <c r="AP18" i="86"/>
  <c r="AQ18" i="86"/>
  <c r="B19" i="86"/>
  <c r="C19" i="86"/>
  <c r="D19" i="86"/>
  <c r="E19" i="86"/>
  <c r="F19" i="86"/>
  <c r="G19" i="86"/>
  <c r="H19" i="86"/>
  <c r="I19" i="86"/>
  <c r="J19" i="86"/>
  <c r="K19" i="86"/>
  <c r="L19" i="86"/>
  <c r="M19" i="86"/>
  <c r="N19" i="86"/>
  <c r="O19" i="86"/>
  <c r="P19" i="86"/>
  <c r="Q19" i="86"/>
  <c r="R19" i="86"/>
  <c r="S19" i="86"/>
  <c r="T19" i="86"/>
  <c r="U19" i="86"/>
  <c r="V19" i="86"/>
  <c r="W19" i="86"/>
  <c r="X19" i="86"/>
  <c r="Y19" i="86"/>
  <c r="Z19" i="86"/>
  <c r="AA19" i="86"/>
  <c r="AB19" i="86"/>
  <c r="AC19" i="86"/>
  <c r="AD19" i="86"/>
  <c r="AE19" i="86"/>
  <c r="AF19" i="86"/>
  <c r="AG19" i="86"/>
  <c r="AH19" i="86"/>
  <c r="AI19" i="86"/>
  <c r="AJ19" i="86"/>
  <c r="AK19" i="86"/>
  <c r="AL19" i="86"/>
  <c r="AM19" i="86"/>
  <c r="AN19" i="86"/>
  <c r="AO19" i="86"/>
  <c r="AP19" i="86"/>
  <c r="AQ19" i="86"/>
  <c r="B20" i="86"/>
  <c r="C20" i="86"/>
  <c r="D20" i="86"/>
  <c r="E20" i="86"/>
  <c r="F20" i="86"/>
  <c r="G20" i="86"/>
  <c r="H20" i="86"/>
  <c r="I20" i="86"/>
  <c r="J20" i="86"/>
  <c r="K20" i="86"/>
  <c r="L20" i="86"/>
  <c r="M20" i="86"/>
  <c r="N20" i="86"/>
  <c r="O20" i="86"/>
  <c r="P20" i="86"/>
  <c r="Q20" i="86"/>
  <c r="R20" i="86"/>
  <c r="S20" i="86"/>
  <c r="T20" i="86"/>
  <c r="U20" i="86"/>
  <c r="V20" i="86"/>
  <c r="W20" i="86"/>
  <c r="X20" i="86"/>
  <c r="Y20" i="86"/>
  <c r="Z20" i="86"/>
  <c r="AA20" i="86"/>
  <c r="AB20" i="86"/>
  <c r="AC20" i="86"/>
  <c r="AD20" i="86"/>
  <c r="AE20" i="86"/>
  <c r="AF20" i="86"/>
  <c r="AG20" i="86"/>
  <c r="AH20" i="86"/>
  <c r="AI20" i="86"/>
  <c r="AJ20" i="86"/>
  <c r="AK20" i="86"/>
  <c r="AL20" i="86"/>
  <c r="AM20" i="86"/>
  <c r="AN20" i="86"/>
  <c r="AO20" i="86"/>
  <c r="AP20" i="86"/>
  <c r="AQ20" i="86"/>
  <c r="B21" i="86"/>
  <c r="C21" i="86"/>
  <c r="D21" i="86"/>
  <c r="E21" i="86"/>
  <c r="F21" i="86"/>
  <c r="G21" i="86"/>
  <c r="H21" i="86"/>
  <c r="I21" i="86"/>
  <c r="J21" i="86"/>
  <c r="K21" i="86"/>
  <c r="L21" i="86"/>
  <c r="M21" i="86"/>
  <c r="N21" i="86"/>
  <c r="O21" i="86"/>
  <c r="P21" i="86"/>
  <c r="Q21" i="86"/>
  <c r="R21" i="86"/>
  <c r="S21" i="86"/>
  <c r="T21" i="86"/>
  <c r="U21" i="86"/>
  <c r="V21" i="86"/>
  <c r="W21" i="86"/>
  <c r="X21" i="86"/>
  <c r="Y21" i="86"/>
  <c r="Z21" i="86"/>
  <c r="AA21" i="86"/>
  <c r="AB21" i="86"/>
  <c r="AC21" i="86"/>
  <c r="AD21" i="86"/>
  <c r="AE21" i="86"/>
  <c r="AF21" i="86"/>
  <c r="AG21" i="86"/>
  <c r="AH21" i="86"/>
  <c r="AI21" i="86"/>
  <c r="AJ21" i="86"/>
  <c r="AK21" i="86"/>
  <c r="AL21" i="86"/>
  <c r="AM21" i="86"/>
  <c r="AN21" i="86"/>
  <c r="AO21" i="86"/>
  <c r="AP21" i="86"/>
  <c r="AQ21" i="86"/>
  <c r="B22" i="86"/>
  <c r="C22" i="86"/>
  <c r="D22" i="86"/>
  <c r="E22" i="86"/>
  <c r="F22" i="86"/>
  <c r="G22" i="86"/>
  <c r="H22" i="86"/>
  <c r="I22" i="86"/>
  <c r="J22" i="86"/>
  <c r="K22" i="86"/>
  <c r="L22" i="86"/>
  <c r="M22" i="86"/>
  <c r="N22" i="86"/>
  <c r="O22" i="86"/>
  <c r="P22" i="86"/>
  <c r="Q22" i="86"/>
  <c r="R22" i="86"/>
  <c r="S22" i="86"/>
  <c r="T22" i="86"/>
  <c r="U22" i="86"/>
  <c r="V22" i="86"/>
  <c r="W22" i="86"/>
  <c r="X22" i="86"/>
  <c r="Y22" i="86"/>
  <c r="Z22" i="86"/>
  <c r="AA22" i="86"/>
  <c r="AB22" i="86"/>
  <c r="AC22" i="86"/>
  <c r="AD22" i="86"/>
  <c r="AE22" i="86"/>
  <c r="AF22" i="86"/>
  <c r="AG22" i="86"/>
  <c r="AH22" i="86"/>
  <c r="AI22" i="86"/>
  <c r="AJ22" i="86"/>
  <c r="AK22" i="86"/>
  <c r="AL22" i="86"/>
  <c r="AM22" i="86"/>
  <c r="AN22" i="86"/>
  <c r="AO22" i="86"/>
  <c r="AP22" i="86"/>
  <c r="AQ22" i="86"/>
  <c r="B23" i="86"/>
  <c r="C23" i="86"/>
  <c r="D23" i="86"/>
  <c r="E23" i="86"/>
  <c r="F23" i="86"/>
  <c r="G23" i="86"/>
  <c r="H23" i="86"/>
  <c r="I23" i="86"/>
  <c r="J23" i="86"/>
  <c r="K23" i="86"/>
  <c r="L23" i="86"/>
  <c r="M23" i="86"/>
  <c r="N23" i="86"/>
  <c r="O23" i="86"/>
  <c r="P23" i="86"/>
  <c r="Q23" i="86"/>
  <c r="R23" i="86"/>
  <c r="S23" i="86"/>
  <c r="T23" i="86"/>
  <c r="U23" i="86"/>
  <c r="V23" i="86"/>
  <c r="W23" i="86"/>
  <c r="X23" i="86"/>
  <c r="Y23" i="86"/>
  <c r="Z23" i="86"/>
  <c r="AA23" i="86"/>
  <c r="AB23" i="86"/>
  <c r="AC23" i="86"/>
  <c r="AD23" i="86"/>
  <c r="AE23" i="86"/>
  <c r="AF23" i="86"/>
  <c r="AG23" i="86"/>
  <c r="AH23" i="86"/>
  <c r="AI23" i="86"/>
  <c r="AJ23" i="86"/>
  <c r="AK23" i="86"/>
  <c r="AL23" i="86"/>
  <c r="AM23" i="86"/>
  <c r="AN23" i="86"/>
  <c r="AO23" i="86"/>
  <c r="AP23" i="86"/>
  <c r="AQ23" i="86"/>
  <c r="B24" i="86"/>
  <c r="C24" i="86"/>
  <c r="D24" i="86"/>
  <c r="E24" i="86"/>
  <c r="F24" i="86"/>
  <c r="G24" i="86"/>
  <c r="H24" i="86"/>
  <c r="I24" i="86"/>
  <c r="J24" i="86"/>
  <c r="K24" i="86"/>
  <c r="L24" i="86"/>
  <c r="M24" i="86"/>
  <c r="N24" i="86"/>
  <c r="O24" i="86"/>
  <c r="P24" i="86"/>
  <c r="Q24" i="86"/>
  <c r="R24" i="86"/>
  <c r="S24" i="86"/>
  <c r="T24" i="86"/>
  <c r="U24" i="86"/>
  <c r="V24" i="86"/>
  <c r="W24" i="86"/>
  <c r="X24" i="86"/>
  <c r="Y24" i="86"/>
  <c r="Z24" i="86"/>
  <c r="AA24" i="86"/>
  <c r="AB24" i="86"/>
  <c r="AC24" i="86"/>
  <c r="AD24" i="86"/>
  <c r="AE24" i="86"/>
  <c r="AF24" i="86"/>
  <c r="AG24" i="86"/>
  <c r="AH24" i="86"/>
  <c r="AI24" i="86"/>
  <c r="AJ24" i="86"/>
  <c r="AK24" i="86"/>
  <c r="AL24" i="86"/>
  <c r="AM24" i="86"/>
  <c r="AN24" i="86"/>
  <c r="AO24" i="86"/>
  <c r="AP24" i="86"/>
  <c r="AQ24" i="86"/>
  <c r="B25" i="86"/>
  <c r="C25" i="86"/>
  <c r="D25" i="86"/>
  <c r="E25" i="86"/>
  <c r="F25" i="86"/>
  <c r="G25" i="86"/>
  <c r="H25" i="86"/>
  <c r="I25" i="86"/>
  <c r="J25" i="86"/>
  <c r="K25" i="86"/>
  <c r="L25" i="86"/>
  <c r="M25" i="86"/>
  <c r="N25" i="86"/>
  <c r="O25" i="86"/>
  <c r="P25" i="86"/>
  <c r="Q25" i="86"/>
  <c r="R25" i="86"/>
  <c r="S25" i="86"/>
  <c r="T25" i="86"/>
  <c r="U25" i="86"/>
  <c r="V25" i="86"/>
  <c r="W25" i="86"/>
  <c r="X25" i="86"/>
  <c r="Y25" i="86"/>
  <c r="Z25" i="86"/>
  <c r="AA25" i="86"/>
  <c r="AB25" i="86"/>
  <c r="AC25" i="86"/>
  <c r="AD25" i="86"/>
  <c r="AE25" i="86"/>
  <c r="AF25" i="86"/>
  <c r="AG25" i="86"/>
  <c r="AH25" i="86"/>
  <c r="AI25" i="86"/>
  <c r="AJ25" i="86"/>
  <c r="AK25" i="86"/>
  <c r="AL25" i="86"/>
  <c r="AM25" i="86"/>
  <c r="AN25" i="86"/>
  <c r="AO25" i="86"/>
  <c r="AP25" i="86"/>
  <c r="AQ25" i="86"/>
  <c r="B26" i="86"/>
  <c r="C26" i="86"/>
  <c r="D26" i="86"/>
  <c r="E26" i="86"/>
  <c r="F26" i="86"/>
  <c r="G26" i="86"/>
  <c r="H26" i="86"/>
  <c r="I26" i="86"/>
  <c r="J26" i="86"/>
  <c r="K26" i="86"/>
  <c r="L26" i="86"/>
  <c r="M26" i="86"/>
  <c r="N26" i="86"/>
  <c r="O26" i="86"/>
  <c r="P26" i="86"/>
  <c r="Q26" i="86"/>
  <c r="R26" i="86"/>
  <c r="S26" i="86"/>
  <c r="T26" i="86"/>
  <c r="U26" i="86"/>
  <c r="V26" i="86"/>
  <c r="W26" i="86"/>
  <c r="X26" i="86"/>
  <c r="Y26" i="86"/>
  <c r="Z26" i="86"/>
  <c r="AA26" i="86"/>
  <c r="AB26" i="86"/>
  <c r="AC26" i="86"/>
  <c r="AD26" i="86"/>
  <c r="AE26" i="86"/>
  <c r="AF26" i="86"/>
  <c r="AG26" i="86"/>
  <c r="AH26" i="86"/>
  <c r="AI26" i="86"/>
  <c r="AJ26" i="86"/>
  <c r="AK26" i="86"/>
  <c r="AL26" i="86"/>
  <c r="AM26" i="86"/>
  <c r="AN26" i="86"/>
  <c r="AO26" i="86"/>
  <c r="AP26" i="86"/>
  <c r="AQ26" i="86"/>
  <c r="B27" i="86"/>
  <c r="C27" i="86"/>
  <c r="D27" i="86"/>
  <c r="E27" i="86"/>
  <c r="F27" i="86"/>
  <c r="G27" i="86"/>
  <c r="H27" i="86"/>
  <c r="I27" i="86"/>
  <c r="J27" i="86"/>
  <c r="K27" i="86"/>
  <c r="L27" i="86"/>
  <c r="M27" i="86"/>
  <c r="N27" i="86"/>
  <c r="O27" i="86"/>
  <c r="P27" i="86"/>
  <c r="Q27" i="86"/>
  <c r="R27" i="86"/>
  <c r="S27" i="86"/>
  <c r="T27" i="86"/>
  <c r="U27" i="86"/>
  <c r="V27" i="86"/>
  <c r="W27" i="86"/>
  <c r="X27" i="86"/>
  <c r="Y27" i="86"/>
  <c r="Z27" i="86"/>
  <c r="AA27" i="86"/>
  <c r="AB27" i="86"/>
  <c r="AC27" i="86"/>
  <c r="AD27" i="86"/>
  <c r="AE27" i="86"/>
  <c r="AF27" i="86"/>
  <c r="AG27" i="86"/>
  <c r="AH27" i="86"/>
  <c r="AI27" i="86"/>
  <c r="AJ27" i="86"/>
  <c r="AK27" i="86"/>
  <c r="AL27" i="86"/>
  <c r="AM27" i="86"/>
  <c r="AN27" i="86"/>
  <c r="AO27" i="86"/>
  <c r="AP27" i="86"/>
  <c r="AQ27" i="86"/>
  <c r="B28" i="86"/>
  <c r="C28" i="86"/>
  <c r="D28" i="86"/>
  <c r="E28" i="86"/>
  <c r="F28" i="86"/>
  <c r="G28" i="86"/>
  <c r="H28" i="86"/>
  <c r="I28" i="86"/>
  <c r="J28" i="86"/>
  <c r="K28" i="86"/>
  <c r="L28" i="86"/>
  <c r="M28" i="86"/>
  <c r="N28" i="86"/>
  <c r="O28" i="86"/>
  <c r="P28" i="86"/>
  <c r="Q28" i="86"/>
  <c r="R28" i="86"/>
  <c r="S28" i="86"/>
  <c r="T28" i="86"/>
  <c r="U28" i="86"/>
  <c r="V28" i="86"/>
  <c r="W28" i="86"/>
  <c r="X28" i="86"/>
  <c r="Y28" i="86"/>
  <c r="Z28" i="86"/>
  <c r="AA28" i="86"/>
  <c r="AB28" i="86"/>
  <c r="AC28" i="86"/>
  <c r="AD28" i="86"/>
  <c r="AE28" i="86"/>
  <c r="AF28" i="86"/>
  <c r="AG28" i="86"/>
  <c r="AH28" i="86"/>
  <c r="AI28" i="86"/>
  <c r="AJ28" i="86"/>
  <c r="AK28" i="86"/>
  <c r="AL28" i="86"/>
  <c r="AM28" i="86"/>
  <c r="AN28" i="86"/>
  <c r="AO28" i="86"/>
  <c r="AP28" i="86"/>
  <c r="AQ28" i="86"/>
  <c r="B29" i="86"/>
  <c r="C29" i="86"/>
  <c r="D29" i="86"/>
  <c r="E29" i="86"/>
  <c r="F29" i="86"/>
  <c r="G29" i="86"/>
  <c r="H29" i="86"/>
  <c r="I29" i="86"/>
  <c r="J29" i="86"/>
  <c r="K29" i="86"/>
  <c r="L29" i="86"/>
  <c r="M29" i="86"/>
  <c r="N29" i="86"/>
  <c r="O29" i="86"/>
  <c r="P29" i="86"/>
  <c r="Q29" i="86"/>
  <c r="R29" i="86"/>
  <c r="S29" i="86"/>
  <c r="T29" i="86"/>
  <c r="U29" i="86"/>
  <c r="V29" i="86"/>
  <c r="W29" i="86"/>
  <c r="X29" i="86"/>
  <c r="Y29" i="86"/>
  <c r="Z29" i="86"/>
  <c r="AA29" i="86"/>
  <c r="AB29" i="86"/>
  <c r="AC29" i="86"/>
  <c r="AD29" i="86"/>
  <c r="AE29" i="86"/>
  <c r="AF29" i="86"/>
  <c r="AG29" i="86"/>
  <c r="AH29" i="86"/>
  <c r="AI29" i="86"/>
  <c r="AJ29" i="86"/>
  <c r="AK29" i="86"/>
  <c r="AL29" i="86"/>
  <c r="AM29" i="86"/>
  <c r="AN29" i="86"/>
  <c r="AO29" i="86"/>
  <c r="AP29" i="86"/>
  <c r="AQ29" i="86"/>
  <c r="B30" i="86"/>
  <c r="C30" i="86"/>
  <c r="D30" i="86"/>
  <c r="E30" i="86"/>
  <c r="F30" i="86"/>
  <c r="G30" i="86"/>
  <c r="H30" i="86"/>
  <c r="I30" i="86"/>
  <c r="J30" i="86"/>
  <c r="K30" i="86"/>
  <c r="L30" i="86"/>
  <c r="M30" i="86"/>
  <c r="N30" i="86"/>
  <c r="O30" i="86"/>
  <c r="P30" i="86"/>
  <c r="Q30" i="86"/>
  <c r="R30" i="86"/>
  <c r="S30" i="86"/>
  <c r="T30" i="86"/>
  <c r="U30" i="86"/>
  <c r="V30" i="86"/>
  <c r="W30" i="86"/>
  <c r="X30" i="86"/>
  <c r="Y30" i="86"/>
  <c r="Z30" i="86"/>
  <c r="AA30" i="86"/>
  <c r="AB30" i="86"/>
  <c r="AC30" i="86"/>
  <c r="AD30" i="86"/>
  <c r="AE30" i="86"/>
  <c r="AF30" i="86"/>
  <c r="AG30" i="86"/>
  <c r="AH30" i="86"/>
  <c r="AI30" i="86"/>
  <c r="AJ30" i="86"/>
  <c r="AK30" i="86"/>
  <c r="AL30" i="86"/>
  <c r="AM30" i="86"/>
  <c r="AN30" i="86"/>
  <c r="AO30" i="86"/>
  <c r="AP30" i="86"/>
  <c r="AQ30" i="86"/>
  <c r="B31" i="86"/>
  <c r="C31" i="86"/>
  <c r="D31" i="86"/>
  <c r="E31" i="86"/>
  <c r="F31" i="86"/>
  <c r="G31" i="86"/>
  <c r="H31" i="86"/>
  <c r="I31" i="86"/>
  <c r="J31" i="86"/>
  <c r="K31" i="86"/>
  <c r="L31" i="86"/>
  <c r="M31" i="86"/>
  <c r="N31" i="86"/>
  <c r="O31" i="86"/>
  <c r="P31" i="86"/>
  <c r="Q31" i="86"/>
  <c r="R31" i="86"/>
  <c r="S31" i="86"/>
  <c r="T31" i="86"/>
  <c r="U31" i="86"/>
  <c r="V31" i="86"/>
  <c r="W31" i="86"/>
  <c r="X31" i="86"/>
  <c r="Y31" i="86"/>
  <c r="Z31" i="86"/>
  <c r="AA31" i="86"/>
  <c r="AB31" i="86"/>
  <c r="AC31" i="86"/>
  <c r="AD31" i="86"/>
  <c r="AE31" i="86"/>
  <c r="AF31" i="86"/>
  <c r="AG31" i="86"/>
  <c r="AH31" i="86"/>
  <c r="AI31" i="86"/>
  <c r="AJ31" i="86"/>
  <c r="AK31" i="86"/>
  <c r="AL31" i="86"/>
  <c r="AM31" i="86"/>
  <c r="AN31" i="86"/>
  <c r="AO31" i="86"/>
  <c r="AP31" i="86"/>
  <c r="AQ31" i="86"/>
  <c r="B32" i="86"/>
  <c r="C32" i="86"/>
  <c r="D32" i="86"/>
  <c r="E32" i="86"/>
  <c r="F32" i="86"/>
  <c r="G32" i="86"/>
  <c r="H32" i="86"/>
  <c r="I32" i="86"/>
  <c r="J32" i="86"/>
  <c r="K32" i="86"/>
  <c r="L32" i="86"/>
  <c r="M32" i="86"/>
  <c r="N32" i="86"/>
  <c r="O32" i="86"/>
  <c r="P32" i="86"/>
  <c r="Q32" i="86"/>
  <c r="R32" i="86"/>
  <c r="S32" i="86"/>
  <c r="T32" i="86"/>
  <c r="U32" i="86"/>
  <c r="V32" i="86"/>
  <c r="W32" i="86"/>
  <c r="X32" i="86"/>
  <c r="Y32" i="86"/>
  <c r="Z32" i="86"/>
  <c r="AA32" i="86"/>
  <c r="AB32" i="86"/>
  <c r="AC32" i="86"/>
  <c r="AD32" i="86"/>
  <c r="AE32" i="86"/>
  <c r="AF32" i="86"/>
  <c r="AG32" i="86"/>
  <c r="AH32" i="86"/>
  <c r="AI32" i="86"/>
  <c r="AJ32" i="86"/>
  <c r="AK32" i="86"/>
  <c r="AL32" i="86"/>
  <c r="AM32" i="86"/>
  <c r="AN32" i="86"/>
  <c r="AO32" i="86"/>
  <c r="AP32" i="86"/>
  <c r="AQ32" i="86"/>
  <c r="B33" i="86"/>
  <c r="C33" i="86"/>
  <c r="D33" i="86"/>
  <c r="E33" i="86"/>
  <c r="F33" i="86"/>
  <c r="G33" i="86"/>
  <c r="H33" i="86"/>
  <c r="I33" i="86"/>
  <c r="J33" i="86"/>
  <c r="K33" i="86"/>
  <c r="L33" i="86"/>
  <c r="M33" i="86"/>
  <c r="N33" i="86"/>
  <c r="O33" i="86"/>
  <c r="P33" i="86"/>
  <c r="Q33" i="86"/>
  <c r="R33" i="86"/>
  <c r="S33" i="86"/>
  <c r="T33" i="86"/>
  <c r="U33" i="86"/>
  <c r="V33" i="86"/>
  <c r="W33" i="86"/>
  <c r="X33" i="86"/>
  <c r="Y33" i="86"/>
  <c r="Z33" i="86"/>
  <c r="AA33" i="86"/>
  <c r="AB33" i="86"/>
  <c r="AC33" i="86"/>
  <c r="AD33" i="86"/>
  <c r="AE33" i="86"/>
  <c r="AF33" i="86"/>
  <c r="AG33" i="86"/>
  <c r="AH33" i="86"/>
  <c r="AI33" i="86"/>
  <c r="AJ33" i="86"/>
  <c r="AK33" i="86"/>
  <c r="AL33" i="86"/>
  <c r="AM33" i="86"/>
  <c r="AN33" i="86"/>
  <c r="AO33" i="86"/>
  <c r="AP33" i="86"/>
  <c r="AQ33" i="86"/>
  <c r="B34" i="86"/>
  <c r="C34" i="86"/>
  <c r="D34" i="86"/>
  <c r="E34" i="86"/>
  <c r="F34" i="86"/>
  <c r="G34" i="86"/>
  <c r="H34" i="86"/>
  <c r="I34" i="86"/>
  <c r="J34" i="86"/>
  <c r="K34" i="86"/>
  <c r="L34" i="86"/>
  <c r="M34" i="86"/>
  <c r="N34" i="86"/>
  <c r="O34" i="86"/>
  <c r="P34" i="86"/>
  <c r="Q34" i="86"/>
  <c r="R34" i="86"/>
  <c r="S34" i="86"/>
  <c r="T34" i="86"/>
  <c r="U34" i="86"/>
  <c r="V34" i="86"/>
  <c r="W34" i="86"/>
  <c r="X34" i="86"/>
  <c r="Y34" i="86"/>
  <c r="Z34" i="86"/>
  <c r="AA34" i="86"/>
  <c r="AB34" i="86"/>
  <c r="AC34" i="86"/>
  <c r="AD34" i="86"/>
  <c r="AE34" i="86"/>
  <c r="AF34" i="86"/>
  <c r="AG34" i="86"/>
  <c r="AH34" i="86"/>
  <c r="AI34" i="86"/>
  <c r="AJ34" i="86"/>
  <c r="AK34" i="86"/>
  <c r="AL34" i="86"/>
  <c r="AM34" i="86"/>
  <c r="AN34" i="86"/>
  <c r="AO34" i="86"/>
  <c r="AP34" i="86"/>
  <c r="AQ34" i="86"/>
  <c r="B35" i="86"/>
  <c r="C35" i="86"/>
  <c r="D35" i="86"/>
  <c r="E35" i="86"/>
  <c r="F35" i="86"/>
  <c r="G35" i="86"/>
  <c r="H35" i="86"/>
  <c r="I35" i="86"/>
  <c r="J35" i="86"/>
  <c r="K35" i="86"/>
  <c r="L35" i="86"/>
  <c r="M35" i="86"/>
  <c r="N35" i="86"/>
  <c r="O35" i="86"/>
  <c r="P35" i="86"/>
  <c r="Q35" i="86"/>
  <c r="R35" i="86"/>
  <c r="S35" i="86"/>
  <c r="T35" i="86"/>
  <c r="U35" i="86"/>
  <c r="V35" i="86"/>
  <c r="W35" i="86"/>
  <c r="X35" i="86"/>
  <c r="Y35" i="86"/>
  <c r="Z35" i="86"/>
  <c r="AA35" i="86"/>
  <c r="AB35" i="86"/>
  <c r="AC35" i="86"/>
  <c r="AD35" i="86"/>
  <c r="AE35" i="86"/>
  <c r="AF35" i="86"/>
  <c r="AG35" i="86"/>
  <c r="AH35" i="86"/>
  <c r="AI35" i="86"/>
  <c r="AJ35" i="86"/>
  <c r="AK35" i="86"/>
  <c r="AL35" i="86"/>
  <c r="AM35" i="86"/>
  <c r="AN35" i="86"/>
  <c r="AO35" i="86"/>
  <c r="AP35" i="86"/>
  <c r="AQ35" i="86"/>
  <c r="B36" i="86"/>
  <c r="C36" i="86"/>
  <c r="D36" i="86"/>
  <c r="E36" i="86"/>
  <c r="F36" i="86"/>
  <c r="G36" i="86"/>
  <c r="H36" i="86"/>
  <c r="I36" i="86"/>
  <c r="J36" i="86"/>
  <c r="K36" i="86"/>
  <c r="L36" i="86"/>
  <c r="M36" i="86"/>
  <c r="N36" i="86"/>
  <c r="O36" i="86"/>
  <c r="P36" i="86"/>
  <c r="Q36" i="86"/>
  <c r="R36" i="86"/>
  <c r="S36" i="86"/>
  <c r="T36" i="86"/>
  <c r="U36" i="86"/>
  <c r="V36" i="86"/>
  <c r="W36" i="86"/>
  <c r="X36" i="86"/>
  <c r="Y36" i="86"/>
  <c r="Z36" i="86"/>
  <c r="AA36" i="86"/>
  <c r="AB36" i="86"/>
  <c r="AC36" i="86"/>
  <c r="AD36" i="86"/>
  <c r="AE36" i="86"/>
  <c r="AF36" i="86"/>
  <c r="AG36" i="86"/>
  <c r="AH36" i="86"/>
  <c r="AI36" i="86"/>
  <c r="AJ36" i="86"/>
  <c r="AK36" i="86"/>
  <c r="AL36" i="86"/>
  <c r="AM36" i="86"/>
  <c r="AN36" i="86"/>
  <c r="AO36" i="86"/>
  <c r="AP36" i="86"/>
  <c r="AQ36" i="86"/>
  <c r="B37" i="86"/>
  <c r="C37" i="86"/>
  <c r="D37" i="86"/>
  <c r="E37" i="86"/>
  <c r="F37" i="86"/>
  <c r="G37" i="86"/>
  <c r="H37" i="86"/>
  <c r="I37" i="86"/>
  <c r="J37" i="86"/>
  <c r="K37" i="86"/>
  <c r="L37" i="86"/>
  <c r="M37" i="86"/>
  <c r="N37" i="86"/>
  <c r="O37" i="86"/>
  <c r="P37" i="86"/>
  <c r="Q37" i="86"/>
  <c r="R37" i="86"/>
  <c r="S37" i="86"/>
  <c r="T37" i="86"/>
  <c r="U37" i="86"/>
  <c r="V37" i="86"/>
  <c r="W37" i="86"/>
  <c r="X37" i="86"/>
  <c r="Y37" i="86"/>
  <c r="Z37" i="86"/>
  <c r="AA37" i="86"/>
  <c r="AB37" i="86"/>
  <c r="AC37" i="86"/>
  <c r="AD37" i="86"/>
  <c r="AE37" i="86"/>
  <c r="AF37" i="86"/>
  <c r="AG37" i="86"/>
  <c r="AH37" i="86"/>
  <c r="AI37" i="86"/>
  <c r="AJ37" i="86"/>
  <c r="AK37" i="86"/>
  <c r="AL37" i="86"/>
  <c r="AM37" i="86"/>
  <c r="AN37" i="86"/>
  <c r="AO37" i="86"/>
  <c r="AP37" i="86"/>
  <c r="AQ37" i="86"/>
  <c r="B38" i="86"/>
  <c r="C38" i="86"/>
  <c r="D38" i="86"/>
  <c r="E38" i="86"/>
  <c r="F38" i="86"/>
  <c r="G38" i="86"/>
  <c r="H38" i="86"/>
  <c r="I38" i="86"/>
  <c r="J38" i="86"/>
  <c r="K38" i="86"/>
  <c r="L38" i="86"/>
  <c r="M38" i="86"/>
  <c r="N38" i="86"/>
  <c r="O38" i="86"/>
  <c r="P38" i="86"/>
  <c r="Q38" i="86"/>
  <c r="R38" i="86"/>
  <c r="S38" i="86"/>
  <c r="T38" i="86"/>
  <c r="U38" i="86"/>
  <c r="V38" i="86"/>
  <c r="W38" i="86"/>
  <c r="X38" i="86"/>
  <c r="Y38" i="86"/>
  <c r="Z38" i="86"/>
  <c r="AA38" i="86"/>
  <c r="AB38" i="86"/>
  <c r="AC38" i="86"/>
  <c r="AD38" i="86"/>
  <c r="AE38" i="86"/>
  <c r="AF38" i="86"/>
  <c r="AG38" i="86"/>
  <c r="AH38" i="86"/>
  <c r="AI38" i="86"/>
  <c r="AJ38" i="86"/>
  <c r="AK38" i="86"/>
  <c r="AL38" i="86"/>
  <c r="AM38" i="86"/>
  <c r="AN38" i="86"/>
  <c r="AO38" i="86"/>
  <c r="AP38" i="86"/>
  <c r="AQ38" i="86"/>
  <c r="B39" i="86"/>
  <c r="C39" i="86"/>
  <c r="D39" i="86"/>
  <c r="E39" i="86"/>
  <c r="F39" i="86"/>
  <c r="G39" i="86"/>
  <c r="H39" i="86"/>
  <c r="I39" i="86"/>
  <c r="J39" i="86"/>
  <c r="K39" i="86"/>
  <c r="L39" i="86"/>
  <c r="M39" i="86"/>
  <c r="N39" i="86"/>
  <c r="O39" i="86"/>
  <c r="P39" i="86"/>
  <c r="Q39" i="86"/>
  <c r="R39" i="86"/>
  <c r="S39" i="86"/>
  <c r="T39" i="86"/>
  <c r="U39" i="86"/>
  <c r="V39" i="86"/>
  <c r="W39" i="86"/>
  <c r="X39" i="86"/>
  <c r="Y39" i="86"/>
  <c r="Z39" i="86"/>
  <c r="AA39" i="86"/>
  <c r="AB39" i="86"/>
  <c r="AC39" i="86"/>
  <c r="AD39" i="86"/>
  <c r="AE39" i="86"/>
  <c r="AF39" i="86"/>
  <c r="AG39" i="86"/>
  <c r="AH39" i="86"/>
  <c r="AI39" i="86"/>
  <c r="AJ39" i="86"/>
  <c r="AK39" i="86"/>
  <c r="AL39" i="86"/>
  <c r="AM39" i="86"/>
  <c r="AN39" i="86"/>
  <c r="AO39" i="86"/>
  <c r="AP39" i="86"/>
  <c r="AQ39" i="86"/>
  <c r="B40" i="86"/>
  <c r="C40" i="86"/>
  <c r="D40" i="86"/>
  <c r="E40" i="86"/>
  <c r="F40" i="86"/>
  <c r="G40" i="86"/>
  <c r="H40" i="86"/>
  <c r="I40" i="86"/>
  <c r="J40" i="86"/>
  <c r="K40" i="86"/>
  <c r="L40" i="86"/>
  <c r="M40" i="86"/>
  <c r="N40" i="86"/>
  <c r="O40" i="86"/>
  <c r="P40" i="86"/>
  <c r="Q40" i="86"/>
  <c r="R40" i="86"/>
  <c r="S40" i="86"/>
  <c r="T40" i="86"/>
  <c r="U40" i="86"/>
  <c r="V40" i="86"/>
  <c r="W40" i="86"/>
  <c r="X40" i="86"/>
  <c r="Y40" i="86"/>
  <c r="Z40" i="86"/>
  <c r="AA40" i="86"/>
  <c r="AB40" i="86"/>
  <c r="AC40" i="86"/>
  <c r="AD40" i="86"/>
  <c r="AE40" i="86"/>
  <c r="AF40" i="86"/>
  <c r="AG40" i="86"/>
  <c r="AH40" i="86"/>
  <c r="AI40" i="86"/>
  <c r="AJ40" i="86"/>
  <c r="AK40" i="86"/>
  <c r="AL40" i="86"/>
  <c r="AM40" i="86"/>
  <c r="AN40" i="86"/>
  <c r="AO40" i="86"/>
  <c r="AP40" i="86"/>
  <c r="AQ40" i="86"/>
  <c r="B41" i="86"/>
  <c r="C41" i="86"/>
  <c r="D41" i="86"/>
  <c r="E41" i="86"/>
  <c r="F41" i="86"/>
  <c r="G41" i="86"/>
  <c r="H41" i="86"/>
  <c r="I41" i="86"/>
  <c r="J41" i="86"/>
  <c r="K41" i="86"/>
  <c r="L41" i="86"/>
  <c r="M41" i="86"/>
  <c r="N41" i="86"/>
  <c r="O41" i="86"/>
  <c r="P41" i="86"/>
  <c r="Q41" i="86"/>
  <c r="R41" i="86"/>
  <c r="S41" i="86"/>
  <c r="T41" i="86"/>
  <c r="U41" i="86"/>
  <c r="V41" i="86"/>
  <c r="W41" i="86"/>
  <c r="X41" i="86"/>
  <c r="Y41" i="86"/>
  <c r="Z41" i="86"/>
  <c r="AA41" i="86"/>
  <c r="AB41" i="86"/>
  <c r="AC41" i="86"/>
  <c r="AD41" i="86"/>
  <c r="AE41" i="86"/>
  <c r="AF41" i="86"/>
  <c r="AG41" i="86"/>
  <c r="AH41" i="86"/>
  <c r="AI41" i="86"/>
  <c r="AJ41" i="86"/>
  <c r="AK41" i="86"/>
  <c r="AL41" i="86"/>
  <c r="AM41" i="86"/>
  <c r="AN41" i="86"/>
  <c r="AO41" i="86"/>
  <c r="AP41" i="86"/>
  <c r="AQ41" i="86"/>
  <c r="B42" i="86"/>
  <c r="C42" i="86"/>
  <c r="D42" i="86"/>
  <c r="E42" i="86"/>
  <c r="F42" i="86"/>
  <c r="G42" i="86"/>
  <c r="H42" i="86"/>
  <c r="I42" i="86"/>
  <c r="J42" i="86"/>
  <c r="K42" i="86"/>
  <c r="L42" i="86"/>
  <c r="M42" i="86"/>
  <c r="N42" i="86"/>
  <c r="O42" i="86"/>
  <c r="P42" i="86"/>
  <c r="Q42" i="86"/>
  <c r="R42" i="86"/>
  <c r="S42" i="86"/>
  <c r="T42" i="86"/>
  <c r="U42" i="86"/>
  <c r="V42" i="86"/>
  <c r="W42" i="86"/>
  <c r="X42" i="86"/>
  <c r="Y42" i="86"/>
  <c r="Z42" i="86"/>
  <c r="AA42" i="86"/>
  <c r="AB42" i="86"/>
  <c r="AC42" i="86"/>
  <c r="AD42" i="86"/>
  <c r="AE42" i="86"/>
  <c r="AF42" i="86"/>
  <c r="AG42" i="86"/>
  <c r="AH42" i="86"/>
  <c r="AI42" i="86"/>
  <c r="AJ42" i="86"/>
  <c r="AK42" i="86"/>
  <c r="AL42" i="86"/>
  <c r="AM42" i="86"/>
  <c r="AN42" i="86"/>
  <c r="AO42" i="86"/>
  <c r="AP42" i="86"/>
  <c r="AQ42" i="86"/>
  <c r="B43" i="86"/>
  <c r="C43" i="86"/>
  <c r="D43" i="86"/>
  <c r="E43" i="86"/>
  <c r="F43" i="86"/>
  <c r="G43" i="86"/>
  <c r="H43" i="86"/>
  <c r="I43" i="86"/>
  <c r="J43" i="86"/>
  <c r="K43" i="86"/>
  <c r="L43" i="86"/>
  <c r="M43" i="86"/>
  <c r="N43" i="86"/>
  <c r="O43" i="86"/>
  <c r="P43" i="86"/>
  <c r="Q43" i="86"/>
  <c r="R43" i="86"/>
  <c r="S43" i="86"/>
  <c r="T43" i="86"/>
  <c r="U43" i="86"/>
  <c r="V43" i="86"/>
  <c r="W43" i="86"/>
  <c r="X43" i="86"/>
  <c r="Y43" i="86"/>
  <c r="Z43" i="86"/>
  <c r="AA43" i="86"/>
  <c r="AB43" i="86"/>
  <c r="AC43" i="86"/>
  <c r="AD43" i="86"/>
  <c r="AE43" i="86"/>
  <c r="AF43" i="86"/>
  <c r="AG43" i="86"/>
  <c r="AH43" i="86"/>
  <c r="AI43" i="86"/>
  <c r="AJ43" i="86"/>
  <c r="AK43" i="86"/>
  <c r="AL43" i="86"/>
  <c r="AM43" i="86"/>
  <c r="AN43" i="86"/>
  <c r="AO43" i="86"/>
  <c r="AP43" i="86"/>
  <c r="AQ43" i="86"/>
  <c r="B44" i="86"/>
  <c r="C44" i="86"/>
  <c r="D44" i="86"/>
  <c r="E44" i="86"/>
  <c r="F44" i="86"/>
  <c r="G44" i="86"/>
  <c r="H44" i="86"/>
  <c r="I44" i="86"/>
  <c r="J44" i="86"/>
  <c r="K44" i="86"/>
  <c r="L44" i="86"/>
  <c r="M44" i="86"/>
  <c r="N44" i="86"/>
  <c r="O44" i="86"/>
  <c r="P44" i="86"/>
  <c r="Q44" i="86"/>
  <c r="R44" i="86"/>
  <c r="S44" i="86"/>
  <c r="T44" i="86"/>
  <c r="U44" i="86"/>
  <c r="V44" i="86"/>
  <c r="W44" i="86"/>
  <c r="X44" i="86"/>
  <c r="Y44" i="86"/>
  <c r="Z44" i="86"/>
  <c r="AA44" i="86"/>
  <c r="AB44" i="86"/>
  <c r="AC44" i="86"/>
  <c r="AD44" i="86"/>
  <c r="AE44" i="86"/>
  <c r="AF44" i="86"/>
  <c r="AG44" i="86"/>
  <c r="AH44" i="86"/>
  <c r="AI44" i="86"/>
  <c r="AJ44" i="86"/>
  <c r="AK44" i="86"/>
  <c r="AL44" i="86"/>
  <c r="AM44" i="86"/>
  <c r="AN44" i="86"/>
  <c r="AO44" i="86"/>
  <c r="AP44" i="86"/>
  <c r="AQ44" i="86"/>
  <c r="B45" i="86"/>
  <c r="C45" i="86"/>
  <c r="D45" i="86"/>
  <c r="E45" i="86"/>
  <c r="F45" i="86"/>
  <c r="G45" i="86"/>
  <c r="H45" i="86"/>
  <c r="I45" i="86"/>
  <c r="J45" i="86"/>
  <c r="K45" i="86"/>
  <c r="L45" i="86"/>
  <c r="M45" i="86"/>
  <c r="N45" i="86"/>
  <c r="O45" i="86"/>
  <c r="P45" i="86"/>
  <c r="Q45" i="86"/>
  <c r="R45" i="86"/>
  <c r="S45" i="86"/>
  <c r="T45" i="86"/>
  <c r="U45" i="86"/>
  <c r="V45" i="86"/>
  <c r="W45" i="86"/>
  <c r="X45" i="86"/>
  <c r="Y45" i="86"/>
  <c r="Z45" i="86"/>
  <c r="AA45" i="86"/>
  <c r="AB45" i="86"/>
  <c r="AC45" i="86"/>
  <c r="AD45" i="86"/>
  <c r="AE45" i="86"/>
  <c r="AF45" i="86"/>
  <c r="AG45" i="86"/>
  <c r="AH45" i="86"/>
  <c r="AI45" i="86"/>
  <c r="AJ45" i="86"/>
  <c r="AK45" i="86"/>
  <c r="AL45" i="86"/>
  <c r="AM45" i="86"/>
  <c r="AN45" i="86"/>
  <c r="AO45" i="86"/>
  <c r="AP45" i="86"/>
  <c r="AQ45" i="86"/>
  <c r="B46" i="86"/>
  <c r="C46" i="86"/>
  <c r="D46" i="86"/>
  <c r="E46" i="86"/>
  <c r="F46" i="86"/>
  <c r="G46" i="86"/>
  <c r="H46" i="86"/>
  <c r="I46" i="86"/>
  <c r="J46" i="86"/>
  <c r="K46" i="86"/>
  <c r="L46" i="86"/>
  <c r="M46" i="86"/>
  <c r="N46" i="86"/>
  <c r="O46" i="86"/>
  <c r="P46" i="86"/>
  <c r="Q46" i="86"/>
  <c r="R46" i="86"/>
  <c r="S46" i="86"/>
  <c r="T46" i="86"/>
  <c r="U46" i="86"/>
  <c r="V46" i="86"/>
  <c r="W46" i="86"/>
  <c r="X46" i="86"/>
  <c r="Y46" i="86"/>
  <c r="Z46" i="86"/>
  <c r="AA46" i="86"/>
  <c r="AB46" i="86"/>
  <c r="AC46" i="86"/>
  <c r="AD46" i="86"/>
  <c r="AE46" i="86"/>
  <c r="AF46" i="86"/>
  <c r="AG46" i="86"/>
  <c r="AH46" i="86"/>
  <c r="AI46" i="86"/>
  <c r="AJ46" i="86"/>
  <c r="AK46" i="86"/>
  <c r="AL46" i="86"/>
  <c r="AM46" i="86"/>
  <c r="AN46" i="86"/>
  <c r="AO46" i="86"/>
  <c r="AP46" i="86"/>
  <c r="AQ46" i="86"/>
  <c r="B47" i="86"/>
  <c r="C47" i="86"/>
  <c r="D47" i="86"/>
  <c r="E47" i="86"/>
  <c r="F47" i="86"/>
  <c r="G47" i="86"/>
  <c r="H47" i="86"/>
  <c r="I47" i="86"/>
  <c r="J47" i="86"/>
  <c r="K47" i="86"/>
  <c r="L47" i="86"/>
  <c r="M47" i="86"/>
  <c r="N47" i="86"/>
  <c r="O47" i="86"/>
  <c r="P47" i="86"/>
  <c r="Q47" i="86"/>
  <c r="R47" i="86"/>
  <c r="S47" i="86"/>
  <c r="T47" i="86"/>
  <c r="U47" i="86"/>
  <c r="V47" i="86"/>
  <c r="W47" i="86"/>
  <c r="X47" i="86"/>
  <c r="Y47" i="86"/>
  <c r="Z47" i="86"/>
  <c r="AA47" i="86"/>
  <c r="AB47" i="86"/>
  <c r="AC47" i="86"/>
  <c r="AD47" i="86"/>
  <c r="AE47" i="86"/>
  <c r="AF47" i="86"/>
  <c r="AG47" i="86"/>
  <c r="AH47" i="86"/>
  <c r="AI47" i="86"/>
  <c r="AJ47" i="86"/>
  <c r="AK47" i="86"/>
  <c r="AL47" i="86"/>
  <c r="AM47" i="86"/>
  <c r="AN47" i="86"/>
  <c r="AO47" i="86"/>
  <c r="AP47" i="86"/>
  <c r="AQ47" i="86"/>
  <c r="B48" i="86"/>
  <c r="C48" i="86"/>
  <c r="D48" i="86"/>
  <c r="E48" i="86"/>
  <c r="F48" i="86"/>
  <c r="G48" i="86"/>
  <c r="H48" i="86"/>
  <c r="I48" i="86"/>
  <c r="J48" i="86"/>
  <c r="K48" i="86"/>
  <c r="L48" i="86"/>
  <c r="M48" i="86"/>
  <c r="N48" i="86"/>
  <c r="O48" i="86"/>
  <c r="P48" i="86"/>
  <c r="Q48" i="86"/>
  <c r="R48" i="86"/>
  <c r="S48" i="86"/>
  <c r="T48" i="86"/>
  <c r="U48" i="86"/>
  <c r="V48" i="86"/>
  <c r="W48" i="86"/>
  <c r="X48" i="86"/>
  <c r="Y48" i="86"/>
  <c r="Z48" i="86"/>
  <c r="AA48" i="86"/>
  <c r="AB48" i="86"/>
  <c r="AC48" i="86"/>
  <c r="AD48" i="86"/>
  <c r="AE48" i="86"/>
  <c r="AF48" i="86"/>
  <c r="AG48" i="86"/>
  <c r="AH48" i="86"/>
  <c r="AI48" i="86"/>
  <c r="AJ48" i="86"/>
  <c r="AK48" i="86"/>
  <c r="AL48" i="86"/>
  <c r="AM48" i="86"/>
  <c r="AN48" i="86"/>
  <c r="AO48" i="86"/>
  <c r="AP48" i="86"/>
  <c r="AQ48" i="86"/>
  <c r="B49" i="86"/>
  <c r="C49" i="86"/>
  <c r="D49" i="86"/>
  <c r="E49" i="86"/>
  <c r="F49" i="86"/>
  <c r="G49" i="86"/>
  <c r="H49" i="86"/>
  <c r="I49" i="86"/>
  <c r="J49" i="86"/>
  <c r="K49" i="86"/>
  <c r="L49" i="86"/>
  <c r="M49" i="86"/>
  <c r="N49" i="86"/>
  <c r="O49" i="86"/>
  <c r="P49" i="86"/>
  <c r="Q49" i="86"/>
  <c r="R49" i="86"/>
  <c r="S49" i="86"/>
  <c r="T49" i="86"/>
  <c r="U49" i="86"/>
  <c r="V49" i="86"/>
  <c r="W49" i="86"/>
  <c r="X49" i="86"/>
  <c r="Y49" i="86"/>
  <c r="Z49" i="86"/>
  <c r="AA49" i="86"/>
  <c r="AB49" i="86"/>
  <c r="AC49" i="86"/>
  <c r="AD49" i="86"/>
  <c r="AE49" i="86"/>
  <c r="AF49" i="86"/>
  <c r="AG49" i="86"/>
  <c r="AH49" i="86"/>
  <c r="AI49" i="86"/>
  <c r="AJ49" i="86"/>
  <c r="AK49" i="86"/>
  <c r="AL49" i="86"/>
  <c r="AM49" i="86"/>
  <c r="AN49" i="86"/>
  <c r="AO49" i="86"/>
  <c r="AP49" i="86"/>
  <c r="AQ49" i="86"/>
  <c r="B50" i="86"/>
  <c r="C50" i="86"/>
  <c r="D50" i="86"/>
  <c r="E50" i="86"/>
  <c r="F50" i="86"/>
  <c r="G50" i="86"/>
  <c r="H50" i="86"/>
  <c r="I50" i="86"/>
  <c r="J50" i="86"/>
  <c r="K50" i="86"/>
  <c r="L50" i="86"/>
  <c r="M50" i="86"/>
  <c r="N50" i="86"/>
  <c r="O50" i="86"/>
  <c r="P50" i="86"/>
  <c r="Q50" i="86"/>
  <c r="R50" i="86"/>
  <c r="S50" i="86"/>
  <c r="T50" i="86"/>
  <c r="U50" i="86"/>
  <c r="V50" i="86"/>
  <c r="W50" i="86"/>
  <c r="X50" i="86"/>
  <c r="Y50" i="86"/>
  <c r="Z50" i="86"/>
  <c r="AA50" i="86"/>
  <c r="AB50" i="86"/>
  <c r="AC50" i="86"/>
  <c r="AD50" i="86"/>
  <c r="AE50" i="86"/>
  <c r="AF50" i="86"/>
  <c r="AG50" i="86"/>
  <c r="AH50" i="86"/>
  <c r="AI50" i="86"/>
  <c r="AJ50" i="86"/>
  <c r="AK50" i="86"/>
  <c r="AL50" i="86"/>
  <c r="AM50" i="86"/>
  <c r="AN50" i="86"/>
  <c r="AO50" i="86"/>
  <c r="AP50" i="86"/>
  <c r="AQ50" i="86"/>
  <c r="B51" i="86"/>
  <c r="C51" i="86"/>
  <c r="D51" i="86"/>
  <c r="E51" i="86"/>
  <c r="F51" i="86"/>
  <c r="G51" i="86"/>
  <c r="H51" i="86"/>
  <c r="I51" i="86"/>
  <c r="J51" i="86"/>
  <c r="K51" i="86"/>
  <c r="L51" i="86"/>
  <c r="M51" i="86"/>
  <c r="N51" i="86"/>
  <c r="O51" i="86"/>
  <c r="P51" i="86"/>
  <c r="Q51" i="86"/>
  <c r="R51" i="86"/>
  <c r="S51" i="86"/>
  <c r="T51" i="86"/>
  <c r="U51" i="86"/>
  <c r="V51" i="86"/>
  <c r="W51" i="86"/>
  <c r="X51" i="86"/>
  <c r="Y51" i="86"/>
  <c r="Z51" i="86"/>
  <c r="AA51" i="86"/>
  <c r="AB51" i="86"/>
  <c r="AC51" i="86"/>
  <c r="AD51" i="86"/>
  <c r="AE51" i="86"/>
  <c r="AF51" i="86"/>
  <c r="AG51" i="86"/>
  <c r="AH51" i="86"/>
  <c r="AI51" i="86"/>
  <c r="AJ51" i="86"/>
  <c r="AK51" i="86"/>
  <c r="AL51" i="86"/>
  <c r="AM51" i="86"/>
  <c r="AN51" i="86"/>
  <c r="AO51" i="86"/>
  <c r="AP51" i="86"/>
  <c r="AQ51" i="86"/>
  <c r="B52" i="86"/>
  <c r="C52" i="86"/>
  <c r="D52" i="86"/>
  <c r="E52" i="86"/>
  <c r="F52" i="86"/>
  <c r="G52" i="86"/>
  <c r="H52" i="86"/>
  <c r="I52" i="86"/>
  <c r="J52" i="86"/>
  <c r="K52" i="86"/>
  <c r="L52" i="86"/>
  <c r="M52" i="86"/>
  <c r="N52" i="86"/>
  <c r="O52" i="86"/>
  <c r="P52" i="86"/>
  <c r="Q52" i="86"/>
  <c r="R52" i="86"/>
  <c r="S52" i="86"/>
  <c r="T52" i="86"/>
  <c r="U52" i="86"/>
  <c r="V52" i="86"/>
  <c r="W52" i="86"/>
  <c r="X52" i="86"/>
  <c r="Y52" i="86"/>
  <c r="Z52" i="86"/>
  <c r="AA52" i="86"/>
  <c r="AB52" i="86"/>
  <c r="AC52" i="86"/>
  <c r="AD52" i="86"/>
  <c r="AE52" i="86"/>
  <c r="AF52" i="86"/>
  <c r="AG52" i="86"/>
  <c r="AH52" i="86"/>
  <c r="AI52" i="86"/>
  <c r="AJ52" i="86"/>
  <c r="AK52" i="86"/>
  <c r="AL52" i="86"/>
  <c r="AM52" i="86"/>
  <c r="AN52" i="86"/>
  <c r="AO52" i="86"/>
  <c r="AP52" i="86"/>
  <c r="AQ52" i="86"/>
  <c r="B53" i="86"/>
  <c r="C53" i="86"/>
  <c r="D53" i="86"/>
  <c r="E53" i="86"/>
  <c r="F53" i="86"/>
  <c r="G53" i="86"/>
  <c r="H53" i="86"/>
  <c r="I53" i="86"/>
  <c r="J53" i="86"/>
  <c r="K53" i="86"/>
  <c r="L53" i="86"/>
  <c r="M53" i="86"/>
  <c r="N53" i="86"/>
  <c r="O53" i="86"/>
  <c r="P53" i="86"/>
  <c r="Q53" i="86"/>
  <c r="R53" i="86"/>
  <c r="S53" i="86"/>
  <c r="T53" i="86"/>
  <c r="U53" i="86"/>
  <c r="V53" i="86"/>
  <c r="W53" i="86"/>
  <c r="X53" i="86"/>
  <c r="Y53" i="86"/>
  <c r="Z53" i="86"/>
  <c r="AA53" i="86"/>
  <c r="AB53" i="86"/>
  <c r="AC53" i="86"/>
  <c r="AD53" i="86"/>
  <c r="AE53" i="86"/>
  <c r="AF53" i="86"/>
  <c r="AG53" i="86"/>
  <c r="AH53" i="86"/>
  <c r="AI53" i="86"/>
  <c r="AJ53" i="86"/>
  <c r="AK53" i="86"/>
  <c r="AL53" i="86"/>
  <c r="AM53" i="86"/>
  <c r="AN53" i="86"/>
  <c r="AO53" i="86"/>
  <c r="AP53" i="86"/>
  <c r="AQ53" i="86"/>
  <c r="B54" i="86"/>
  <c r="C54" i="86"/>
  <c r="D54" i="86"/>
  <c r="E54" i="86"/>
  <c r="F54" i="86"/>
  <c r="G54" i="86"/>
  <c r="H54" i="86"/>
  <c r="I54" i="86"/>
  <c r="J54" i="86"/>
  <c r="K54" i="86"/>
  <c r="L54" i="86"/>
  <c r="M54" i="86"/>
  <c r="N54" i="86"/>
  <c r="O54" i="86"/>
  <c r="P54" i="86"/>
  <c r="Q54" i="86"/>
  <c r="R54" i="86"/>
  <c r="S54" i="86"/>
  <c r="T54" i="86"/>
  <c r="U54" i="86"/>
  <c r="V54" i="86"/>
  <c r="W54" i="86"/>
  <c r="X54" i="86"/>
  <c r="Y54" i="86"/>
  <c r="Z54" i="86"/>
  <c r="AA54" i="86"/>
  <c r="AB54" i="86"/>
  <c r="AC54" i="86"/>
  <c r="AD54" i="86"/>
  <c r="AE54" i="86"/>
  <c r="AF54" i="86"/>
  <c r="AG54" i="86"/>
  <c r="AH54" i="86"/>
  <c r="AI54" i="86"/>
  <c r="AJ54" i="86"/>
  <c r="AK54" i="86"/>
  <c r="AL54" i="86"/>
  <c r="AM54" i="86"/>
  <c r="AN54" i="86"/>
  <c r="AO54" i="86"/>
  <c r="AP54" i="86"/>
  <c r="AQ54" i="86"/>
  <c r="B55" i="86"/>
  <c r="C55" i="86"/>
  <c r="D55" i="86"/>
  <c r="E55" i="86"/>
  <c r="F55" i="86"/>
  <c r="G55" i="86"/>
  <c r="H55" i="86"/>
  <c r="I55" i="86"/>
  <c r="J55" i="86"/>
  <c r="K55" i="86"/>
  <c r="L55" i="86"/>
  <c r="M55" i="86"/>
  <c r="N55" i="86"/>
  <c r="O55" i="86"/>
  <c r="P55" i="86"/>
  <c r="Q55" i="86"/>
  <c r="R55" i="86"/>
  <c r="S55" i="86"/>
  <c r="T55" i="86"/>
  <c r="U55" i="86"/>
  <c r="V55" i="86"/>
  <c r="W55" i="86"/>
  <c r="X55" i="86"/>
  <c r="Y55" i="86"/>
  <c r="Z55" i="86"/>
  <c r="AA55" i="86"/>
  <c r="AB55" i="86"/>
  <c r="AC55" i="86"/>
  <c r="AD55" i="86"/>
  <c r="AE55" i="86"/>
  <c r="AF55" i="86"/>
  <c r="AG55" i="86"/>
  <c r="AH55" i="86"/>
  <c r="AI55" i="86"/>
  <c r="AJ55" i="86"/>
  <c r="AK55" i="86"/>
  <c r="AL55" i="86"/>
  <c r="AM55" i="86"/>
  <c r="AN55" i="86"/>
  <c r="AO55" i="86"/>
  <c r="AP55" i="86"/>
  <c r="AQ55" i="86"/>
  <c r="B56" i="86"/>
  <c r="C56" i="86"/>
  <c r="D56" i="86"/>
  <c r="E56" i="86"/>
  <c r="F56" i="86"/>
  <c r="G56" i="86"/>
  <c r="H56" i="86"/>
  <c r="I56" i="86"/>
  <c r="J56" i="86"/>
  <c r="K56" i="86"/>
  <c r="L56" i="86"/>
  <c r="M56" i="86"/>
  <c r="N56" i="86"/>
  <c r="O56" i="86"/>
  <c r="P56" i="86"/>
  <c r="Q56" i="86"/>
  <c r="R56" i="86"/>
  <c r="S56" i="86"/>
  <c r="T56" i="86"/>
  <c r="U56" i="86"/>
  <c r="V56" i="86"/>
  <c r="W56" i="86"/>
  <c r="X56" i="86"/>
  <c r="Y56" i="86"/>
  <c r="Z56" i="86"/>
  <c r="AA56" i="86"/>
  <c r="AB56" i="86"/>
  <c r="AC56" i="86"/>
  <c r="AD56" i="86"/>
  <c r="AE56" i="86"/>
  <c r="AF56" i="86"/>
  <c r="AG56" i="86"/>
  <c r="AH56" i="86"/>
  <c r="AI56" i="86"/>
  <c r="AJ56" i="86"/>
  <c r="AK56" i="86"/>
  <c r="AL56" i="86"/>
  <c r="AM56" i="86"/>
  <c r="AN56" i="86"/>
  <c r="AO56" i="86"/>
  <c r="AP56" i="86"/>
  <c r="AQ56" i="86"/>
  <c r="B57" i="86"/>
  <c r="C57" i="86"/>
  <c r="D57" i="86"/>
  <c r="E57" i="86"/>
  <c r="F57" i="86"/>
  <c r="G57" i="86"/>
  <c r="H57" i="86"/>
  <c r="I57" i="86"/>
  <c r="J57" i="86"/>
  <c r="K57" i="86"/>
  <c r="L57" i="86"/>
  <c r="M57" i="86"/>
  <c r="N57" i="86"/>
  <c r="O57" i="86"/>
  <c r="P57" i="86"/>
  <c r="Q57" i="86"/>
  <c r="R57" i="86"/>
  <c r="S57" i="86"/>
  <c r="T57" i="86"/>
  <c r="U57" i="86"/>
  <c r="V57" i="86"/>
  <c r="W57" i="86"/>
  <c r="X57" i="86"/>
  <c r="Y57" i="86"/>
  <c r="Z57" i="86"/>
  <c r="AA57" i="86"/>
  <c r="AB57" i="86"/>
  <c r="AC57" i="86"/>
  <c r="AD57" i="86"/>
  <c r="AE57" i="86"/>
  <c r="AF57" i="86"/>
  <c r="AG57" i="86"/>
  <c r="AH57" i="86"/>
  <c r="AI57" i="86"/>
  <c r="AJ57" i="86"/>
  <c r="AK57" i="86"/>
  <c r="AL57" i="86"/>
  <c r="AM57" i="86"/>
  <c r="AN57" i="86"/>
  <c r="AO57" i="86"/>
  <c r="AP57" i="86"/>
  <c r="AQ57" i="86"/>
  <c r="B58" i="86"/>
  <c r="C58" i="86"/>
  <c r="D58" i="86"/>
  <c r="E58" i="86"/>
  <c r="F58" i="86"/>
  <c r="G58" i="86"/>
  <c r="H58" i="86"/>
  <c r="I58" i="86"/>
  <c r="J58" i="86"/>
  <c r="K58" i="86"/>
  <c r="L58" i="86"/>
  <c r="M58" i="86"/>
  <c r="N58" i="86"/>
  <c r="O58" i="86"/>
  <c r="P58" i="86"/>
  <c r="Q58" i="86"/>
  <c r="R58" i="86"/>
  <c r="S58" i="86"/>
  <c r="T58" i="86"/>
  <c r="U58" i="86"/>
  <c r="V58" i="86"/>
  <c r="W58" i="86"/>
  <c r="X58" i="86"/>
  <c r="Y58" i="86"/>
  <c r="Z58" i="86"/>
  <c r="AA58" i="86"/>
  <c r="AB58" i="86"/>
  <c r="AC58" i="86"/>
  <c r="AD58" i="86"/>
  <c r="AE58" i="86"/>
  <c r="AF58" i="86"/>
  <c r="AG58" i="86"/>
  <c r="AH58" i="86"/>
  <c r="AI58" i="86"/>
  <c r="AJ58" i="86"/>
  <c r="AK58" i="86"/>
  <c r="AL58" i="86"/>
  <c r="AM58" i="86"/>
  <c r="AN58" i="86"/>
  <c r="AO58" i="86"/>
  <c r="AP58" i="86"/>
  <c r="AQ58" i="86"/>
  <c r="B59" i="86"/>
  <c r="C59" i="86"/>
  <c r="D59" i="86"/>
  <c r="E59" i="86"/>
  <c r="F59" i="86"/>
  <c r="G59" i="86"/>
  <c r="H59" i="86"/>
  <c r="I59" i="86"/>
  <c r="J59" i="86"/>
  <c r="K59" i="86"/>
  <c r="L59" i="86"/>
  <c r="M59" i="86"/>
  <c r="N59" i="86"/>
  <c r="O59" i="86"/>
  <c r="P59" i="86"/>
  <c r="Q59" i="86"/>
  <c r="R59" i="86"/>
  <c r="S59" i="86"/>
  <c r="T59" i="86"/>
  <c r="U59" i="86"/>
  <c r="V59" i="86"/>
  <c r="W59" i="86"/>
  <c r="X59" i="86"/>
  <c r="Y59" i="86"/>
  <c r="Z59" i="86"/>
  <c r="AA59" i="86"/>
  <c r="AB59" i="86"/>
  <c r="AC59" i="86"/>
  <c r="AD59" i="86"/>
  <c r="AE59" i="86"/>
  <c r="AF59" i="86"/>
  <c r="AG59" i="86"/>
  <c r="AH59" i="86"/>
  <c r="AI59" i="86"/>
  <c r="AJ59" i="86"/>
  <c r="AK59" i="86"/>
  <c r="AL59" i="86"/>
  <c r="AM59" i="86"/>
  <c r="AN59" i="86"/>
  <c r="AO59" i="86"/>
  <c r="AP59" i="86"/>
  <c r="AQ59" i="86"/>
  <c r="B60" i="86"/>
  <c r="C60" i="86"/>
  <c r="D60" i="86"/>
  <c r="E60" i="86"/>
  <c r="F60" i="86"/>
  <c r="G60" i="86"/>
  <c r="H60" i="86"/>
  <c r="I60" i="86"/>
  <c r="J60" i="86"/>
  <c r="K60" i="86"/>
  <c r="L60" i="86"/>
  <c r="M60" i="86"/>
  <c r="N60" i="86"/>
  <c r="O60" i="86"/>
  <c r="P60" i="86"/>
  <c r="Q60" i="86"/>
  <c r="R60" i="86"/>
  <c r="S60" i="86"/>
  <c r="T60" i="86"/>
  <c r="U60" i="86"/>
  <c r="V60" i="86"/>
  <c r="W60" i="86"/>
  <c r="X60" i="86"/>
  <c r="Y60" i="86"/>
  <c r="Z60" i="86"/>
  <c r="AA60" i="86"/>
  <c r="AB60" i="86"/>
  <c r="AC60" i="86"/>
  <c r="AD60" i="86"/>
  <c r="AE60" i="86"/>
  <c r="AF60" i="86"/>
  <c r="AG60" i="86"/>
  <c r="AH60" i="86"/>
  <c r="AI60" i="86"/>
  <c r="AJ60" i="86"/>
  <c r="AK60" i="86"/>
  <c r="AL60" i="86"/>
  <c r="AM60" i="86"/>
  <c r="AN60" i="86"/>
  <c r="AO60" i="86"/>
  <c r="AP60" i="86"/>
  <c r="AQ60" i="86"/>
  <c r="B61" i="86"/>
  <c r="C61" i="86"/>
  <c r="D61" i="86"/>
  <c r="E61" i="86"/>
  <c r="F61" i="86"/>
  <c r="G61" i="86"/>
  <c r="H61" i="86"/>
  <c r="I61" i="86"/>
  <c r="J61" i="86"/>
  <c r="K61" i="86"/>
  <c r="L61" i="86"/>
  <c r="M61" i="86"/>
  <c r="N61" i="86"/>
  <c r="O61" i="86"/>
  <c r="P61" i="86"/>
  <c r="Q61" i="86"/>
  <c r="R61" i="86"/>
  <c r="S61" i="86"/>
  <c r="T61" i="86"/>
  <c r="U61" i="86"/>
  <c r="V61" i="86"/>
  <c r="W61" i="86"/>
  <c r="X61" i="86"/>
  <c r="Y61" i="86"/>
  <c r="Z61" i="86"/>
  <c r="AA61" i="86"/>
  <c r="AB61" i="86"/>
  <c r="AC61" i="86"/>
  <c r="AD61" i="86"/>
  <c r="AE61" i="86"/>
  <c r="AF61" i="86"/>
  <c r="AG61" i="86"/>
  <c r="AH61" i="86"/>
  <c r="AI61" i="86"/>
  <c r="AJ61" i="86"/>
  <c r="AK61" i="86"/>
  <c r="AL61" i="86"/>
  <c r="AM61" i="86"/>
  <c r="AN61" i="86"/>
  <c r="AO61" i="86"/>
  <c r="AP61" i="86"/>
  <c r="AQ61" i="86"/>
  <c r="B62" i="86"/>
  <c r="C62" i="86"/>
  <c r="D62" i="86"/>
  <c r="E62" i="86"/>
  <c r="F62" i="86"/>
  <c r="G62" i="86"/>
  <c r="H62" i="86"/>
  <c r="I62" i="86"/>
  <c r="J62" i="86"/>
  <c r="K62" i="86"/>
  <c r="L62" i="86"/>
  <c r="M62" i="86"/>
  <c r="N62" i="86"/>
  <c r="O62" i="86"/>
  <c r="P62" i="86"/>
  <c r="Q62" i="86"/>
  <c r="R62" i="86"/>
  <c r="S62" i="86"/>
  <c r="T62" i="86"/>
  <c r="U62" i="86"/>
  <c r="V62" i="86"/>
  <c r="W62" i="86"/>
  <c r="X62" i="86"/>
  <c r="Y62" i="86"/>
  <c r="Z62" i="86"/>
  <c r="AA62" i="86"/>
  <c r="AB62" i="86"/>
  <c r="AC62" i="86"/>
  <c r="AD62" i="86"/>
  <c r="AE62" i="86"/>
  <c r="AF62" i="86"/>
  <c r="AG62" i="86"/>
  <c r="AH62" i="86"/>
  <c r="AI62" i="86"/>
  <c r="AJ62" i="86"/>
  <c r="AK62" i="86"/>
  <c r="AL62" i="86"/>
  <c r="AM62" i="86"/>
  <c r="AN62" i="86"/>
  <c r="AO62" i="86"/>
  <c r="AP62" i="86"/>
  <c r="AQ62" i="86"/>
  <c r="B63" i="86"/>
  <c r="C63" i="86"/>
  <c r="D63" i="86"/>
  <c r="E63" i="86"/>
  <c r="F63" i="86"/>
  <c r="G63" i="86"/>
  <c r="H63" i="86"/>
  <c r="I63" i="86"/>
  <c r="J63" i="86"/>
  <c r="K63" i="86"/>
  <c r="L63" i="86"/>
  <c r="M63" i="86"/>
  <c r="N63" i="86"/>
  <c r="O63" i="86"/>
  <c r="P63" i="86"/>
  <c r="Q63" i="86"/>
  <c r="R63" i="86"/>
  <c r="S63" i="86"/>
  <c r="T63" i="86"/>
  <c r="U63" i="86"/>
  <c r="V63" i="86"/>
  <c r="W63" i="86"/>
  <c r="X63" i="86"/>
  <c r="Y63" i="86"/>
  <c r="Z63" i="86"/>
  <c r="AA63" i="86"/>
  <c r="AB63" i="86"/>
  <c r="AC63" i="86"/>
  <c r="AD63" i="86"/>
  <c r="AE63" i="86"/>
  <c r="AF63" i="86"/>
  <c r="AG63" i="86"/>
  <c r="AH63" i="86"/>
  <c r="AI63" i="86"/>
  <c r="AJ63" i="86"/>
  <c r="AK63" i="86"/>
  <c r="AL63" i="86"/>
  <c r="AM63" i="86"/>
  <c r="AN63" i="86"/>
  <c r="AO63" i="86"/>
  <c r="AP63" i="86"/>
  <c r="AQ63" i="86"/>
  <c r="B64" i="86"/>
  <c r="C64" i="86"/>
  <c r="D64" i="86"/>
  <c r="E64" i="86"/>
  <c r="F64" i="86"/>
  <c r="G64" i="86"/>
  <c r="H64" i="86"/>
  <c r="I64" i="86"/>
  <c r="J64" i="86"/>
  <c r="K64" i="86"/>
  <c r="L64" i="86"/>
  <c r="M64" i="86"/>
  <c r="N64" i="86"/>
  <c r="O64" i="86"/>
  <c r="P64" i="86"/>
  <c r="Q64" i="86"/>
  <c r="R64" i="86"/>
  <c r="S64" i="86"/>
  <c r="T64" i="86"/>
  <c r="U64" i="86"/>
  <c r="V64" i="86"/>
  <c r="W64" i="86"/>
  <c r="X64" i="86"/>
  <c r="Y64" i="86"/>
  <c r="Z64" i="86"/>
  <c r="AA64" i="86"/>
  <c r="AB64" i="86"/>
  <c r="AC64" i="86"/>
  <c r="AD64" i="86"/>
  <c r="AE64" i="86"/>
  <c r="AF64" i="86"/>
  <c r="AG64" i="86"/>
  <c r="AH64" i="86"/>
  <c r="AI64" i="86"/>
  <c r="AJ64" i="86"/>
  <c r="AK64" i="86"/>
  <c r="AL64" i="86"/>
  <c r="AM64" i="86"/>
  <c r="AN64" i="86"/>
  <c r="AO64" i="86"/>
  <c r="AP64" i="86"/>
  <c r="AQ64" i="86"/>
  <c r="B65" i="86"/>
  <c r="C65" i="86"/>
  <c r="D65" i="86"/>
  <c r="E65" i="86"/>
  <c r="F65" i="86"/>
  <c r="G65" i="86"/>
  <c r="H65" i="86"/>
  <c r="I65" i="86"/>
  <c r="J65" i="86"/>
  <c r="K65" i="86"/>
  <c r="L65" i="86"/>
  <c r="M65" i="86"/>
  <c r="N65" i="86"/>
  <c r="O65" i="86"/>
  <c r="P65" i="86"/>
  <c r="Q65" i="86"/>
  <c r="R65" i="86"/>
  <c r="S65" i="86"/>
  <c r="T65" i="86"/>
  <c r="U65" i="86"/>
  <c r="V65" i="86"/>
  <c r="W65" i="86"/>
  <c r="X65" i="86"/>
  <c r="Y65" i="86"/>
  <c r="Z65" i="86"/>
  <c r="AA65" i="86"/>
  <c r="AB65" i="86"/>
  <c r="AC65" i="86"/>
  <c r="AD65" i="86"/>
  <c r="AE65" i="86"/>
  <c r="AF65" i="86"/>
  <c r="AG65" i="86"/>
  <c r="AH65" i="86"/>
  <c r="AI65" i="86"/>
  <c r="AJ65" i="86"/>
  <c r="AK65" i="86"/>
  <c r="AL65" i="86"/>
  <c r="AM65" i="86"/>
  <c r="AN65" i="86"/>
  <c r="AO65" i="86"/>
  <c r="AP65" i="86"/>
  <c r="AQ65" i="86"/>
  <c r="B66" i="86"/>
  <c r="C66" i="86"/>
  <c r="D66" i="86"/>
  <c r="E66" i="86"/>
  <c r="F66" i="86"/>
  <c r="G66" i="86"/>
  <c r="H66" i="86"/>
  <c r="I66" i="86"/>
  <c r="J66" i="86"/>
  <c r="K66" i="86"/>
  <c r="L66" i="86"/>
  <c r="M66" i="86"/>
  <c r="N66" i="86"/>
  <c r="O66" i="86"/>
  <c r="P66" i="86"/>
  <c r="Q66" i="86"/>
  <c r="R66" i="86"/>
  <c r="S66" i="86"/>
  <c r="T66" i="86"/>
  <c r="U66" i="86"/>
  <c r="V66" i="86"/>
  <c r="W66" i="86"/>
  <c r="X66" i="86"/>
  <c r="Y66" i="86"/>
  <c r="Z66" i="86"/>
  <c r="AA66" i="86"/>
  <c r="AB66" i="86"/>
  <c r="AC66" i="86"/>
  <c r="AD66" i="86"/>
  <c r="AE66" i="86"/>
  <c r="AF66" i="86"/>
  <c r="AG66" i="86"/>
  <c r="AH66" i="86"/>
  <c r="AI66" i="86"/>
  <c r="AJ66" i="86"/>
  <c r="AK66" i="86"/>
  <c r="AL66" i="86"/>
  <c r="AM66" i="86"/>
  <c r="AN66" i="86"/>
  <c r="AO66" i="86"/>
  <c r="AP66" i="86"/>
  <c r="AQ66" i="86"/>
  <c r="B67" i="86"/>
  <c r="C67" i="86"/>
  <c r="D67" i="86"/>
  <c r="E67" i="86"/>
  <c r="F67" i="86"/>
  <c r="G67" i="86"/>
  <c r="H67" i="86"/>
  <c r="I67" i="86"/>
  <c r="J67" i="86"/>
  <c r="K67" i="86"/>
  <c r="L67" i="86"/>
  <c r="M67" i="86"/>
  <c r="N67" i="86"/>
  <c r="O67" i="86"/>
  <c r="P67" i="86"/>
  <c r="Q67" i="86"/>
  <c r="R67" i="86"/>
  <c r="S67" i="86"/>
  <c r="T67" i="86"/>
  <c r="U67" i="86"/>
  <c r="V67" i="86"/>
  <c r="W67" i="86"/>
  <c r="X67" i="86"/>
  <c r="Y67" i="86"/>
  <c r="Z67" i="86"/>
  <c r="AA67" i="86"/>
  <c r="AB67" i="86"/>
  <c r="AC67" i="86"/>
  <c r="AD67" i="86"/>
  <c r="AE67" i="86"/>
  <c r="AF67" i="86"/>
  <c r="AG67" i="86"/>
  <c r="AH67" i="86"/>
  <c r="AI67" i="86"/>
  <c r="AJ67" i="86"/>
  <c r="AK67" i="86"/>
  <c r="AL67" i="86"/>
  <c r="AM67" i="86"/>
  <c r="AN67" i="86"/>
  <c r="AO67" i="86"/>
  <c r="AP67" i="86"/>
  <c r="AQ67" i="86"/>
  <c r="B68" i="86"/>
  <c r="C68" i="86"/>
  <c r="D68" i="86"/>
  <c r="E68" i="86"/>
  <c r="F68" i="86"/>
  <c r="G68" i="86"/>
  <c r="H68" i="86"/>
  <c r="I68" i="86"/>
  <c r="J68" i="86"/>
  <c r="K68" i="86"/>
  <c r="L68" i="86"/>
  <c r="M68" i="86"/>
  <c r="N68" i="86"/>
  <c r="O68" i="86"/>
  <c r="P68" i="86"/>
  <c r="Q68" i="86"/>
  <c r="R68" i="86"/>
  <c r="S68" i="86"/>
  <c r="T68" i="86"/>
  <c r="U68" i="86"/>
  <c r="V68" i="86"/>
  <c r="W68" i="86"/>
  <c r="X68" i="86"/>
  <c r="Y68" i="86"/>
  <c r="Z68" i="86"/>
  <c r="AA68" i="86"/>
  <c r="AB68" i="86"/>
  <c r="AC68" i="86"/>
  <c r="AD68" i="86"/>
  <c r="AE68" i="86"/>
  <c r="AF68" i="86"/>
  <c r="AG68" i="86"/>
  <c r="AH68" i="86"/>
  <c r="AI68" i="86"/>
  <c r="AJ68" i="86"/>
  <c r="AK68" i="86"/>
  <c r="AL68" i="86"/>
  <c r="AM68" i="86"/>
  <c r="AN68" i="86"/>
  <c r="AO68" i="86"/>
  <c r="AP68" i="86"/>
  <c r="AQ68" i="86"/>
  <c r="B69" i="86"/>
  <c r="C69" i="86"/>
  <c r="D69" i="86"/>
  <c r="E69" i="86"/>
  <c r="F69" i="86"/>
  <c r="G69" i="86"/>
  <c r="H69" i="86"/>
  <c r="I69" i="86"/>
  <c r="J69" i="86"/>
  <c r="K69" i="86"/>
  <c r="L69" i="86"/>
  <c r="M69" i="86"/>
  <c r="N69" i="86"/>
  <c r="O69" i="86"/>
  <c r="P69" i="86"/>
  <c r="Q69" i="86"/>
  <c r="R69" i="86"/>
  <c r="S69" i="86"/>
  <c r="T69" i="86"/>
  <c r="U69" i="86"/>
  <c r="V69" i="86"/>
  <c r="W69" i="86"/>
  <c r="X69" i="86"/>
  <c r="Y69" i="86"/>
  <c r="Z69" i="86"/>
  <c r="AA69" i="86"/>
  <c r="AB69" i="86"/>
  <c r="AC69" i="86"/>
  <c r="AD69" i="86"/>
  <c r="AE69" i="86"/>
  <c r="AF69" i="86"/>
  <c r="AG69" i="86"/>
  <c r="AH69" i="86"/>
  <c r="AI69" i="86"/>
  <c r="AJ69" i="86"/>
  <c r="AK69" i="86"/>
  <c r="AL69" i="86"/>
  <c r="AM69" i="86"/>
  <c r="AN69" i="86"/>
  <c r="AO69" i="86"/>
  <c r="AP69" i="86"/>
  <c r="AQ69" i="86"/>
  <c r="B70" i="86"/>
  <c r="C70" i="86"/>
  <c r="D70" i="86"/>
  <c r="E70" i="86"/>
  <c r="F70" i="86"/>
  <c r="G70" i="86"/>
  <c r="H70" i="86"/>
  <c r="I70" i="86"/>
  <c r="J70" i="86"/>
  <c r="K70" i="86"/>
  <c r="L70" i="86"/>
  <c r="M70" i="86"/>
  <c r="N70" i="86"/>
  <c r="O70" i="86"/>
  <c r="P70" i="86"/>
  <c r="Q70" i="86"/>
  <c r="R70" i="86"/>
  <c r="S70" i="86"/>
  <c r="T70" i="86"/>
  <c r="U70" i="86"/>
  <c r="V70" i="86"/>
  <c r="W70" i="86"/>
  <c r="X70" i="86"/>
  <c r="Y70" i="86"/>
  <c r="Z70" i="86"/>
  <c r="AA70" i="86"/>
  <c r="AB70" i="86"/>
  <c r="AC70" i="86"/>
  <c r="AD70" i="86"/>
  <c r="AE70" i="86"/>
  <c r="AF70" i="86"/>
  <c r="AG70" i="86"/>
  <c r="AH70" i="86"/>
  <c r="AI70" i="86"/>
  <c r="AJ70" i="86"/>
  <c r="AK70" i="86"/>
  <c r="AL70" i="86"/>
  <c r="AM70" i="86"/>
  <c r="AN70" i="86"/>
  <c r="AO70" i="86"/>
  <c r="AP70" i="86"/>
  <c r="AQ70" i="86"/>
  <c r="B71" i="86"/>
  <c r="C71" i="86"/>
  <c r="D71" i="86"/>
  <c r="E71" i="86"/>
  <c r="F71" i="86"/>
  <c r="G71" i="86"/>
  <c r="H71" i="86"/>
  <c r="I71" i="86"/>
  <c r="J71" i="86"/>
  <c r="K71" i="86"/>
  <c r="L71" i="86"/>
  <c r="M71" i="86"/>
  <c r="N71" i="86"/>
  <c r="O71" i="86"/>
  <c r="P71" i="86"/>
  <c r="Q71" i="86"/>
  <c r="R71" i="86"/>
  <c r="S71" i="86"/>
  <c r="T71" i="86"/>
  <c r="U71" i="86"/>
  <c r="V71" i="86"/>
  <c r="W71" i="86"/>
  <c r="X71" i="86"/>
  <c r="Y71" i="86"/>
  <c r="Z71" i="86"/>
  <c r="AA71" i="86"/>
  <c r="AB71" i="86"/>
  <c r="AC71" i="86"/>
  <c r="AD71" i="86"/>
  <c r="AE71" i="86"/>
  <c r="AF71" i="86"/>
  <c r="AG71" i="86"/>
  <c r="AH71" i="86"/>
  <c r="AI71" i="86"/>
  <c r="AJ71" i="86"/>
  <c r="AK71" i="86"/>
  <c r="AL71" i="86"/>
  <c r="AM71" i="86"/>
  <c r="AN71" i="86"/>
  <c r="AO71" i="86"/>
  <c r="AP71" i="86"/>
  <c r="AQ71" i="86"/>
  <c r="B72" i="86"/>
  <c r="C72" i="86"/>
  <c r="D72" i="86"/>
  <c r="E72" i="86"/>
  <c r="F72" i="86"/>
  <c r="G72" i="86"/>
  <c r="H72" i="86"/>
  <c r="I72" i="86"/>
  <c r="J72" i="86"/>
  <c r="K72" i="86"/>
  <c r="L72" i="86"/>
  <c r="M72" i="86"/>
  <c r="N72" i="86"/>
  <c r="O72" i="86"/>
  <c r="P72" i="86"/>
  <c r="Q72" i="86"/>
  <c r="R72" i="86"/>
  <c r="S72" i="86"/>
  <c r="T72" i="86"/>
  <c r="U72" i="86"/>
  <c r="V72" i="86"/>
  <c r="W72" i="86"/>
  <c r="X72" i="86"/>
  <c r="Y72" i="86"/>
  <c r="Z72" i="86"/>
  <c r="AA72" i="86"/>
  <c r="AB72" i="86"/>
  <c r="AC72" i="86"/>
  <c r="AD72" i="86"/>
  <c r="AE72" i="86"/>
  <c r="AF72" i="86"/>
  <c r="AG72" i="86"/>
  <c r="AH72" i="86"/>
  <c r="AI72" i="86"/>
  <c r="AJ72" i="86"/>
  <c r="AK72" i="86"/>
  <c r="AL72" i="86"/>
  <c r="AM72" i="86"/>
  <c r="AN72" i="86"/>
  <c r="AO72" i="86"/>
  <c r="AP72" i="86"/>
  <c r="AQ72" i="86"/>
  <c r="B73" i="86"/>
  <c r="C73" i="86"/>
  <c r="D73" i="86"/>
  <c r="E73" i="86"/>
  <c r="F73" i="86"/>
  <c r="G73" i="86"/>
  <c r="H73" i="86"/>
  <c r="I73" i="86"/>
  <c r="J73" i="86"/>
  <c r="K73" i="86"/>
  <c r="L73" i="86"/>
  <c r="M73" i="86"/>
  <c r="N73" i="86"/>
  <c r="O73" i="86"/>
  <c r="P73" i="86"/>
  <c r="Q73" i="86"/>
  <c r="R73" i="86"/>
  <c r="S73" i="86"/>
  <c r="T73" i="86"/>
  <c r="U73" i="86"/>
  <c r="V73" i="86"/>
  <c r="W73" i="86"/>
  <c r="X73" i="86"/>
  <c r="Y73" i="86"/>
  <c r="Z73" i="86"/>
  <c r="AA73" i="86"/>
  <c r="AB73" i="86"/>
  <c r="AC73" i="86"/>
  <c r="AD73" i="86"/>
  <c r="AE73" i="86"/>
  <c r="AF73" i="86"/>
  <c r="AG73" i="86"/>
  <c r="AH73" i="86"/>
  <c r="AI73" i="86"/>
  <c r="AJ73" i="86"/>
  <c r="AK73" i="86"/>
  <c r="AL73" i="86"/>
  <c r="AM73" i="86"/>
  <c r="AN73" i="86"/>
  <c r="AO73" i="86"/>
  <c r="AP73" i="86"/>
  <c r="AQ73" i="86"/>
  <c r="B74" i="86"/>
  <c r="C74" i="86"/>
  <c r="D74" i="86"/>
  <c r="E74" i="86"/>
  <c r="F74" i="86"/>
  <c r="G74" i="86"/>
  <c r="H74" i="86"/>
  <c r="I74" i="86"/>
  <c r="J74" i="86"/>
  <c r="K74" i="86"/>
  <c r="L74" i="86"/>
  <c r="M74" i="86"/>
  <c r="N74" i="86"/>
  <c r="O74" i="86"/>
  <c r="P74" i="86"/>
  <c r="Q74" i="86"/>
  <c r="R74" i="86"/>
  <c r="S74" i="86"/>
  <c r="T74" i="86"/>
  <c r="U74" i="86"/>
  <c r="V74" i="86"/>
  <c r="W74" i="86"/>
  <c r="X74" i="86"/>
  <c r="Y74" i="86"/>
  <c r="Z74" i="86"/>
  <c r="AA74" i="86"/>
  <c r="AB74" i="86"/>
  <c r="AC74" i="86"/>
  <c r="AD74" i="86"/>
  <c r="AE74" i="86"/>
  <c r="AF74" i="86"/>
  <c r="AG74" i="86"/>
  <c r="AH74" i="86"/>
  <c r="AI74" i="86"/>
  <c r="AJ74" i="86"/>
  <c r="AK74" i="86"/>
  <c r="AL74" i="86"/>
  <c r="AM74" i="86"/>
  <c r="AN74" i="86"/>
  <c r="AO74" i="86"/>
  <c r="AP74" i="86"/>
  <c r="AQ74" i="86"/>
  <c r="B75" i="86"/>
  <c r="C75" i="86"/>
  <c r="D75" i="86"/>
  <c r="E75" i="86"/>
  <c r="F75" i="86"/>
  <c r="G75" i="86"/>
  <c r="H75" i="86"/>
  <c r="I75" i="86"/>
  <c r="J75" i="86"/>
  <c r="K75" i="86"/>
  <c r="L75" i="86"/>
  <c r="M75" i="86"/>
  <c r="N75" i="86"/>
  <c r="O75" i="86"/>
  <c r="P75" i="86"/>
  <c r="Q75" i="86"/>
  <c r="R75" i="86"/>
  <c r="S75" i="86"/>
  <c r="T75" i="86"/>
  <c r="U75" i="86"/>
  <c r="V75" i="86"/>
  <c r="W75" i="86"/>
  <c r="X75" i="86"/>
  <c r="Y75" i="86"/>
  <c r="Z75" i="86"/>
  <c r="AA75" i="86"/>
  <c r="AB75" i="86"/>
  <c r="AC75" i="86"/>
  <c r="AD75" i="86"/>
  <c r="AE75" i="86"/>
  <c r="AF75" i="86"/>
  <c r="AG75" i="86"/>
  <c r="AH75" i="86"/>
  <c r="AI75" i="86"/>
  <c r="AJ75" i="86"/>
  <c r="AK75" i="86"/>
  <c r="AL75" i="86"/>
  <c r="AM75" i="86"/>
  <c r="AN75" i="86"/>
  <c r="AO75" i="86"/>
  <c r="AP75" i="86"/>
  <c r="AQ75" i="86"/>
  <c r="B76" i="86"/>
  <c r="C76" i="86"/>
  <c r="D76" i="86"/>
  <c r="E76" i="86"/>
  <c r="F76" i="86"/>
  <c r="G76" i="86"/>
  <c r="H76" i="86"/>
  <c r="I76" i="86"/>
  <c r="J76" i="86"/>
  <c r="K76" i="86"/>
  <c r="L76" i="86"/>
  <c r="M76" i="86"/>
  <c r="N76" i="86"/>
  <c r="O76" i="86"/>
  <c r="P76" i="86"/>
  <c r="Q76" i="86"/>
  <c r="R76" i="86"/>
  <c r="S76" i="86"/>
  <c r="T76" i="86"/>
  <c r="U76" i="86"/>
  <c r="V76" i="86"/>
  <c r="W76" i="86"/>
  <c r="X76" i="86"/>
  <c r="Y76" i="86"/>
  <c r="Z76" i="86"/>
  <c r="AA76" i="86"/>
  <c r="AB76" i="86"/>
  <c r="AC76" i="86"/>
  <c r="AD76" i="86"/>
  <c r="AE76" i="86"/>
  <c r="AF76" i="86"/>
  <c r="AG76" i="86"/>
  <c r="AH76" i="86"/>
  <c r="AI76" i="86"/>
  <c r="AJ76" i="86"/>
  <c r="AK76" i="86"/>
  <c r="AL76" i="86"/>
  <c r="AM76" i="86"/>
  <c r="AN76" i="86"/>
  <c r="AO76" i="86"/>
  <c r="AP76" i="86"/>
  <c r="AQ76" i="86"/>
  <c r="C3" i="86"/>
  <c r="D3" i="86"/>
  <c r="E3" i="86"/>
  <c r="F3" i="86"/>
  <c r="G3" i="86"/>
  <c r="H3" i="86"/>
  <c r="I3" i="86"/>
  <c r="J3" i="86"/>
  <c r="K3" i="86"/>
  <c r="L3" i="86"/>
  <c r="M3" i="86"/>
  <c r="N3" i="86"/>
  <c r="O3" i="86"/>
  <c r="P3" i="86"/>
  <c r="Q3" i="86"/>
  <c r="R3" i="86"/>
  <c r="S3" i="86"/>
  <c r="T3" i="86"/>
  <c r="U3" i="86"/>
  <c r="V3" i="86"/>
  <c r="W3" i="86"/>
  <c r="X3" i="86"/>
  <c r="Y3" i="86"/>
  <c r="Z3" i="86"/>
  <c r="AA3" i="86"/>
  <c r="AB3" i="86"/>
  <c r="AC3" i="86"/>
  <c r="AD3" i="86"/>
  <c r="AE3" i="86"/>
  <c r="AF3" i="86"/>
  <c r="AG3" i="86"/>
  <c r="AH3" i="86"/>
  <c r="AI3" i="86"/>
  <c r="AJ3" i="86"/>
  <c r="AK3" i="86"/>
  <c r="AL3" i="86"/>
  <c r="AM3" i="86"/>
  <c r="AN3" i="86"/>
  <c r="AO3" i="86"/>
  <c r="AP3" i="86"/>
  <c r="AQ3" i="86"/>
  <c r="B3" i="86"/>
  <c r="B5" i="83"/>
  <c r="C5" i="83"/>
  <c r="D5" i="83"/>
  <c r="E5" i="83"/>
  <c r="F5" i="83"/>
  <c r="G5" i="83"/>
  <c r="H5" i="83"/>
  <c r="I5" i="83"/>
  <c r="J5" i="83"/>
  <c r="K5" i="83"/>
  <c r="L5" i="83"/>
  <c r="M5" i="83"/>
  <c r="N5" i="83"/>
  <c r="O5" i="83"/>
  <c r="P5" i="83"/>
  <c r="Q5" i="83"/>
  <c r="R5" i="83"/>
  <c r="S5" i="83"/>
  <c r="T5" i="83"/>
  <c r="U5" i="83"/>
  <c r="V5" i="83"/>
  <c r="W5" i="83"/>
  <c r="X5" i="83"/>
  <c r="Y5" i="83"/>
  <c r="Z5" i="83"/>
  <c r="AA5" i="83"/>
  <c r="AB5" i="83"/>
  <c r="AC5" i="83"/>
  <c r="AD5" i="83"/>
  <c r="AE5" i="83"/>
  <c r="AF5" i="83"/>
  <c r="AG5" i="83"/>
  <c r="AH5" i="83"/>
  <c r="AI5" i="83"/>
  <c r="AJ5" i="83"/>
  <c r="AK5" i="83"/>
  <c r="AL5" i="83"/>
  <c r="AM5" i="83"/>
  <c r="AN5" i="83"/>
  <c r="AO5" i="83"/>
  <c r="AP5" i="83"/>
  <c r="AQ5" i="83"/>
  <c r="AR5" i="83"/>
  <c r="AS5" i="83"/>
  <c r="AT5" i="83"/>
  <c r="AU5" i="83"/>
  <c r="B6" i="83"/>
  <c r="C6" i="83"/>
  <c r="D6" i="83"/>
  <c r="E6" i="83"/>
  <c r="F6" i="83"/>
  <c r="G6" i="83"/>
  <c r="H6" i="83"/>
  <c r="I6" i="83"/>
  <c r="J6" i="83"/>
  <c r="K6" i="83"/>
  <c r="L6" i="83"/>
  <c r="M6" i="83"/>
  <c r="N6" i="83"/>
  <c r="O6" i="83"/>
  <c r="P6" i="83"/>
  <c r="Q6" i="83"/>
  <c r="R6" i="83"/>
  <c r="S6" i="83"/>
  <c r="T6" i="83"/>
  <c r="U6" i="83"/>
  <c r="V6" i="83"/>
  <c r="W6" i="83"/>
  <c r="X6" i="83"/>
  <c r="Y6" i="83"/>
  <c r="Z6" i="83"/>
  <c r="AA6" i="83"/>
  <c r="AB6" i="83"/>
  <c r="AC6" i="83"/>
  <c r="AD6" i="83"/>
  <c r="AE6" i="83"/>
  <c r="AF6" i="83"/>
  <c r="AG6" i="83"/>
  <c r="AH6" i="83"/>
  <c r="AI6" i="83"/>
  <c r="AJ6" i="83"/>
  <c r="AK6" i="83"/>
  <c r="AL6" i="83"/>
  <c r="AM6" i="83"/>
  <c r="AN6" i="83"/>
  <c r="AO6" i="83"/>
  <c r="AP6" i="83"/>
  <c r="AQ6" i="83"/>
  <c r="AR6" i="83"/>
  <c r="AS6" i="83"/>
  <c r="AT6" i="83"/>
  <c r="AU6" i="83"/>
  <c r="B7" i="83"/>
  <c r="C7" i="83"/>
  <c r="D7" i="83"/>
  <c r="E7" i="83"/>
  <c r="F7" i="83"/>
  <c r="G7" i="83"/>
  <c r="H7" i="83"/>
  <c r="I7" i="83"/>
  <c r="J7" i="83"/>
  <c r="K7" i="83"/>
  <c r="L7" i="83"/>
  <c r="M7" i="83"/>
  <c r="N7" i="83"/>
  <c r="O7" i="83"/>
  <c r="P7" i="83"/>
  <c r="Q7" i="83"/>
  <c r="R7" i="83"/>
  <c r="S7" i="83"/>
  <c r="T7" i="83"/>
  <c r="U7" i="83"/>
  <c r="V7" i="83"/>
  <c r="W7" i="83"/>
  <c r="X7" i="83"/>
  <c r="Y7" i="83"/>
  <c r="Z7" i="83"/>
  <c r="AA7" i="83"/>
  <c r="AB7" i="83"/>
  <c r="AC7" i="83"/>
  <c r="AD7" i="83"/>
  <c r="AE7" i="83"/>
  <c r="AF7" i="83"/>
  <c r="AG7" i="83"/>
  <c r="AH7" i="83"/>
  <c r="AI7" i="83"/>
  <c r="AJ7" i="83"/>
  <c r="AK7" i="83"/>
  <c r="AL7" i="83"/>
  <c r="AM7" i="83"/>
  <c r="AN7" i="83"/>
  <c r="AO7" i="83"/>
  <c r="AP7" i="83"/>
  <c r="AQ7" i="83"/>
  <c r="AR7" i="83"/>
  <c r="AS7" i="83"/>
  <c r="AT7" i="83"/>
  <c r="AU7" i="83"/>
  <c r="B8" i="83"/>
  <c r="C8" i="83"/>
  <c r="D8" i="83"/>
  <c r="E8" i="83"/>
  <c r="F8" i="83"/>
  <c r="G8" i="83"/>
  <c r="H8" i="83"/>
  <c r="I8" i="83"/>
  <c r="J8" i="83"/>
  <c r="K8" i="83"/>
  <c r="L8" i="83"/>
  <c r="M8" i="83"/>
  <c r="N8" i="83"/>
  <c r="O8" i="83"/>
  <c r="P8" i="83"/>
  <c r="Q8" i="83"/>
  <c r="R8" i="83"/>
  <c r="S8" i="83"/>
  <c r="T8" i="83"/>
  <c r="U8" i="83"/>
  <c r="V8" i="83"/>
  <c r="W8" i="83"/>
  <c r="X8" i="83"/>
  <c r="Y8" i="83"/>
  <c r="Z8" i="83"/>
  <c r="AA8" i="83"/>
  <c r="AB8" i="83"/>
  <c r="AC8" i="83"/>
  <c r="AD8" i="83"/>
  <c r="AE8" i="83"/>
  <c r="AF8" i="83"/>
  <c r="AG8" i="83"/>
  <c r="AH8" i="83"/>
  <c r="AI8" i="83"/>
  <c r="AJ8" i="83"/>
  <c r="AK8" i="83"/>
  <c r="AL8" i="83"/>
  <c r="AM8" i="83"/>
  <c r="AN8" i="83"/>
  <c r="AO8" i="83"/>
  <c r="AP8" i="83"/>
  <c r="AQ8" i="83"/>
  <c r="AR8" i="83"/>
  <c r="AS8" i="83"/>
  <c r="AT8" i="83"/>
  <c r="AU8" i="83"/>
  <c r="B9" i="83"/>
  <c r="C9" i="83"/>
  <c r="D9" i="83"/>
  <c r="E9" i="83"/>
  <c r="F9" i="83"/>
  <c r="G9" i="83"/>
  <c r="H9" i="83"/>
  <c r="I9" i="83"/>
  <c r="J9" i="83"/>
  <c r="K9" i="83"/>
  <c r="L9" i="83"/>
  <c r="M9" i="83"/>
  <c r="N9" i="83"/>
  <c r="O9" i="83"/>
  <c r="P9" i="83"/>
  <c r="Q9" i="83"/>
  <c r="R9" i="83"/>
  <c r="S9" i="83"/>
  <c r="T9" i="83"/>
  <c r="U9" i="83"/>
  <c r="V9" i="83"/>
  <c r="W9" i="83"/>
  <c r="X9" i="83"/>
  <c r="Y9" i="83"/>
  <c r="Z9" i="83"/>
  <c r="AA9" i="83"/>
  <c r="AB9" i="83"/>
  <c r="AC9" i="83"/>
  <c r="AD9" i="83"/>
  <c r="AE9" i="83"/>
  <c r="AF9" i="83"/>
  <c r="AG9" i="83"/>
  <c r="AH9" i="83"/>
  <c r="AI9" i="83"/>
  <c r="AJ9" i="83"/>
  <c r="AK9" i="83"/>
  <c r="AL9" i="83"/>
  <c r="AM9" i="83"/>
  <c r="AN9" i="83"/>
  <c r="AO9" i="83"/>
  <c r="AP9" i="83"/>
  <c r="AQ9" i="83"/>
  <c r="AR9" i="83"/>
  <c r="AS9" i="83"/>
  <c r="AT9" i="83"/>
  <c r="AU9" i="83"/>
  <c r="B10" i="83"/>
  <c r="C10" i="83"/>
  <c r="D10" i="83"/>
  <c r="E10" i="83"/>
  <c r="F10" i="83"/>
  <c r="G10" i="83"/>
  <c r="H10" i="83"/>
  <c r="I10" i="83"/>
  <c r="J10" i="83"/>
  <c r="K10" i="83"/>
  <c r="L10" i="83"/>
  <c r="M10" i="83"/>
  <c r="N10" i="83"/>
  <c r="O10" i="83"/>
  <c r="P10" i="83"/>
  <c r="Q10" i="83"/>
  <c r="R10" i="83"/>
  <c r="S10" i="83"/>
  <c r="T10" i="83"/>
  <c r="U10" i="83"/>
  <c r="V10" i="83"/>
  <c r="W10" i="83"/>
  <c r="X10" i="83"/>
  <c r="Y10" i="83"/>
  <c r="Z10" i="83"/>
  <c r="AA10" i="83"/>
  <c r="AB10" i="83"/>
  <c r="AC10" i="83"/>
  <c r="AD10" i="83"/>
  <c r="AE10" i="83"/>
  <c r="AF10" i="83"/>
  <c r="AG10" i="83"/>
  <c r="AH10" i="83"/>
  <c r="AI10" i="83"/>
  <c r="AJ10" i="83"/>
  <c r="AK10" i="83"/>
  <c r="AL10" i="83"/>
  <c r="AM10" i="83"/>
  <c r="AN10" i="83"/>
  <c r="AO10" i="83"/>
  <c r="AP10" i="83"/>
  <c r="AQ10" i="83"/>
  <c r="AR10" i="83"/>
  <c r="AS10" i="83"/>
  <c r="AT10" i="83"/>
  <c r="AU10" i="83"/>
  <c r="B11" i="83"/>
  <c r="C11" i="83"/>
  <c r="D11" i="83"/>
  <c r="E11" i="83"/>
  <c r="F11" i="83"/>
  <c r="G11" i="83"/>
  <c r="H11" i="83"/>
  <c r="I11" i="83"/>
  <c r="J11" i="83"/>
  <c r="K11" i="83"/>
  <c r="L11" i="83"/>
  <c r="M11" i="83"/>
  <c r="N11" i="83"/>
  <c r="O11" i="83"/>
  <c r="P11" i="83"/>
  <c r="Q11" i="83"/>
  <c r="R11" i="83"/>
  <c r="S11" i="83"/>
  <c r="T11" i="83"/>
  <c r="U11" i="83"/>
  <c r="V11" i="83"/>
  <c r="W11" i="83"/>
  <c r="X11" i="83"/>
  <c r="Y11" i="83"/>
  <c r="Z11" i="83"/>
  <c r="AA11" i="83"/>
  <c r="AB11" i="83"/>
  <c r="AC11" i="83"/>
  <c r="AD11" i="83"/>
  <c r="AE11" i="83"/>
  <c r="AF11" i="83"/>
  <c r="AG11" i="83"/>
  <c r="AH11" i="83"/>
  <c r="AI11" i="83"/>
  <c r="AJ11" i="83"/>
  <c r="AK11" i="83"/>
  <c r="AL11" i="83"/>
  <c r="AM11" i="83"/>
  <c r="AN11" i="83"/>
  <c r="AO11" i="83"/>
  <c r="AP11" i="83"/>
  <c r="AQ11" i="83"/>
  <c r="AR11" i="83"/>
  <c r="AS11" i="83"/>
  <c r="AT11" i="83"/>
  <c r="AU11" i="83"/>
  <c r="B12" i="83"/>
  <c r="C12" i="83"/>
  <c r="D12" i="83"/>
  <c r="E12" i="83"/>
  <c r="F12" i="83"/>
  <c r="G12" i="83"/>
  <c r="H12" i="83"/>
  <c r="I12" i="83"/>
  <c r="J12" i="83"/>
  <c r="K12" i="83"/>
  <c r="L12" i="83"/>
  <c r="M12" i="83"/>
  <c r="N12" i="83"/>
  <c r="O12" i="83"/>
  <c r="P12" i="83"/>
  <c r="Q12" i="83"/>
  <c r="R12" i="83"/>
  <c r="S12" i="83"/>
  <c r="T12" i="83"/>
  <c r="U12" i="83"/>
  <c r="V12" i="83"/>
  <c r="W12" i="83"/>
  <c r="X12" i="83"/>
  <c r="Y12" i="83"/>
  <c r="Z12" i="83"/>
  <c r="AA12" i="83"/>
  <c r="AB12" i="83"/>
  <c r="AC12" i="83"/>
  <c r="AD12" i="83"/>
  <c r="AE12" i="83"/>
  <c r="AF12" i="83"/>
  <c r="AG12" i="83"/>
  <c r="AH12" i="83"/>
  <c r="AI12" i="83"/>
  <c r="AJ12" i="83"/>
  <c r="AK12" i="83"/>
  <c r="AL12" i="83"/>
  <c r="AM12" i="83"/>
  <c r="AN12" i="83"/>
  <c r="AO12" i="83"/>
  <c r="AP12" i="83"/>
  <c r="AQ12" i="83"/>
  <c r="AR12" i="83"/>
  <c r="AS12" i="83"/>
  <c r="AT12" i="83"/>
  <c r="AU12" i="83"/>
  <c r="B13" i="83"/>
  <c r="C13" i="83"/>
  <c r="D13" i="83"/>
  <c r="E13" i="83"/>
  <c r="F13" i="83"/>
  <c r="G13" i="83"/>
  <c r="H13" i="83"/>
  <c r="I13" i="83"/>
  <c r="J13" i="83"/>
  <c r="K13" i="83"/>
  <c r="L13" i="83"/>
  <c r="M13" i="83"/>
  <c r="N13" i="83"/>
  <c r="O13" i="83"/>
  <c r="P13" i="83"/>
  <c r="Q13" i="83"/>
  <c r="R13" i="83"/>
  <c r="S13" i="83"/>
  <c r="T13" i="83"/>
  <c r="U13" i="83"/>
  <c r="V13" i="83"/>
  <c r="W13" i="83"/>
  <c r="X13" i="83"/>
  <c r="Y13" i="83"/>
  <c r="Z13" i="83"/>
  <c r="AA13" i="83"/>
  <c r="AB13" i="83"/>
  <c r="AC13" i="83"/>
  <c r="AD13" i="83"/>
  <c r="AE13" i="83"/>
  <c r="AF13" i="83"/>
  <c r="AG13" i="83"/>
  <c r="AH13" i="83"/>
  <c r="AI13" i="83"/>
  <c r="AJ13" i="83"/>
  <c r="AK13" i="83"/>
  <c r="AL13" i="83"/>
  <c r="AM13" i="83"/>
  <c r="AN13" i="83"/>
  <c r="AO13" i="83"/>
  <c r="AP13" i="83"/>
  <c r="AQ13" i="83"/>
  <c r="AR13" i="83"/>
  <c r="AS13" i="83"/>
  <c r="AT13" i="83"/>
  <c r="AU13" i="83"/>
  <c r="B14" i="83"/>
  <c r="C14" i="83"/>
  <c r="D14" i="83"/>
  <c r="E14" i="83"/>
  <c r="F14" i="83"/>
  <c r="G14" i="83"/>
  <c r="H14" i="83"/>
  <c r="I14" i="83"/>
  <c r="J14" i="83"/>
  <c r="K14" i="83"/>
  <c r="L14" i="83"/>
  <c r="M14" i="83"/>
  <c r="N14" i="83"/>
  <c r="O14" i="83"/>
  <c r="P14" i="83"/>
  <c r="Q14" i="83"/>
  <c r="R14" i="83"/>
  <c r="S14" i="83"/>
  <c r="T14" i="83"/>
  <c r="U14" i="83"/>
  <c r="V14" i="83"/>
  <c r="W14" i="83"/>
  <c r="X14" i="83"/>
  <c r="Y14" i="83"/>
  <c r="Z14" i="83"/>
  <c r="AA14" i="83"/>
  <c r="AB14" i="83"/>
  <c r="AC14" i="83"/>
  <c r="AD14" i="83"/>
  <c r="AE14" i="83"/>
  <c r="AF14" i="83"/>
  <c r="AG14" i="83"/>
  <c r="AH14" i="83"/>
  <c r="AI14" i="83"/>
  <c r="AJ14" i="83"/>
  <c r="AK14" i="83"/>
  <c r="AL14" i="83"/>
  <c r="AM14" i="83"/>
  <c r="AN14" i="83"/>
  <c r="AO14" i="83"/>
  <c r="AP14" i="83"/>
  <c r="AQ14" i="83"/>
  <c r="AR14" i="83"/>
  <c r="AS14" i="83"/>
  <c r="AT14" i="83"/>
  <c r="AU14" i="83"/>
  <c r="B15" i="83"/>
  <c r="C15" i="83"/>
  <c r="D15" i="83"/>
  <c r="E15" i="83"/>
  <c r="F15" i="83"/>
  <c r="G15" i="83"/>
  <c r="H15" i="83"/>
  <c r="I15" i="83"/>
  <c r="J15" i="83"/>
  <c r="K15" i="83"/>
  <c r="L15" i="83"/>
  <c r="M15" i="83"/>
  <c r="N15" i="83"/>
  <c r="O15" i="83"/>
  <c r="P15" i="83"/>
  <c r="Q15" i="83"/>
  <c r="R15" i="83"/>
  <c r="S15" i="83"/>
  <c r="T15" i="83"/>
  <c r="U15" i="83"/>
  <c r="V15" i="83"/>
  <c r="W15" i="83"/>
  <c r="X15" i="83"/>
  <c r="Y15" i="83"/>
  <c r="Z15" i="83"/>
  <c r="AA15" i="83"/>
  <c r="AB15" i="83"/>
  <c r="AC15" i="83"/>
  <c r="AD15" i="83"/>
  <c r="AE15" i="83"/>
  <c r="AF15" i="83"/>
  <c r="AG15" i="83"/>
  <c r="AH15" i="83"/>
  <c r="AI15" i="83"/>
  <c r="AJ15" i="83"/>
  <c r="AK15" i="83"/>
  <c r="AL15" i="83"/>
  <c r="AM15" i="83"/>
  <c r="AN15" i="83"/>
  <c r="AO15" i="83"/>
  <c r="AP15" i="83"/>
  <c r="AQ15" i="83"/>
  <c r="AR15" i="83"/>
  <c r="AS15" i="83"/>
  <c r="AT15" i="83"/>
  <c r="AU15" i="83"/>
  <c r="B16" i="83"/>
  <c r="C16" i="83"/>
  <c r="D16" i="83"/>
  <c r="E16" i="83"/>
  <c r="F16" i="83"/>
  <c r="G16" i="83"/>
  <c r="H16" i="83"/>
  <c r="I16" i="83"/>
  <c r="J16" i="83"/>
  <c r="K16" i="83"/>
  <c r="L16" i="83"/>
  <c r="M16" i="83"/>
  <c r="N16" i="83"/>
  <c r="O16" i="83"/>
  <c r="P16" i="83"/>
  <c r="Q16" i="83"/>
  <c r="R16" i="83"/>
  <c r="S16" i="83"/>
  <c r="T16" i="83"/>
  <c r="U16" i="83"/>
  <c r="V16" i="83"/>
  <c r="W16" i="83"/>
  <c r="X16" i="83"/>
  <c r="Y16" i="83"/>
  <c r="Z16" i="83"/>
  <c r="AA16" i="83"/>
  <c r="AB16" i="83"/>
  <c r="AC16" i="83"/>
  <c r="AD16" i="83"/>
  <c r="AE16" i="83"/>
  <c r="AF16" i="83"/>
  <c r="AG16" i="83"/>
  <c r="AH16" i="83"/>
  <c r="AI16" i="83"/>
  <c r="AJ16" i="83"/>
  <c r="AK16" i="83"/>
  <c r="AL16" i="83"/>
  <c r="AM16" i="83"/>
  <c r="AN16" i="83"/>
  <c r="AO16" i="83"/>
  <c r="AP16" i="83"/>
  <c r="AQ16" i="83"/>
  <c r="AR16" i="83"/>
  <c r="AS16" i="83"/>
  <c r="AT16" i="83"/>
  <c r="AU16" i="83"/>
  <c r="B17" i="83"/>
  <c r="C17" i="83"/>
  <c r="D17" i="83"/>
  <c r="E17" i="83"/>
  <c r="F17" i="83"/>
  <c r="G17" i="83"/>
  <c r="H17" i="83"/>
  <c r="I17" i="83"/>
  <c r="J17" i="83"/>
  <c r="K17" i="83"/>
  <c r="L17" i="83"/>
  <c r="M17" i="83"/>
  <c r="N17" i="83"/>
  <c r="O17" i="83"/>
  <c r="P17" i="83"/>
  <c r="Q17" i="83"/>
  <c r="R17" i="83"/>
  <c r="S17" i="83"/>
  <c r="T17" i="83"/>
  <c r="U17" i="83"/>
  <c r="V17" i="83"/>
  <c r="W17" i="83"/>
  <c r="X17" i="83"/>
  <c r="Y17" i="83"/>
  <c r="Z17" i="83"/>
  <c r="AA17" i="83"/>
  <c r="AB17" i="83"/>
  <c r="AC17" i="83"/>
  <c r="AD17" i="83"/>
  <c r="AE17" i="83"/>
  <c r="AF17" i="83"/>
  <c r="AG17" i="83"/>
  <c r="AH17" i="83"/>
  <c r="AI17" i="83"/>
  <c r="AJ17" i="83"/>
  <c r="AK17" i="83"/>
  <c r="AL17" i="83"/>
  <c r="AM17" i="83"/>
  <c r="AN17" i="83"/>
  <c r="AO17" i="83"/>
  <c r="AP17" i="83"/>
  <c r="AQ17" i="83"/>
  <c r="AR17" i="83"/>
  <c r="AS17" i="83"/>
  <c r="AT17" i="83"/>
  <c r="AU17" i="83"/>
  <c r="B18" i="83"/>
  <c r="C18" i="83"/>
  <c r="D18" i="83"/>
  <c r="E18" i="83"/>
  <c r="F18" i="83"/>
  <c r="G18" i="83"/>
  <c r="H18" i="83"/>
  <c r="I18" i="83"/>
  <c r="J18" i="83"/>
  <c r="K18" i="83"/>
  <c r="L18" i="83"/>
  <c r="M18" i="83"/>
  <c r="N18" i="83"/>
  <c r="O18" i="83"/>
  <c r="P18" i="83"/>
  <c r="Q18" i="83"/>
  <c r="R18" i="83"/>
  <c r="S18" i="83"/>
  <c r="T18" i="83"/>
  <c r="U18" i="83"/>
  <c r="V18" i="83"/>
  <c r="W18" i="83"/>
  <c r="X18" i="83"/>
  <c r="Y18" i="83"/>
  <c r="Z18" i="83"/>
  <c r="AA18" i="83"/>
  <c r="AB18" i="83"/>
  <c r="AC18" i="83"/>
  <c r="AD18" i="83"/>
  <c r="AE18" i="83"/>
  <c r="AF18" i="83"/>
  <c r="AG18" i="83"/>
  <c r="AH18" i="83"/>
  <c r="AI18" i="83"/>
  <c r="AJ18" i="83"/>
  <c r="AK18" i="83"/>
  <c r="AL18" i="83"/>
  <c r="AM18" i="83"/>
  <c r="AN18" i="83"/>
  <c r="AO18" i="83"/>
  <c r="AP18" i="83"/>
  <c r="AQ18" i="83"/>
  <c r="AR18" i="83"/>
  <c r="AS18" i="83"/>
  <c r="AT18" i="83"/>
  <c r="AU18" i="83"/>
  <c r="B19" i="83"/>
  <c r="C19" i="83"/>
  <c r="D19" i="83"/>
  <c r="E19" i="83"/>
  <c r="F19" i="83"/>
  <c r="G19" i="83"/>
  <c r="H19" i="83"/>
  <c r="I19" i="83"/>
  <c r="J19" i="83"/>
  <c r="K19" i="83"/>
  <c r="L19" i="83"/>
  <c r="M19" i="83"/>
  <c r="N19" i="83"/>
  <c r="O19" i="83"/>
  <c r="P19" i="83"/>
  <c r="Q19" i="83"/>
  <c r="R19" i="83"/>
  <c r="S19" i="83"/>
  <c r="T19" i="83"/>
  <c r="U19" i="83"/>
  <c r="V19" i="83"/>
  <c r="W19" i="83"/>
  <c r="X19" i="83"/>
  <c r="Y19" i="83"/>
  <c r="Z19" i="83"/>
  <c r="AA19" i="83"/>
  <c r="AB19" i="83"/>
  <c r="AC19" i="83"/>
  <c r="AD19" i="83"/>
  <c r="AE19" i="83"/>
  <c r="AF19" i="83"/>
  <c r="AG19" i="83"/>
  <c r="AH19" i="83"/>
  <c r="AI19" i="83"/>
  <c r="AJ19" i="83"/>
  <c r="AK19" i="83"/>
  <c r="AL19" i="83"/>
  <c r="AM19" i="83"/>
  <c r="AN19" i="83"/>
  <c r="AO19" i="83"/>
  <c r="AP19" i="83"/>
  <c r="AQ19" i="83"/>
  <c r="AR19" i="83"/>
  <c r="AS19" i="83"/>
  <c r="AT19" i="83"/>
  <c r="AU19" i="83"/>
  <c r="B20" i="83"/>
  <c r="C20" i="83"/>
  <c r="D20" i="83"/>
  <c r="E20" i="83"/>
  <c r="F20" i="83"/>
  <c r="G20" i="83"/>
  <c r="H20" i="83"/>
  <c r="I20" i="83"/>
  <c r="J20" i="83"/>
  <c r="K20" i="83"/>
  <c r="L20" i="83"/>
  <c r="M20" i="83"/>
  <c r="N20" i="83"/>
  <c r="O20" i="83"/>
  <c r="P20" i="83"/>
  <c r="Q20" i="83"/>
  <c r="R20" i="83"/>
  <c r="S20" i="83"/>
  <c r="T20" i="83"/>
  <c r="U20" i="83"/>
  <c r="V20" i="83"/>
  <c r="W20" i="83"/>
  <c r="X20" i="83"/>
  <c r="Y20" i="83"/>
  <c r="Z20" i="83"/>
  <c r="AA20" i="83"/>
  <c r="AB20" i="83"/>
  <c r="AC20" i="83"/>
  <c r="AD20" i="83"/>
  <c r="AE20" i="83"/>
  <c r="AF20" i="83"/>
  <c r="AG20" i="83"/>
  <c r="AH20" i="83"/>
  <c r="AI20" i="83"/>
  <c r="AJ20" i="83"/>
  <c r="AK20" i="83"/>
  <c r="AL20" i="83"/>
  <c r="AM20" i="83"/>
  <c r="AN20" i="83"/>
  <c r="AO20" i="83"/>
  <c r="AP20" i="83"/>
  <c r="AQ20" i="83"/>
  <c r="AR20" i="83"/>
  <c r="AS20" i="83"/>
  <c r="AT20" i="83"/>
  <c r="AU20" i="83"/>
  <c r="B21" i="83"/>
  <c r="C21" i="83"/>
  <c r="D21" i="83"/>
  <c r="E21" i="83"/>
  <c r="F21" i="83"/>
  <c r="G21" i="83"/>
  <c r="H21" i="83"/>
  <c r="I21" i="83"/>
  <c r="J21" i="83"/>
  <c r="K21" i="83"/>
  <c r="L21" i="83"/>
  <c r="M21" i="83"/>
  <c r="N21" i="83"/>
  <c r="O21" i="83"/>
  <c r="P21" i="83"/>
  <c r="Q21" i="83"/>
  <c r="R21" i="83"/>
  <c r="S21" i="83"/>
  <c r="T21" i="83"/>
  <c r="U21" i="83"/>
  <c r="V21" i="83"/>
  <c r="W21" i="83"/>
  <c r="X21" i="83"/>
  <c r="Y21" i="83"/>
  <c r="Z21" i="83"/>
  <c r="AA21" i="83"/>
  <c r="AB21" i="83"/>
  <c r="AC21" i="83"/>
  <c r="AD21" i="83"/>
  <c r="AE21" i="83"/>
  <c r="AF21" i="83"/>
  <c r="AG21" i="83"/>
  <c r="AH21" i="83"/>
  <c r="AI21" i="83"/>
  <c r="AJ21" i="83"/>
  <c r="AK21" i="83"/>
  <c r="AL21" i="83"/>
  <c r="AM21" i="83"/>
  <c r="AN21" i="83"/>
  <c r="AO21" i="83"/>
  <c r="AP21" i="83"/>
  <c r="AQ21" i="83"/>
  <c r="AR21" i="83"/>
  <c r="AS21" i="83"/>
  <c r="AT21" i="83"/>
  <c r="AU21" i="83"/>
  <c r="B22" i="83"/>
  <c r="C22" i="83"/>
  <c r="D22" i="83"/>
  <c r="E22" i="83"/>
  <c r="F22" i="83"/>
  <c r="G22" i="83"/>
  <c r="H22" i="83"/>
  <c r="I22" i="83"/>
  <c r="J22" i="83"/>
  <c r="K22" i="83"/>
  <c r="L22" i="83"/>
  <c r="M22" i="83"/>
  <c r="N22" i="83"/>
  <c r="O22" i="83"/>
  <c r="P22" i="83"/>
  <c r="Q22" i="83"/>
  <c r="R22" i="83"/>
  <c r="S22" i="83"/>
  <c r="T22" i="83"/>
  <c r="U22" i="83"/>
  <c r="V22" i="83"/>
  <c r="W22" i="83"/>
  <c r="X22" i="83"/>
  <c r="Y22" i="83"/>
  <c r="Z22" i="83"/>
  <c r="AA22" i="83"/>
  <c r="AB22" i="83"/>
  <c r="AC22" i="83"/>
  <c r="AD22" i="83"/>
  <c r="AE22" i="83"/>
  <c r="AF22" i="83"/>
  <c r="AG22" i="83"/>
  <c r="AH22" i="83"/>
  <c r="AI22" i="83"/>
  <c r="AJ22" i="83"/>
  <c r="AK22" i="83"/>
  <c r="AL22" i="83"/>
  <c r="AM22" i="83"/>
  <c r="AN22" i="83"/>
  <c r="AO22" i="83"/>
  <c r="AP22" i="83"/>
  <c r="AQ22" i="83"/>
  <c r="AR22" i="83"/>
  <c r="AS22" i="83"/>
  <c r="AT22" i="83"/>
  <c r="AU22" i="83"/>
  <c r="B23" i="83"/>
  <c r="C23" i="83"/>
  <c r="D23" i="83"/>
  <c r="E23" i="83"/>
  <c r="F23" i="83"/>
  <c r="G23" i="83"/>
  <c r="H23" i="83"/>
  <c r="I23" i="83"/>
  <c r="J23" i="83"/>
  <c r="K23" i="83"/>
  <c r="L23" i="83"/>
  <c r="M23" i="83"/>
  <c r="N23" i="83"/>
  <c r="O23" i="83"/>
  <c r="P23" i="83"/>
  <c r="Q23" i="83"/>
  <c r="R23" i="83"/>
  <c r="S23" i="83"/>
  <c r="T23" i="83"/>
  <c r="U23" i="83"/>
  <c r="V23" i="83"/>
  <c r="W23" i="83"/>
  <c r="X23" i="83"/>
  <c r="Y23" i="83"/>
  <c r="Z23" i="83"/>
  <c r="AA23" i="83"/>
  <c r="AB23" i="83"/>
  <c r="AC23" i="83"/>
  <c r="AD23" i="83"/>
  <c r="AE23" i="83"/>
  <c r="AF23" i="83"/>
  <c r="AG23" i="83"/>
  <c r="AH23" i="83"/>
  <c r="AI23" i="83"/>
  <c r="AJ23" i="83"/>
  <c r="AK23" i="83"/>
  <c r="AL23" i="83"/>
  <c r="AM23" i="83"/>
  <c r="AN23" i="83"/>
  <c r="AO23" i="83"/>
  <c r="AP23" i="83"/>
  <c r="AQ23" i="83"/>
  <c r="AR23" i="83"/>
  <c r="AS23" i="83"/>
  <c r="AT23" i="83"/>
  <c r="AU23" i="83"/>
  <c r="B24" i="83"/>
  <c r="C24" i="83"/>
  <c r="D24" i="83"/>
  <c r="E24" i="83"/>
  <c r="F24" i="83"/>
  <c r="G24" i="83"/>
  <c r="H24" i="83"/>
  <c r="I24" i="83"/>
  <c r="J24" i="83"/>
  <c r="K24" i="83"/>
  <c r="L24" i="83"/>
  <c r="M24" i="83"/>
  <c r="N24" i="83"/>
  <c r="O24" i="83"/>
  <c r="P24" i="83"/>
  <c r="Q24" i="83"/>
  <c r="R24" i="83"/>
  <c r="S24" i="83"/>
  <c r="T24" i="83"/>
  <c r="U24" i="83"/>
  <c r="V24" i="83"/>
  <c r="W24" i="83"/>
  <c r="X24" i="83"/>
  <c r="Y24" i="83"/>
  <c r="Z24" i="83"/>
  <c r="AA24" i="83"/>
  <c r="AB24" i="83"/>
  <c r="AC24" i="83"/>
  <c r="AD24" i="83"/>
  <c r="AE24" i="83"/>
  <c r="AF24" i="83"/>
  <c r="AG24" i="83"/>
  <c r="AH24" i="83"/>
  <c r="AI24" i="83"/>
  <c r="AJ24" i="83"/>
  <c r="AK24" i="83"/>
  <c r="AL24" i="83"/>
  <c r="AM24" i="83"/>
  <c r="AN24" i="83"/>
  <c r="AO24" i="83"/>
  <c r="AP24" i="83"/>
  <c r="AQ24" i="83"/>
  <c r="AR24" i="83"/>
  <c r="AS24" i="83"/>
  <c r="AT24" i="83"/>
  <c r="AU24" i="83"/>
  <c r="B25" i="83"/>
  <c r="C25" i="83"/>
  <c r="D25" i="83"/>
  <c r="E25" i="83"/>
  <c r="F25" i="83"/>
  <c r="G25" i="83"/>
  <c r="H25" i="83"/>
  <c r="I25" i="83"/>
  <c r="J25" i="83"/>
  <c r="K25" i="83"/>
  <c r="L25" i="83"/>
  <c r="M25" i="83"/>
  <c r="N25" i="83"/>
  <c r="O25" i="83"/>
  <c r="P25" i="83"/>
  <c r="Q25" i="83"/>
  <c r="R25" i="83"/>
  <c r="S25" i="83"/>
  <c r="T25" i="83"/>
  <c r="U25" i="83"/>
  <c r="V25" i="83"/>
  <c r="W25" i="83"/>
  <c r="X25" i="83"/>
  <c r="Y25" i="83"/>
  <c r="Z25" i="83"/>
  <c r="AA25" i="83"/>
  <c r="AB25" i="83"/>
  <c r="AC25" i="83"/>
  <c r="AD25" i="83"/>
  <c r="AE25" i="83"/>
  <c r="AF25" i="83"/>
  <c r="AG25" i="83"/>
  <c r="AH25" i="83"/>
  <c r="AI25" i="83"/>
  <c r="AJ25" i="83"/>
  <c r="AK25" i="83"/>
  <c r="AL25" i="83"/>
  <c r="AM25" i="83"/>
  <c r="AN25" i="83"/>
  <c r="AO25" i="83"/>
  <c r="AP25" i="83"/>
  <c r="AQ25" i="83"/>
  <c r="AR25" i="83"/>
  <c r="AS25" i="83"/>
  <c r="AT25" i="83"/>
  <c r="AU25" i="83"/>
  <c r="B26" i="83"/>
  <c r="C26" i="83"/>
  <c r="D26" i="83"/>
  <c r="E26" i="83"/>
  <c r="F26" i="83"/>
  <c r="G26" i="83"/>
  <c r="H26" i="83"/>
  <c r="I26" i="83"/>
  <c r="J26" i="83"/>
  <c r="K26" i="83"/>
  <c r="L26" i="83"/>
  <c r="M26" i="83"/>
  <c r="N26" i="83"/>
  <c r="O26" i="83"/>
  <c r="P26" i="83"/>
  <c r="Q26" i="83"/>
  <c r="R26" i="83"/>
  <c r="S26" i="83"/>
  <c r="T26" i="83"/>
  <c r="U26" i="83"/>
  <c r="V26" i="83"/>
  <c r="W26" i="83"/>
  <c r="X26" i="83"/>
  <c r="Y26" i="83"/>
  <c r="Z26" i="83"/>
  <c r="AA26" i="83"/>
  <c r="AB26" i="83"/>
  <c r="AC26" i="83"/>
  <c r="AD26" i="83"/>
  <c r="AE26" i="83"/>
  <c r="AF26" i="83"/>
  <c r="AG26" i="83"/>
  <c r="AH26" i="83"/>
  <c r="AI26" i="83"/>
  <c r="AJ26" i="83"/>
  <c r="AK26" i="83"/>
  <c r="AL26" i="83"/>
  <c r="AM26" i="83"/>
  <c r="AN26" i="83"/>
  <c r="AO26" i="83"/>
  <c r="AP26" i="83"/>
  <c r="AQ26" i="83"/>
  <c r="AR26" i="83"/>
  <c r="AS26" i="83"/>
  <c r="AT26" i="83"/>
  <c r="AU26" i="83"/>
  <c r="B27" i="83"/>
  <c r="C27" i="83"/>
  <c r="D27" i="83"/>
  <c r="E27" i="83"/>
  <c r="F27" i="83"/>
  <c r="G27" i="83"/>
  <c r="H27" i="83"/>
  <c r="I27" i="83"/>
  <c r="J27" i="83"/>
  <c r="K27" i="83"/>
  <c r="L27" i="83"/>
  <c r="M27" i="83"/>
  <c r="N27" i="83"/>
  <c r="O27" i="83"/>
  <c r="P27" i="83"/>
  <c r="Q27" i="83"/>
  <c r="R27" i="83"/>
  <c r="S27" i="83"/>
  <c r="T27" i="83"/>
  <c r="U27" i="83"/>
  <c r="V27" i="83"/>
  <c r="W27" i="83"/>
  <c r="X27" i="83"/>
  <c r="Y27" i="83"/>
  <c r="Z27" i="83"/>
  <c r="AA27" i="83"/>
  <c r="AB27" i="83"/>
  <c r="AC27" i="83"/>
  <c r="AD27" i="83"/>
  <c r="AE27" i="83"/>
  <c r="AF27" i="83"/>
  <c r="AG27" i="83"/>
  <c r="AH27" i="83"/>
  <c r="AI27" i="83"/>
  <c r="AJ27" i="83"/>
  <c r="AK27" i="83"/>
  <c r="AL27" i="83"/>
  <c r="AM27" i="83"/>
  <c r="AN27" i="83"/>
  <c r="AO27" i="83"/>
  <c r="AP27" i="83"/>
  <c r="AQ27" i="83"/>
  <c r="AR27" i="83"/>
  <c r="AS27" i="83"/>
  <c r="AT27" i="83"/>
  <c r="AU27" i="83"/>
  <c r="B28" i="83"/>
  <c r="C28" i="83"/>
  <c r="D28" i="83"/>
  <c r="E28" i="83"/>
  <c r="F28" i="83"/>
  <c r="G28" i="83"/>
  <c r="H28" i="83"/>
  <c r="I28" i="83"/>
  <c r="J28" i="83"/>
  <c r="K28" i="83"/>
  <c r="L28" i="83"/>
  <c r="M28" i="83"/>
  <c r="N28" i="83"/>
  <c r="O28" i="83"/>
  <c r="P28" i="83"/>
  <c r="Q28" i="83"/>
  <c r="R28" i="83"/>
  <c r="S28" i="83"/>
  <c r="T28" i="83"/>
  <c r="U28" i="83"/>
  <c r="V28" i="83"/>
  <c r="W28" i="83"/>
  <c r="X28" i="83"/>
  <c r="Y28" i="83"/>
  <c r="Z28" i="83"/>
  <c r="AA28" i="83"/>
  <c r="AB28" i="83"/>
  <c r="AC28" i="83"/>
  <c r="AD28" i="83"/>
  <c r="AE28" i="83"/>
  <c r="AF28" i="83"/>
  <c r="AG28" i="83"/>
  <c r="AH28" i="83"/>
  <c r="AI28" i="83"/>
  <c r="AJ28" i="83"/>
  <c r="AK28" i="83"/>
  <c r="AL28" i="83"/>
  <c r="AM28" i="83"/>
  <c r="AN28" i="83"/>
  <c r="AO28" i="83"/>
  <c r="AP28" i="83"/>
  <c r="AQ28" i="83"/>
  <c r="AR28" i="83"/>
  <c r="AS28" i="83"/>
  <c r="AT28" i="83"/>
  <c r="AU28" i="83"/>
  <c r="B29" i="83"/>
  <c r="C29" i="83"/>
  <c r="D29" i="83"/>
  <c r="E29" i="83"/>
  <c r="F29" i="83"/>
  <c r="G29" i="83"/>
  <c r="H29" i="83"/>
  <c r="I29" i="83"/>
  <c r="J29" i="83"/>
  <c r="K29" i="83"/>
  <c r="L29" i="83"/>
  <c r="M29" i="83"/>
  <c r="N29" i="83"/>
  <c r="O29" i="83"/>
  <c r="P29" i="83"/>
  <c r="Q29" i="83"/>
  <c r="R29" i="83"/>
  <c r="S29" i="83"/>
  <c r="T29" i="83"/>
  <c r="U29" i="83"/>
  <c r="V29" i="83"/>
  <c r="W29" i="83"/>
  <c r="X29" i="83"/>
  <c r="Y29" i="83"/>
  <c r="Z29" i="83"/>
  <c r="AA29" i="83"/>
  <c r="AB29" i="83"/>
  <c r="AC29" i="83"/>
  <c r="AD29" i="83"/>
  <c r="AE29" i="83"/>
  <c r="AF29" i="83"/>
  <c r="AG29" i="83"/>
  <c r="AH29" i="83"/>
  <c r="AI29" i="83"/>
  <c r="AJ29" i="83"/>
  <c r="AK29" i="83"/>
  <c r="AL29" i="83"/>
  <c r="AM29" i="83"/>
  <c r="AN29" i="83"/>
  <c r="AO29" i="83"/>
  <c r="AP29" i="83"/>
  <c r="AQ29" i="83"/>
  <c r="AR29" i="83"/>
  <c r="AS29" i="83"/>
  <c r="AT29" i="83"/>
  <c r="AU29" i="83"/>
  <c r="B30" i="83"/>
  <c r="C30" i="83"/>
  <c r="D30" i="83"/>
  <c r="E30" i="83"/>
  <c r="F30" i="83"/>
  <c r="G30" i="83"/>
  <c r="H30" i="83"/>
  <c r="I30" i="83"/>
  <c r="J30" i="83"/>
  <c r="K30" i="83"/>
  <c r="L30" i="83"/>
  <c r="M30" i="83"/>
  <c r="N30" i="83"/>
  <c r="O30" i="83"/>
  <c r="P30" i="83"/>
  <c r="Q30" i="83"/>
  <c r="R30" i="83"/>
  <c r="S30" i="83"/>
  <c r="T30" i="83"/>
  <c r="U30" i="83"/>
  <c r="V30" i="83"/>
  <c r="W30" i="83"/>
  <c r="X30" i="83"/>
  <c r="Y30" i="83"/>
  <c r="Z30" i="83"/>
  <c r="AA30" i="83"/>
  <c r="AB30" i="83"/>
  <c r="AC30" i="83"/>
  <c r="AD30" i="83"/>
  <c r="AE30" i="83"/>
  <c r="AF30" i="83"/>
  <c r="AG30" i="83"/>
  <c r="AH30" i="83"/>
  <c r="AI30" i="83"/>
  <c r="AJ30" i="83"/>
  <c r="AK30" i="83"/>
  <c r="AL30" i="83"/>
  <c r="AM30" i="83"/>
  <c r="AN30" i="83"/>
  <c r="AO30" i="83"/>
  <c r="AP30" i="83"/>
  <c r="AQ30" i="83"/>
  <c r="AR30" i="83"/>
  <c r="AS30" i="83"/>
  <c r="AT30" i="83"/>
  <c r="AU30" i="83"/>
  <c r="B31" i="83"/>
  <c r="C31" i="83"/>
  <c r="D31" i="83"/>
  <c r="E31" i="83"/>
  <c r="F31" i="83"/>
  <c r="G31" i="83"/>
  <c r="H31" i="83"/>
  <c r="I31" i="83"/>
  <c r="J31" i="83"/>
  <c r="K31" i="83"/>
  <c r="L31" i="83"/>
  <c r="M31" i="83"/>
  <c r="N31" i="83"/>
  <c r="O31" i="83"/>
  <c r="P31" i="83"/>
  <c r="Q31" i="83"/>
  <c r="R31" i="83"/>
  <c r="S31" i="83"/>
  <c r="T31" i="83"/>
  <c r="U31" i="83"/>
  <c r="V31" i="83"/>
  <c r="W31" i="83"/>
  <c r="X31" i="83"/>
  <c r="Y31" i="83"/>
  <c r="Z31" i="83"/>
  <c r="AA31" i="83"/>
  <c r="AB31" i="83"/>
  <c r="AC31" i="83"/>
  <c r="AD31" i="83"/>
  <c r="AE31" i="83"/>
  <c r="AF31" i="83"/>
  <c r="AG31" i="83"/>
  <c r="AH31" i="83"/>
  <c r="AI31" i="83"/>
  <c r="AJ31" i="83"/>
  <c r="AK31" i="83"/>
  <c r="AL31" i="83"/>
  <c r="AM31" i="83"/>
  <c r="AN31" i="83"/>
  <c r="AO31" i="83"/>
  <c r="AP31" i="83"/>
  <c r="AQ31" i="83"/>
  <c r="AR31" i="83"/>
  <c r="AS31" i="83"/>
  <c r="AT31" i="83"/>
  <c r="AU31" i="83"/>
  <c r="B32" i="83"/>
  <c r="C32" i="83"/>
  <c r="D32" i="83"/>
  <c r="E32" i="83"/>
  <c r="F32" i="83"/>
  <c r="G32" i="83"/>
  <c r="H32" i="83"/>
  <c r="I32" i="83"/>
  <c r="J32" i="83"/>
  <c r="K32" i="83"/>
  <c r="L32" i="83"/>
  <c r="M32" i="83"/>
  <c r="N32" i="83"/>
  <c r="O32" i="83"/>
  <c r="P32" i="83"/>
  <c r="Q32" i="83"/>
  <c r="R32" i="83"/>
  <c r="S32" i="83"/>
  <c r="T32" i="83"/>
  <c r="U32" i="83"/>
  <c r="V32" i="83"/>
  <c r="W32" i="83"/>
  <c r="X32" i="83"/>
  <c r="Y32" i="83"/>
  <c r="Z32" i="83"/>
  <c r="AA32" i="83"/>
  <c r="AB32" i="83"/>
  <c r="AC32" i="83"/>
  <c r="AD32" i="83"/>
  <c r="AE32" i="83"/>
  <c r="AF32" i="83"/>
  <c r="AG32" i="83"/>
  <c r="AH32" i="83"/>
  <c r="AI32" i="83"/>
  <c r="AJ32" i="83"/>
  <c r="AK32" i="83"/>
  <c r="AL32" i="83"/>
  <c r="AM32" i="83"/>
  <c r="AN32" i="83"/>
  <c r="AO32" i="83"/>
  <c r="AP32" i="83"/>
  <c r="AQ32" i="83"/>
  <c r="AR32" i="83"/>
  <c r="AS32" i="83"/>
  <c r="AT32" i="83"/>
  <c r="AU32" i="83"/>
  <c r="B33" i="83"/>
  <c r="C33" i="83"/>
  <c r="D33" i="83"/>
  <c r="E33" i="83"/>
  <c r="F33" i="83"/>
  <c r="G33" i="83"/>
  <c r="H33" i="83"/>
  <c r="I33" i="83"/>
  <c r="J33" i="83"/>
  <c r="K33" i="83"/>
  <c r="L33" i="83"/>
  <c r="M33" i="83"/>
  <c r="N33" i="83"/>
  <c r="O33" i="83"/>
  <c r="P33" i="83"/>
  <c r="Q33" i="83"/>
  <c r="R33" i="83"/>
  <c r="S33" i="83"/>
  <c r="T33" i="83"/>
  <c r="U33" i="83"/>
  <c r="V33" i="83"/>
  <c r="W33" i="83"/>
  <c r="X33" i="83"/>
  <c r="Y33" i="83"/>
  <c r="Z33" i="83"/>
  <c r="AA33" i="83"/>
  <c r="AB33" i="83"/>
  <c r="AC33" i="83"/>
  <c r="AD33" i="83"/>
  <c r="AE33" i="83"/>
  <c r="AF33" i="83"/>
  <c r="AG33" i="83"/>
  <c r="AH33" i="83"/>
  <c r="AI33" i="83"/>
  <c r="AJ33" i="83"/>
  <c r="AK33" i="83"/>
  <c r="AL33" i="83"/>
  <c r="AM33" i="83"/>
  <c r="AN33" i="83"/>
  <c r="AO33" i="83"/>
  <c r="AP33" i="83"/>
  <c r="AQ33" i="83"/>
  <c r="AR33" i="83"/>
  <c r="AS33" i="83"/>
  <c r="AT33" i="83"/>
  <c r="AU33" i="83"/>
  <c r="B34" i="83"/>
  <c r="C34" i="83"/>
  <c r="D34" i="83"/>
  <c r="E34" i="83"/>
  <c r="F34" i="83"/>
  <c r="G34" i="83"/>
  <c r="H34" i="83"/>
  <c r="I34" i="83"/>
  <c r="J34" i="83"/>
  <c r="K34" i="83"/>
  <c r="L34" i="83"/>
  <c r="M34" i="83"/>
  <c r="N34" i="83"/>
  <c r="O34" i="83"/>
  <c r="P34" i="83"/>
  <c r="Q34" i="83"/>
  <c r="R34" i="83"/>
  <c r="S34" i="83"/>
  <c r="T34" i="83"/>
  <c r="U34" i="83"/>
  <c r="V34" i="83"/>
  <c r="W34" i="83"/>
  <c r="X34" i="83"/>
  <c r="Y34" i="83"/>
  <c r="Z34" i="83"/>
  <c r="AA34" i="83"/>
  <c r="AB34" i="83"/>
  <c r="AC34" i="83"/>
  <c r="AD34" i="83"/>
  <c r="AE34" i="83"/>
  <c r="AF34" i="83"/>
  <c r="AG34" i="83"/>
  <c r="AH34" i="83"/>
  <c r="AI34" i="83"/>
  <c r="AJ34" i="83"/>
  <c r="AK34" i="83"/>
  <c r="AL34" i="83"/>
  <c r="AM34" i="83"/>
  <c r="AN34" i="83"/>
  <c r="AO34" i="83"/>
  <c r="AP34" i="83"/>
  <c r="AQ34" i="83"/>
  <c r="AR34" i="83"/>
  <c r="AS34" i="83"/>
  <c r="AT34" i="83"/>
  <c r="AU34" i="83"/>
  <c r="B35" i="83"/>
  <c r="C35" i="83"/>
  <c r="D35" i="83"/>
  <c r="E35" i="83"/>
  <c r="F35" i="83"/>
  <c r="G35" i="83"/>
  <c r="H35" i="83"/>
  <c r="I35" i="83"/>
  <c r="J35" i="83"/>
  <c r="K35" i="83"/>
  <c r="L35" i="83"/>
  <c r="M35" i="83"/>
  <c r="N35" i="83"/>
  <c r="O35" i="83"/>
  <c r="P35" i="83"/>
  <c r="Q35" i="83"/>
  <c r="R35" i="83"/>
  <c r="S35" i="83"/>
  <c r="T35" i="83"/>
  <c r="U35" i="83"/>
  <c r="V35" i="83"/>
  <c r="W35" i="83"/>
  <c r="X35" i="83"/>
  <c r="Y35" i="83"/>
  <c r="Z35" i="83"/>
  <c r="AA35" i="83"/>
  <c r="AB35" i="83"/>
  <c r="AC35" i="83"/>
  <c r="AD35" i="83"/>
  <c r="AE35" i="83"/>
  <c r="AF35" i="83"/>
  <c r="AG35" i="83"/>
  <c r="AH35" i="83"/>
  <c r="AI35" i="83"/>
  <c r="AJ35" i="83"/>
  <c r="AK35" i="83"/>
  <c r="AL35" i="83"/>
  <c r="AM35" i="83"/>
  <c r="AN35" i="83"/>
  <c r="AO35" i="83"/>
  <c r="AP35" i="83"/>
  <c r="AQ35" i="83"/>
  <c r="AR35" i="83"/>
  <c r="AS35" i="83"/>
  <c r="AT35" i="83"/>
  <c r="AU35" i="83"/>
  <c r="B36" i="83"/>
  <c r="C36" i="83"/>
  <c r="D36" i="83"/>
  <c r="E36" i="83"/>
  <c r="F36" i="83"/>
  <c r="G36" i="83"/>
  <c r="H36" i="83"/>
  <c r="I36" i="83"/>
  <c r="J36" i="83"/>
  <c r="K36" i="83"/>
  <c r="L36" i="83"/>
  <c r="M36" i="83"/>
  <c r="N36" i="83"/>
  <c r="O36" i="83"/>
  <c r="P36" i="83"/>
  <c r="Q36" i="83"/>
  <c r="R36" i="83"/>
  <c r="S36" i="83"/>
  <c r="T36" i="83"/>
  <c r="U36" i="83"/>
  <c r="V36" i="83"/>
  <c r="W36" i="83"/>
  <c r="X36" i="83"/>
  <c r="Y36" i="83"/>
  <c r="Z36" i="83"/>
  <c r="AA36" i="83"/>
  <c r="AB36" i="83"/>
  <c r="AC36" i="83"/>
  <c r="AD36" i="83"/>
  <c r="AE36" i="83"/>
  <c r="AF36" i="83"/>
  <c r="AG36" i="83"/>
  <c r="AH36" i="83"/>
  <c r="AI36" i="83"/>
  <c r="AJ36" i="83"/>
  <c r="AK36" i="83"/>
  <c r="AL36" i="83"/>
  <c r="AM36" i="83"/>
  <c r="AN36" i="83"/>
  <c r="AO36" i="83"/>
  <c r="AP36" i="83"/>
  <c r="AQ36" i="83"/>
  <c r="AR36" i="83"/>
  <c r="AS36" i="83"/>
  <c r="AT36" i="83"/>
  <c r="AU36" i="83"/>
  <c r="B37" i="83"/>
  <c r="C37" i="83"/>
  <c r="D37" i="83"/>
  <c r="E37" i="83"/>
  <c r="F37" i="83"/>
  <c r="G37" i="83"/>
  <c r="H37" i="83"/>
  <c r="I37" i="83"/>
  <c r="J37" i="83"/>
  <c r="K37" i="83"/>
  <c r="L37" i="83"/>
  <c r="M37" i="83"/>
  <c r="N37" i="83"/>
  <c r="O37" i="83"/>
  <c r="P37" i="83"/>
  <c r="Q37" i="83"/>
  <c r="R37" i="83"/>
  <c r="S37" i="83"/>
  <c r="T37" i="83"/>
  <c r="U37" i="83"/>
  <c r="V37" i="83"/>
  <c r="W37" i="83"/>
  <c r="X37" i="83"/>
  <c r="Y37" i="83"/>
  <c r="Z37" i="83"/>
  <c r="AA37" i="83"/>
  <c r="AB37" i="83"/>
  <c r="AC37" i="83"/>
  <c r="AD37" i="83"/>
  <c r="AE37" i="83"/>
  <c r="AF37" i="83"/>
  <c r="AG37" i="83"/>
  <c r="AH37" i="83"/>
  <c r="AI37" i="83"/>
  <c r="AJ37" i="83"/>
  <c r="AK37" i="83"/>
  <c r="AL37" i="83"/>
  <c r="AM37" i="83"/>
  <c r="AN37" i="83"/>
  <c r="AO37" i="83"/>
  <c r="AP37" i="83"/>
  <c r="AQ37" i="83"/>
  <c r="AR37" i="83"/>
  <c r="AS37" i="83"/>
  <c r="AT37" i="83"/>
  <c r="AU37" i="83"/>
  <c r="B38" i="83"/>
  <c r="C38" i="83"/>
  <c r="D38" i="83"/>
  <c r="E38" i="83"/>
  <c r="F38" i="83"/>
  <c r="G38" i="83"/>
  <c r="H38" i="83"/>
  <c r="I38" i="83"/>
  <c r="J38" i="83"/>
  <c r="K38" i="83"/>
  <c r="L38" i="83"/>
  <c r="M38" i="83"/>
  <c r="N38" i="83"/>
  <c r="O38" i="83"/>
  <c r="P38" i="83"/>
  <c r="Q38" i="83"/>
  <c r="R38" i="83"/>
  <c r="S38" i="83"/>
  <c r="T38" i="83"/>
  <c r="U38" i="83"/>
  <c r="V38" i="83"/>
  <c r="W38" i="83"/>
  <c r="X38" i="83"/>
  <c r="Y38" i="83"/>
  <c r="Z38" i="83"/>
  <c r="AA38" i="83"/>
  <c r="AB38" i="83"/>
  <c r="AC38" i="83"/>
  <c r="AD38" i="83"/>
  <c r="AE38" i="83"/>
  <c r="AF38" i="83"/>
  <c r="AG38" i="83"/>
  <c r="AH38" i="83"/>
  <c r="AI38" i="83"/>
  <c r="AJ38" i="83"/>
  <c r="AK38" i="83"/>
  <c r="AL38" i="83"/>
  <c r="AM38" i="83"/>
  <c r="AN38" i="83"/>
  <c r="AO38" i="83"/>
  <c r="AP38" i="83"/>
  <c r="AQ38" i="83"/>
  <c r="AR38" i="83"/>
  <c r="AS38" i="83"/>
  <c r="AT38" i="83"/>
  <c r="AU38" i="83"/>
  <c r="B39" i="83"/>
  <c r="C39" i="83"/>
  <c r="D39" i="83"/>
  <c r="E39" i="83"/>
  <c r="F39" i="83"/>
  <c r="G39" i="83"/>
  <c r="H39" i="83"/>
  <c r="I39" i="83"/>
  <c r="J39" i="83"/>
  <c r="K39" i="83"/>
  <c r="L39" i="83"/>
  <c r="M39" i="83"/>
  <c r="N39" i="83"/>
  <c r="O39" i="83"/>
  <c r="P39" i="83"/>
  <c r="Q39" i="83"/>
  <c r="R39" i="83"/>
  <c r="S39" i="83"/>
  <c r="T39" i="83"/>
  <c r="U39" i="83"/>
  <c r="V39" i="83"/>
  <c r="W39" i="83"/>
  <c r="X39" i="83"/>
  <c r="Y39" i="83"/>
  <c r="Z39" i="83"/>
  <c r="AA39" i="83"/>
  <c r="AB39" i="83"/>
  <c r="AC39" i="83"/>
  <c r="AD39" i="83"/>
  <c r="AE39" i="83"/>
  <c r="AF39" i="83"/>
  <c r="AG39" i="83"/>
  <c r="AH39" i="83"/>
  <c r="AI39" i="83"/>
  <c r="AJ39" i="83"/>
  <c r="AK39" i="83"/>
  <c r="AL39" i="83"/>
  <c r="AM39" i="83"/>
  <c r="AN39" i="83"/>
  <c r="AO39" i="83"/>
  <c r="AP39" i="83"/>
  <c r="AQ39" i="83"/>
  <c r="AR39" i="83"/>
  <c r="AS39" i="83"/>
  <c r="AT39" i="83"/>
  <c r="AU39" i="83"/>
  <c r="B40" i="83"/>
  <c r="C40" i="83"/>
  <c r="D40" i="83"/>
  <c r="E40" i="83"/>
  <c r="F40" i="83"/>
  <c r="G40" i="83"/>
  <c r="H40" i="83"/>
  <c r="I40" i="83"/>
  <c r="J40" i="83"/>
  <c r="K40" i="83"/>
  <c r="L40" i="83"/>
  <c r="M40" i="83"/>
  <c r="N40" i="83"/>
  <c r="O40" i="83"/>
  <c r="P40" i="83"/>
  <c r="Q40" i="83"/>
  <c r="R40" i="83"/>
  <c r="S40" i="83"/>
  <c r="T40" i="83"/>
  <c r="U40" i="83"/>
  <c r="V40" i="83"/>
  <c r="W40" i="83"/>
  <c r="X40" i="83"/>
  <c r="Y40" i="83"/>
  <c r="Z40" i="83"/>
  <c r="AA40" i="83"/>
  <c r="AB40" i="83"/>
  <c r="AC40" i="83"/>
  <c r="AD40" i="83"/>
  <c r="AE40" i="83"/>
  <c r="AF40" i="83"/>
  <c r="AG40" i="83"/>
  <c r="AH40" i="83"/>
  <c r="AI40" i="83"/>
  <c r="AJ40" i="83"/>
  <c r="AK40" i="83"/>
  <c r="AL40" i="83"/>
  <c r="AM40" i="83"/>
  <c r="AN40" i="83"/>
  <c r="AO40" i="83"/>
  <c r="AP40" i="83"/>
  <c r="AQ40" i="83"/>
  <c r="AR40" i="83"/>
  <c r="AS40" i="83"/>
  <c r="AT40" i="83"/>
  <c r="AU40" i="83"/>
  <c r="B41" i="83"/>
  <c r="C41" i="83"/>
  <c r="D41" i="83"/>
  <c r="E41" i="83"/>
  <c r="F41" i="83"/>
  <c r="G41" i="83"/>
  <c r="H41" i="83"/>
  <c r="I41" i="83"/>
  <c r="J41" i="83"/>
  <c r="K41" i="83"/>
  <c r="L41" i="83"/>
  <c r="M41" i="83"/>
  <c r="N41" i="83"/>
  <c r="O41" i="83"/>
  <c r="P41" i="83"/>
  <c r="Q41" i="83"/>
  <c r="R41" i="83"/>
  <c r="S41" i="83"/>
  <c r="T41" i="83"/>
  <c r="U41" i="83"/>
  <c r="V41" i="83"/>
  <c r="W41" i="83"/>
  <c r="X41" i="83"/>
  <c r="Y41" i="83"/>
  <c r="Z41" i="83"/>
  <c r="AA41" i="83"/>
  <c r="AB41" i="83"/>
  <c r="AC41" i="83"/>
  <c r="AD41" i="83"/>
  <c r="AE41" i="83"/>
  <c r="AF41" i="83"/>
  <c r="AG41" i="83"/>
  <c r="AH41" i="83"/>
  <c r="AI41" i="83"/>
  <c r="AJ41" i="83"/>
  <c r="AK41" i="83"/>
  <c r="AL41" i="83"/>
  <c r="AM41" i="83"/>
  <c r="AN41" i="83"/>
  <c r="AO41" i="83"/>
  <c r="AP41" i="83"/>
  <c r="AQ41" i="83"/>
  <c r="AR41" i="83"/>
  <c r="AS41" i="83"/>
  <c r="AT41" i="83"/>
  <c r="AU41" i="83"/>
  <c r="B42" i="83"/>
  <c r="C42" i="83"/>
  <c r="D42" i="83"/>
  <c r="E42" i="83"/>
  <c r="F42" i="83"/>
  <c r="G42" i="83"/>
  <c r="H42" i="83"/>
  <c r="I42" i="83"/>
  <c r="J42" i="83"/>
  <c r="K42" i="83"/>
  <c r="L42" i="83"/>
  <c r="M42" i="83"/>
  <c r="N42" i="83"/>
  <c r="O42" i="83"/>
  <c r="P42" i="83"/>
  <c r="Q42" i="83"/>
  <c r="R42" i="83"/>
  <c r="S42" i="83"/>
  <c r="T42" i="83"/>
  <c r="U42" i="83"/>
  <c r="V42" i="83"/>
  <c r="W42" i="83"/>
  <c r="X42" i="83"/>
  <c r="Y42" i="83"/>
  <c r="Z42" i="83"/>
  <c r="AA42" i="83"/>
  <c r="AB42" i="83"/>
  <c r="AC42" i="83"/>
  <c r="AD42" i="83"/>
  <c r="AE42" i="83"/>
  <c r="AF42" i="83"/>
  <c r="AG42" i="83"/>
  <c r="AH42" i="83"/>
  <c r="AI42" i="83"/>
  <c r="AJ42" i="83"/>
  <c r="AK42" i="83"/>
  <c r="AL42" i="83"/>
  <c r="AM42" i="83"/>
  <c r="AN42" i="83"/>
  <c r="AO42" i="83"/>
  <c r="AP42" i="83"/>
  <c r="AQ42" i="83"/>
  <c r="AR42" i="83"/>
  <c r="AS42" i="83"/>
  <c r="AT42" i="83"/>
  <c r="AU42" i="83"/>
  <c r="B43" i="83"/>
  <c r="C43" i="83"/>
  <c r="D43" i="83"/>
  <c r="E43" i="83"/>
  <c r="F43" i="83"/>
  <c r="G43" i="83"/>
  <c r="H43" i="83"/>
  <c r="I43" i="83"/>
  <c r="J43" i="83"/>
  <c r="K43" i="83"/>
  <c r="L43" i="83"/>
  <c r="M43" i="83"/>
  <c r="N43" i="83"/>
  <c r="O43" i="83"/>
  <c r="P43" i="83"/>
  <c r="Q43" i="83"/>
  <c r="R43" i="83"/>
  <c r="S43" i="83"/>
  <c r="T43" i="83"/>
  <c r="U43" i="83"/>
  <c r="V43" i="83"/>
  <c r="W43" i="83"/>
  <c r="X43" i="83"/>
  <c r="Y43" i="83"/>
  <c r="Z43" i="83"/>
  <c r="AA43" i="83"/>
  <c r="AB43" i="83"/>
  <c r="AC43" i="83"/>
  <c r="AD43" i="83"/>
  <c r="AE43" i="83"/>
  <c r="AF43" i="83"/>
  <c r="AG43" i="83"/>
  <c r="AH43" i="83"/>
  <c r="AI43" i="83"/>
  <c r="AJ43" i="83"/>
  <c r="AK43" i="83"/>
  <c r="AL43" i="83"/>
  <c r="AM43" i="83"/>
  <c r="AN43" i="83"/>
  <c r="AO43" i="83"/>
  <c r="AP43" i="83"/>
  <c r="AQ43" i="83"/>
  <c r="AR43" i="83"/>
  <c r="AS43" i="83"/>
  <c r="AT43" i="83"/>
  <c r="AU43" i="83"/>
  <c r="B44" i="83"/>
  <c r="C44" i="83"/>
  <c r="D44" i="83"/>
  <c r="E44" i="83"/>
  <c r="F44" i="83"/>
  <c r="G44" i="83"/>
  <c r="H44" i="83"/>
  <c r="I44" i="83"/>
  <c r="J44" i="83"/>
  <c r="K44" i="83"/>
  <c r="L44" i="83"/>
  <c r="M44" i="83"/>
  <c r="N44" i="83"/>
  <c r="O44" i="83"/>
  <c r="P44" i="83"/>
  <c r="Q44" i="83"/>
  <c r="R44" i="83"/>
  <c r="S44" i="83"/>
  <c r="T44" i="83"/>
  <c r="U44" i="83"/>
  <c r="V44" i="83"/>
  <c r="W44" i="83"/>
  <c r="X44" i="83"/>
  <c r="Y44" i="83"/>
  <c r="Z44" i="83"/>
  <c r="AA44" i="83"/>
  <c r="AB44" i="83"/>
  <c r="AC44" i="83"/>
  <c r="AD44" i="83"/>
  <c r="AE44" i="83"/>
  <c r="AF44" i="83"/>
  <c r="AG44" i="83"/>
  <c r="AH44" i="83"/>
  <c r="AI44" i="83"/>
  <c r="AJ44" i="83"/>
  <c r="AK44" i="83"/>
  <c r="AL44" i="83"/>
  <c r="AM44" i="83"/>
  <c r="AN44" i="83"/>
  <c r="AO44" i="83"/>
  <c r="AP44" i="83"/>
  <c r="AQ44" i="83"/>
  <c r="AR44" i="83"/>
  <c r="AS44" i="83"/>
  <c r="AT44" i="83"/>
  <c r="AU44" i="83"/>
  <c r="B45" i="83"/>
  <c r="C45" i="83"/>
  <c r="D45" i="83"/>
  <c r="E45" i="83"/>
  <c r="F45" i="83"/>
  <c r="G45" i="83"/>
  <c r="H45" i="83"/>
  <c r="I45" i="83"/>
  <c r="J45" i="83"/>
  <c r="K45" i="83"/>
  <c r="L45" i="83"/>
  <c r="M45" i="83"/>
  <c r="N45" i="83"/>
  <c r="O45" i="83"/>
  <c r="P45" i="83"/>
  <c r="Q45" i="83"/>
  <c r="R45" i="83"/>
  <c r="S45" i="83"/>
  <c r="T45" i="83"/>
  <c r="U45" i="83"/>
  <c r="V45" i="83"/>
  <c r="W45" i="83"/>
  <c r="X45" i="83"/>
  <c r="Y45" i="83"/>
  <c r="Z45" i="83"/>
  <c r="AA45" i="83"/>
  <c r="AB45" i="83"/>
  <c r="AC45" i="83"/>
  <c r="AD45" i="83"/>
  <c r="AE45" i="83"/>
  <c r="AF45" i="83"/>
  <c r="AG45" i="83"/>
  <c r="AH45" i="83"/>
  <c r="AI45" i="83"/>
  <c r="AJ45" i="83"/>
  <c r="AK45" i="83"/>
  <c r="AL45" i="83"/>
  <c r="AM45" i="83"/>
  <c r="AN45" i="83"/>
  <c r="AO45" i="83"/>
  <c r="AP45" i="83"/>
  <c r="AQ45" i="83"/>
  <c r="AR45" i="83"/>
  <c r="AS45" i="83"/>
  <c r="AT45" i="83"/>
  <c r="AU45" i="83"/>
  <c r="B46" i="83"/>
  <c r="C46" i="83"/>
  <c r="D46" i="83"/>
  <c r="E46" i="83"/>
  <c r="F46" i="83"/>
  <c r="G46" i="83"/>
  <c r="H46" i="83"/>
  <c r="I46" i="83"/>
  <c r="J46" i="83"/>
  <c r="K46" i="83"/>
  <c r="L46" i="83"/>
  <c r="M46" i="83"/>
  <c r="N46" i="83"/>
  <c r="O46" i="83"/>
  <c r="P46" i="83"/>
  <c r="Q46" i="83"/>
  <c r="R46" i="83"/>
  <c r="S46" i="83"/>
  <c r="T46" i="83"/>
  <c r="U46" i="83"/>
  <c r="V46" i="83"/>
  <c r="W46" i="83"/>
  <c r="X46" i="83"/>
  <c r="Y46" i="83"/>
  <c r="Z46" i="83"/>
  <c r="AA46" i="83"/>
  <c r="AB46" i="83"/>
  <c r="AC46" i="83"/>
  <c r="AD46" i="83"/>
  <c r="AE46" i="83"/>
  <c r="AF46" i="83"/>
  <c r="AG46" i="83"/>
  <c r="AH46" i="83"/>
  <c r="AI46" i="83"/>
  <c r="AJ46" i="83"/>
  <c r="AK46" i="83"/>
  <c r="AL46" i="83"/>
  <c r="AM46" i="83"/>
  <c r="AN46" i="83"/>
  <c r="AO46" i="83"/>
  <c r="AP46" i="83"/>
  <c r="AQ46" i="83"/>
  <c r="AR46" i="83"/>
  <c r="AS46" i="83"/>
  <c r="AT46" i="83"/>
  <c r="AU46" i="83"/>
  <c r="B47" i="83"/>
  <c r="C47" i="83"/>
  <c r="D47" i="83"/>
  <c r="E47" i="83"/>
  <c r="F47" i="83"/>
  <c r="G47" i="83"/>
  <c r="H47" i="83"/>
  <c r="I47" i="83"/>
  <c r="J47" i="83"/>
  <c r="K47" i="83"/>
  <c r="L47" i="83"/>
  <c r="M47" i="83"/>
  <c r="N47" i="83"/>
  <c r="O47" i="83"/>
  <c r="P47" i="83"/>
  <c r="Q47" i="83"/>
  <c r="R47" i="83"/>
  <c r="S47" i="83"/>
  <c r="T47" i="83"/>
  <c r="U47" i="83"/>
  <c r="V47" i="83"/>
  <c r="W47" i="83"/>
  <c r="X47" i="83"/>
  <c r="Y47" i="83"/>
  <c r="Z47" i="83"/>
  <c r="AA47" i="83"/>
  <c r="AB47" i="83"/>
  <c r="AC47" i="83"/>
  <c r="AD47" i="83"/>
  <c r="AE47" i="83"/>
  <c r="AF47" i="83"/>
  <c r="AG47" i="83"/>
  <c r="AH47" i="83"/>
  <c r="AI47" i="83"/>
  <c r="AJ47" i="83"/>
  <c r="AK47" i="83"/>
  <c r="AL47" i="83"/>
  <c r="AM47" i="83"/>
  <c r="AN47" i="83"/>
  <c r="AO47" i="83"/>
  <c r="AP47" i="83"/>
  <c r="AQ47" i="83"/>
  <c r="AR47" i="83"/>
  <c r="AS47" i="83"/>
  <c r="AT47" i="83"/>
  <c r="AU47" i="83"/>
  <c r="B48" i="83"/>
  <c r="C48" i="83"/>
  <c r="D48" i="83"/>
  <c r="E48" i="83"/>
  <c r="F48" i="83"/>
  <c r="G48" i="83"/>
  <c r="H48" i="83"/>
  <c r="I48" i="83"/>
  <c r="J48" i="83"/>
  <c r="K48" i="83"/>
  <c r="L48" i="83"/>
  <c r="M48" i="83"/>
  <c r="N48" i="83"/>
  <c r="O48" i="83"/>
  <c r="P48" i="83"/>
  <c r="Q48" i="83"/>
  <c r="R48" i="83"/>
  <c r="S48" i="83"/>
  <c r="T48" i="83"/>
  <c r="U48" i="83"/>
  <c r="V48" i="83"/>
  <c r="W48" i="83"/>
  <c r="X48" i="83"/>
  <c r="Y48" i="83"/>
  <c r="Z48" i="83"/>
  <c r="AA48" i="83"/>
  <c r="AB48" i="83"/>
  <c r="AC48" i="83"/>
  <c r="AD48" i="83"/>
  <c r="AE48" i="83"/>
  <c r="AF48" i="83"/>
  <c r="AG48" i="83"/>
  <c r="AH48" i="83"/>
  <c r="AI48" i="83"/>
  <c r="AJ48" i="83"/>
  <c r="AK48" i="83"/>
  <c r="AL48" i="83"/>
  <c r="AM48" i="83"/>
  <c r="AN48" i="83"/>
  <c r="AO48" i="83"/>
  <c r="AP48" i="83"/>
  <c r="AQ48" i="83"/>
  <c r="AR48" i="83"/>
  <c r="AS48" i="83"/>
  <c r="AT48" i="83"/>
  <c r="AU48" i="83"/>
  <c r="B49" i="83"/>
  <c r="C49" i="83"/>
  <c r="D49" i="83"/>
  <c r="E49" i="83"/>
  <c r="F49" i="83"/>
  <c r="G49" i="83"/>
  <c r="H49" i="83"/>
  <c r="I49" i="83"/>
  <c r="J49" i="83"/>
  <c r="K49" i="83"/>
  <c r="L49" i="83"/>
  <c r="M49" i="83"/>
  <c r="N49" i="83"/>
  <c r="O49" i="83"/>
  <c r="P49" i="83"/>
  <c r="Q49" i="83"/>
  <c r="R49" i="83"/>
  <c r="S49" i="83"/>
  <c r="T49" i="83"/>
  <c r="U49" i="83"/>
  <c r="V49" i="83"/>
  <c r="W49" i="83"/>
  <c r="X49" i="83"/>
  <c r="Y49" i="83"/>
  <c r="Z49" i="83"/>
  <c r="AA49" i="83"/>
  <c r="AB49" i="83"/>
  <c r="AC49" i="83"/>
  <c r="AD49" i="83"/>
  <c r="AE49" i="83"/>
  <c r="AF49" i="83"/>
  <c r="AG49" i="83"/>
  <c r="AH49" i="83"/>
  <c r="AI49" i="83"/>
  <c r="AJ49" i="83"/>
  <c r="AK49" i="83"/>
  <c r="AL49" i="83"/>
  <c r="AM49" i="83"/>
  <c r="AN49" i="83"/>
  <c r="AO49" i="83"/>
  <c r="AP49" i="83"/>
  <c r="AQ49" i="83"/>
  <c r="AR49" i="83"/>
  <c r="AS49" i="83"/>
  <c r="AT49" i="83"/>
  <c r="AU49" i="83"/>
  <c r="B50" i="83"/>
  <c r="C50" i="83"/>
  <c r="D50" i="83"/>
  <c r="E50" i="83"/>
  <c r="F50" i="83"/>
  <c r="G50" i="83"/>
  <c r="H50" i="83"/>
  <c r="I50" i="83"/>
  <c r="J50" i="83"/>
  <c r="K50" i="83"/>
  <c r="L50" i="83"/>
  <c r="M50" i="83"/>
  <c r="N50" i="83"/>
  <c r="O50" i="83"/>
  <c r="P50" i="83"/>
  <c r="Q50" i="83"/>
  <c r="R50" i="83"/>
  <c r="S50" i="83"/>
  <c r="T50" i="83"/>
  <c r="U50" i="83"/>
  <c r="V50" i="83"/>
  <c r="W50" i="83"/>
  <c r="X50" i="83"/>
  <c r="Y50" i="83"/>
  <c r="Z50" i="83"/>
  <c r="AA50" i="83"/>
  <c r="AB50" i="83"/>
  <c r="AC50" i="83"/>
  <c r="AD50" i="83"/>
  <c r="AE50" i="83"/>
  <c r="AF50" i="83"/>
  <c r="AG50" i="83"/>
  <c r="AH50" i="83"/>
  <c r="AI50" i="83"/>
  <c r="AJ50" i="83"/>
  <c r="AK50" i="83"/>
  <c r="AL50" i="83"/>
  <c r="AM50" i="83"/>
  <c r="AN50" i="83"/>
  <c r="AO50" i="83"/>
  <c r="AP50" i="83"/>
  <c r="AQ50" i="83"/>
  <c r="AR50" i="83"/>
  <c r="AS50" i="83"/>
  <c r="AT50" i="83"/>
  <c r="AU50" i="83"/>
  <c r="B51" i="83"/>
  <c r="C51" i="83"/>
  <c r="D51" i="83"/>
  <c r="E51" i="83"/>
  <c r="F51" i="83"/>
  <c r="G51" i="83"/>
  <c r="H51" i="83"/>
  <c r="I51" i="83"/>
  <c r="J51" i="83"/>
  <c r="K51" i="83"/>
  <c r="L51" i="83"/>
  <c r="M51" i="83"/>
  <c r="N51" i="83"/>
  <c r="O51" i="83"/>
  <c r="P51" i="83"/>
  <c r="Q51" i="83"/>
  <c r="R51" i="83"/>
  <c r="S51" i="83"/>
  <c r="T51" i="83"/>
  <c r="U51" i="83"/>
  <c r="V51" i="83"/>
  <c r="W51" i="83"/>
  <c r="X51" i="83"/>
  <c r="Y51" i="83"/>
  <c r="Z51" i="83"/>
  <c r="AA51" i="83"/>
  <c r="AB51" i="83"/>
  <c r="AC51" i="83"/>
  <c r="AD51" i="83"/>
  <c r="AE51" i="83"/>
  <c r="AF51" i="83"/>
  <c r="AG51" i="83"/>
  <c r="AH51" i="83"/>
  <c r="AI51" i="83"/>
  <c r="AJ51" i="83"/>
  <c r="AK51" i="83"/>
  <c r="AL51" i="83"/>
  <c r="AM51" i="83"/>
  <c r="AN51" i="83"/>
  <c r="AO51" i="83"/>
  <c r="AP51" i="83"/>
  <c r="AQ51" i="83"/>
  <c r="AR51" i="83"/>
  <c r="AS51" i="83"/>
  <c r="AT51" i="83"/>
  <c r="AU51" i="83"/>
  <c r="B52" i="83"/>
  <c r="C52" i="83"/>
  <c r="D52" i="83"/>
  <c r="E52" i="83"/>
  <c r="F52" i="83"/>
  <c r="G52" i="83"/>
  <c r="H52" i="83"/>
  <c r="I52" i="83"/>
  <c r="J52" i="83"/>
  <c r="K52" i="83"/>
  <c r="L52" i="83"/>
  <c r="M52" i="83"/>
  <c r="N52" i="83"/>
  <c r="O52" i="83"/>
  <c r="P52" i="83"/>
  <c r="Q52" i="83"/>
  <c r="R52" i="83"/>
  <c r="S52" i="83"/>
  <c r="T52" i="83"/>
  <c r="U52" i="83"/>
  <c r="V52" i="83"/>
  <c r="W52" i="83"/>
  <c r="X52" i="83"/>
  <c r="Y52" i="83"/>
  <c r="Z52" i="83"/>
  <c r="AA52" i="83"/>
  <c r="AB52" i="83"/>
  <c r="AC52" i="83"/>
  <c r="AD52" i="83"/>
  <c r="AE52" i="83"/>
  <c r="AF52" i="83"/>
  <c r="AG52" i="83"/>
  <c r="AH52" i="83"/>
  <c r="AI52" i="83"/>
  <c r="AJ52" i="83"/>
  <c r="AK52" i="83"/>
  <c r="AL52" i="83"/>
  <c r="AM52" i="83"/>
  <c r="AN52" i="83"/>
  <c r="AO52" i="83"/>
  <c r="AP52" i="83"/>
  <c r="AQ52" i="83"/>
  <c r="AR52" i="83"/>
  <c r="AS52" i="83"/>
  <c r="AT52" i="83"/>
  <c r="AU52" i="83"/>
  <c r="B53" i="83"/>
  <c r="C53" i="83"/>
  <c r="D53" i="83"/>
  <c r="E53" i="83"/>
  <c r="F53" i="83"/>
  <c r="G53" i="83"/>
  <c r="H53" i="83"/>
  <c r="I53" i="83"/>
  <c r="J53" i="83"/>
  <c r="K53" i="83"/>
  <c r="L53" i="83"/>
  <c r="M53" i="83"/>
  <c r="N53" i="83"/>
  <c r="O53" i="83"/>
  <c r="P53" i="83"/>
  <c r="Q53" i="83"/>
  <c r="R53" i="83"/>
  <c r="S53" i="83"/>
  <c r="T53" i="83"/>
  <c r="U53" i="83"/>
  <c r="V53" i="83"/>
  <c r="W53" i="83"/>
  <c r="X53" i="83"/>
  <c r="Y53" i="83"/>
  <c r="Z53" i="83"/>
  <c r="AA53" i="83"/>
  <c r="AB53" i="83"/>
  <c r="AC53" i="83"/>
  <c r="AD53" i="83"/>
  <c r="AE53" i="83"/>
  <c r="AF53" i="83"/>
  <c r="AG53" i="83"/>
  <c r="AH53" i="83"/>
  <c r="AI53" i="83"/>
  <c r="AJ53" i="83"/>
  <c r="AK53" i="83"/>
  <c r="AL53" i="83"/>
  <c r="AM53" i="83"/>
  <c r="AN53" i="83"/>
  <c r="AO53" i="83"/>
  <c r="AP53" i="83"/>
  <c r="AQ53" i="83"/>
  <c r="AR53" i="83"/>
  <c r="AS53" i="83"/>
  <c r="AT53" i="83"/>
  <c r="AU53" i="83"/>
  <c r="B54" i="83"/>
  <c r="C54" i="83"/>
  <c r="D54" i="83"/>
  <c r="E54" i="83"/>
  <c r="F54" i="83"/>
  <c r="G54" i="83"/>
  <c r="H54" i="83"/>
  <c r="I54" i="83"/>
  <c r="J54" i="83"/>
  <c r="K54" i="83"/>
  <c r="L54" i="83"/>
  <c r="M54" i="83"/>
  <c r="N54" i="83"/>
  <c r="O54" i="83"/>
  <c r="P54" i="83"/>
  <c r="Q54" i="83"/>
  <c r="R54" i="83"/>
  <c r="S54" i="83"/>
  <c r="T54" i="83"/>
  <c r="U54" i="83"/>
  <c r="V54" i="83"/>
  <c r="W54" i="83"/>
  <c r="X54" i="83"/>
  <c r="Y54" i="83"/>
  <c r="Z54" i="83"/>
  <c r="AA54" i="83"/>
  <c r="AB54" i="83"/>
  <c r="AC54" i="83"/>
  <c r="AD54" i="83"/>
  <c r="AE54" i="83"/>
  <c r="AF54" i="83"/>
  <c r="AG54" i="83"/>
  <c r="AH54" i="83"/>
  <c r="AI54" i="83"/>
  <c r="AJ54" i="83"/>
  <c r="AK54" i="83"/>
  <c r="AL54" i="83"/>
  <c r="AM54" i="83"/>
  <c r="AN54" i="83"/>
  <c r="AO54" i="83"/>
  <c r="AP54" i="83"/>
  <c r="AQ54" i="83"/>
  <c r="AR54" i="83"/>
  <c r="AS54" i="83"/>
  <c r="AT54" i="83"/>
  <c r="AU54" i="83"/>
  <c r="B55" i="83"/>
  <c r="C55" i="83"/>
  <c r="D55" i="83"/>
  <c r="E55" i="83"/>
  <c r="F55" i="83"/>
  <c r="G55" i="83"/>
  <c r="H55" i="83"/>
  <c r="I55" i="83"/>
  <c r="J55" i="83"/>
  <c r="K55" i="83"/>
  <c r="L55" i="83"/>
  <c r="M55" i="83"/>
  <c r="N55" i="83"/>
  <c r="O55" i="83"/>
  <c r="P55" i="83"/>
  <c r="Q55" i="83"/>
  <c r="R55" i="83"/>
  <c r="S55" i="83"/>
  <c r="T55" i="83"/>
  <c r="U55" i="83"/>
  <c r="V55" i="83"/>
  <c r="W55" i="83"/>
  <c r="X55" i="83"/>
  <c r="Y55" i="83"/>
  <c r="Z55" i="83"/>
  <c r="AA55" i="83"/>
  <c r="AB55" i="83"/>
  <c r="AC55" i="83"/>
  <c r="AD55" i="83"/>
  <c r="AE55" i="83"/>
  <c r="AF55" i="83"/>
  <c r="AG55" i="83"/>
  <c r="AH55" i="83"/>
  <c r="AI55" i="83"/>
  <c r="AJ55" i="83"/>
  <c r="AK55" i="83"/>
  <c r="AL55" i="83"/>
  <c r="AM55" i="83"/>
  <c r="AN55" i="83"/>
  <c r="AO55" i="83"/>
  <c r="AP55" i="83"/>
  <c r="AQ55" i="83"/>
  <c r="AR55" i="83"/>
  <c r="AS55" i="83"/>
  <c r="AT55" i="83"/>
  <c r="AU55" i="83"/>
  <c r="B56" i="83"/>
  <c r="C56" i="83"/>
  <c r="D56" i="83"/>
  <c r="E56" i="83"/>
  <c r="F56" i="83"/>
  <c r="G56" i="83"/>
  <c r="H56" i="83"/>
  <c r="I56" i="83"/>
  <c r="J56" i="83"/>
  <c r="K56" i="83"/>
  <c r="L56" i="83"/>
  <c r="M56" i="83"/>
  <c r="N56" i="83"/>
  <c r="O56" i="83"/>
  <c r="P56" i="83"/>
  <c r="Q56" i="83"/>
  <c r="R56" i="83"/>
  <c r="S56" i="83"/>
  <c r="T56" i="83"/>
  <c r="U56" i="83"/>
  <c r="V56" i="83"/>
  <c r="W56" i="83"/>
  <c r="X56" i="83"/>
  <c r="Y56" i="83"/>
  <c r="Z56" i="83"/>
  <c r="AA56" i="83"/>
  <c r="AB56" i="83"/>
  <c r="AC56" i="83"/>
  <c r="AD56" i="83"/>
  <c r="AE56" i="83"/>
  <c r="AF56" i="83"/>
  <c r="AG56" i="83"/>
  <c r="AH56" i="83"/>
  <c r="AI56" i="83"/>
  <c r="AJ56" i="83"/>
  <c r="AK56" i="83"/>
  <c r="AL56" i="83"/>
  <c r="AM56" i="83"/>
  <c r="AN56" i="83"/>
  <c r="AO56" i="83"/>
  <c r="AP56" i="83"/>
  <c r="AQ56" i="83"/>
  <c r="AR56" i="83"/>
  <c r="AS56" i="83"/>
  <c r="AT56" i="83"/>
  <c r="AU56" i="83"/>
  <c r="B57" i="83"/>
  <c r="C57" i="83"/>
  <c r="D57" i="83"/>
  <c r="E57" i="83"/>
  <c r="F57" i="83"/>
  <c r="G57" i="83"/>
  <c r="H57" i="83"/>
  <c r="I57" i="83"/>
  <c r="J57" i="83"/>
  <c r="K57" i="83"/>
  <c r="L57" i="83"/>
  <c r="M57" i="83"/>
  <c r="N57" i="83"/>
  <c r="O57" i="83"/>
  <c r="P57" i="83"/>
  <c r="Q57" i="83"/>
  <c r="R57" i="83"/>
  <c r="S57" i="83"/>
  <c r="T57" i="83"/>
  <c r="U57" i="83"/>
  <c r="V57" i="83"/>
  <c r="W57" i="83"/>
  <c r="X57" i="83"/>
  <c r="Y57" i="83"/>
  <c r="Z57" i="83"/>
  <c r="AA57" i="83"/>
  <c r="AB57" i="83"/>
  <c r="AC57" i="83"/>
  <c r="AD57" i="83"/>
  <c r="AE57" i="83"/>
  <c r="AF57" i="83"/>
  <c r="AG57" i="83"/>
  <c r="AH57" i="83"/>
  <c r="AI57" i="83"/>
  <c r="AJ57" i="83"/>
  <c r="AK57" i="83"/>
  <c r="AL57" i="83"/>
  <c r="AM57" i="83"/>
  <c r="AN57" i="83"/>
  <c r="AO57" i="83"/>
  <c r="AP57" i="83"/>
  <c r="AQ57" i="83"/>
  <c r="AR57" i="83"/>
  <c r="AS57" i="83"/>
  <c r="AT57" i="83"/>
  <c r="AU57" i="83"/>
  <c r="B58" i="83"/>
  <c r="C58" i="83"/>
  <c r="D58" i="83"/>
  <c r="E58" i="83"/>
  <c r="F58" i="83"/>
  <c r="G58" i="83"/>
  <c r="H58" i="83"/>
  <c r="I58" i="83"/>
  <c r="J58" i="83"/>
  <c r="K58" i="83"/>
  <c r="L58" i="83"/>
  <c r="M58" i="83"/>
  <c r="N58" i="83"/>
  <c r="O58" i="83"/>
  <c r="P58" i="83"/>
  <c r="Q58" i="83"/>
  <c r="R58" i="83"/>
  <c r="S58" i="83"/>
  <c r="T58" i="83"/>
  <c r="U58" i="83"/>
  <c r="V58" i="83"/>
  <c r="W58" i="83"/>
  <c r="X58" i="83"/>
  <c r="Y58" i="83"/>
  <c r="Z58" i="83"/>
  <c r="AA58" i="83"/>
  <c r="AB58" i="83"/>
  <c r="AC58" i="83"/>
  <c r="AD58" i="83"/>
  <c r="AE58" i="83"/>
  <c r="AF58" i="83"/>
  <c r="AG58" i="83"/>
  <c r="AH58" i="83"/>
  <c r="AI58" i="83"/>
  <c r="AJ58" i="83"/>
  <c r="AK58" i="83"/>
  <c r="AL58" i="83"/>
  <c r="AM58" i="83"/>
  <c r="AN58" i="83"/>
  <c r="AO58" i="83"/>
  <c r="AP58" i="83"/>
  <c r="AQ58" i="83"/>
  <c r="AR58" i="83"/>
  <c r="AS58" i="83"/>
  <c r="AT58" i="83"/>
  <c r="AU58" i="83"/>
  <c r="B59" i="83"/>
  <c r="C59" i="83"/>
  <c r="D59" i="83"/>
  <c r="E59" i="83"/>
  <c r="F59" i="83"/>
  <c r="G59" i="83"/>
  <c r="H59" i="83"/>
  <c r="I59" i="83"/>
  <c r="J59" i="83"/>
  <c r="K59" i="83"/>
  <c r="L59" i="83"/>
  <c r="M59" i="83"/>
  <c r="N59" i="83"/>
  <c r="O59" i="83"/>
  <c r="P59" i="83"/>
  <c r="Q59" i="83"/>
  <c r="R59" i="83"/>
  <c r="S59" i="83"/>
  <c r="T59" i="83"/>
  <c r="U59" i="83"/>
  <c r="V59" i="83"/>
  <c r="W59" i="83"/>
  <c r="X59" i="83"/>
  <c r="Y59" i="83"/>
  <c r="Z59" i="83"/>
  <c r="AA59" i="83"/>
  <c r="AB59" i="83"/>
  <c r="AC59" i="83"/>
  <c r="AD59" i="83"/>
  <c r="AE59" i="83"/>
  <c r="AF59" i="83"/>
  <c r="AG59" i="83"/>
  <c r="AH59" i="83"/>
  <c r="AI59" i="83"/>
  <c r="AJ59" i="83"/>
  <c r="AK59" i="83"/>
  <c r="AL59" i="83"/>
  <c r="AM59" i="83"/>
  <c r="AN59" i="83"/>
  <c r="AO59" i="83"/>
  <c r="AP59" i="83"/>
  <c r="AQ59" i="83"/>
  <c r="AR59" i="83"/>
  <c r="AS59" i="83"/>
  <c r="AT59" i="83"/>
  <c r="AU59" i="83"/>
  <c r="B60" i="83"/>
  <c r="C60" i="83"/>
  <c r="D60" i="83"/>
  <c r="E60" i="83"/>
  <c r="F60" i="83"/>
  <c r="G60" i="83"/>
  <c r="H60" i="83"/>
  <c r="I60" i="83"/>
  <c r="J60" i="83"/>
  <c r="K60" i="83"/>
  <c r="L60" i="83"/>
  <c r="M60" i="83"/>
  <c r="N60" i="83"/>
  <c r="O60" i="83"/>
  <c r="P60" i="83"/>
  <c r="Q60" i="83"/>
  <c r="R60" i="83"/>
  <c r="S60" i="83"/>
  <c r="T60" i="83"/>
  <c r="U60" i="83"/>
  <c r="V60" i="83"/>
  <c r="W60" i="83"/>
  <c r="X60" i="83"/>
  <c r="Y60" i="83"/>
  <c r="Z60" i="83"/>
  <c r="AA60" i="83"/>
  <c r="AB60" i="83"/>
  <c r="AC60" i="83"/>
  <c r="AD60" i="83"/>
  <c r="AE60" i="83"/>
  <c r="AF60" i="83"/>
  <c r="AG60" i="83"/>
  <c r="AH60" i="83"/>
  <c r="AI60" i="83"/>
  <c r="AJ60" i="83"/>
  <c r="AK60" i="83"/>
  <c r="AL60" i="83"/>
  <c r="AM60" i="83"/>
  <c r="AN60" i="83"/>
  <c r="AO60" i="83"/>
  <c r="AP60" i="83"/>
  <c r="AQ60" i="83"/>
  <c r="AR60" i="83"/>
  <c r="AS60" i="83"/>
  <c r="AT60" i="83"/>
  <c r="AU60" i="83"/>
  <c r="B61" i="83"/>
  <c r="C61" i="83"/>
  <c r="D61" i="83"/>
  <c r="E61" i="83"/>
  <c r="F61" i="83"/>
  <c r="G61" i="83"/>
  <c r="H61" i="83"/>
  <c r="I61" i="83"/>
  <c r="J61" i="83"/>
  <c r="K61" i="83"/>
  <c r="L61" i="83"/>
  <c r="M61" i="83"/>
  <c r="N61" i="83"/>
  <c r="O61" i="83"/>
  <c r="P61" i="83"/>
  <c r="Q61" i="83"/>
  <c r="R61" i="83"/>
  <c r="S61" i="83"/>
  <c r="T61" i="83"/>
  <c r="U61" i="83"/>
  <c r="V61" i="83"/>
  <c r="W61" i="83"/>
  <c r="X61" i="83"/>
  <c r="Y61" i="83"/>
  <c r="Z61" i="83"/>
  <c r="AA61" i="83"/>
  <c r="AB61" i="83"/>
  <c r="AC61" i="83"/>
  <c r="AD61" i="83"/>
  <c r="AE61" i="83"/>
  <c r="AF61" i="83"/>
  <c r="AG61" i="83"/>
  <c r="AH61" i="83"/>
  <c r="AI61" i="83"/>
  <c r="AJ61" i="83"/>
  <c r="AK61" i="83"/>
  <c r="AL61" i="83"/>
  <c r="AM61" i="83"/>
  <c r="AN61" i="83"/>
  <c r="AO61" i="83"/>
  <c r="AP61" i="83"/>
  <c r="AQ61" i="83"/>
  <c r="AR61" i="83"/>
  <c r="AS61" i="83"/>
  <c r="AT61" i="83"/>
  <c r="AU61" i="83"/>
  <c r="B62" i="83"/>
  <c r="C62" i="83"/>
  <c r="D62" i="83"/>
  <c r="E62" i="83"/>
  <c r="F62" i="83"/>
  <c r="G62" i="83"/>
  <c r="H62" i="83"/>
  <c r="I62" i="83"/>
  <c r="J62" i="83"/>
  <c r="K62" i="83"/>
  <c r="L62" i="83"/>
  <c r="M62" i="83"/>
  <c r="N62" i="83"/>
  <c r="O62" i="83"/>
  <c r="P62" i="83"/>
  <c r="Q62" i="83"/>
  <c r="R62" i="83"/>
  <c r="S62" i="83"/>
  <c r="T62" i="83"/>
  <c r="U62" i="83"/>
  <c r="V62" i="83"/>
  <c r="W62" i="83"/>
  <c r="X62" i="83"/>
  <c r="Y62" i="83"/>
  <c r="Z62" i="83"/>
  <c r="AA62" i="83"/>
  <c r="AB62" i="83"/>
  <c r="AC62" i="83"/>
  <c r="AD62" i="83"/>
  <c r="AE62" i="83"/>
  <c r="AF62" i="83"/>
  <c r="AG62" i="83"/>
  <c r="AH62" i="83"/>
  <c r="AI62" i="83"/>
  <c r="AJ62" i="83"/>
  <c r="AK62" i="83"/>
  <c r="AL62" i="83"/>
  <c r="AM62" i="83"/>
  <c r="AN62" i="83"/>
  <c r="AO62" i="83"/>
  <c r="AP62" i="83"/>
  <c r="AQ62" i="83"/>
  <c r="AR62" i="83"/>
  <c r="AS62" i="83"/>
  <c r="AT62" i="83"/>
  <c r="AU62" i="83"/>
  <c r="B63" i="83"/>
  <c r="C63" i="83"/>
  <c r="D63" i="83"/>
  <c r="E63" i="83"/>
  <c r="F63" i="83"/>
  <c r="G63" i="83"/>
  <c r="H63" i="83"/>
  <c r="I63" i="83"/>
  <c r="J63" i="83"/>
  <c r="K63" i="83"/>
  <c r="L63" i="83"/>
  <c r="M63" i="83"/>
  <c r="N63" i="83"/>
  <c r="O63" i="83"/>
  <c r="P63" i="83"/>
  <c r="Q63" i="83"/>
  <c r="R63" i="83"/>
  <c r="S63" i="83"/>
  <c r="T63" i="83"/>
  <c r="U63" i="83"/>
  <c r="V63" i="83"/>
  <c r="W63" i="83"/>
  <c r="X63" i="83"/>
  <c r="Y63" i="83"/>
  <c r="Z63" i="83"/>
  <c r="AA63" i="83"/>
  <c r="AB63" i="83"/>
  <c r="AC63" i="83"/>
  <c r="AD63" i="83"/>
  <c r="AE63" i="83"/>
  <c r="AF63" i="83"/>
  <c r="AG63" i="83"/>
  <c r="AH63" i="83"/>
  <c r="AI63" i="83"/>
  <c r="AJ63" i="83"/>
  <c r="AK63" i="83"/>
  <c r="AL63" i="83"/>
  <c r="AM63" i="83"/>
  <c r="AN63" i="83"/>
  <c r="AO63" i="83"/>
  <c r="AP63" i="83"/>
  <c r="AQ63" i="83"/>
  <c r="AR63" i="83"/>
  <c r="AS63" i="83"/>
  <c r="AT63" i="83"/>
  <c r="AU63" i="83"/>
  <c r="B64" i="83"/>
  <c r="C64" i="83"/>
  <c r="D64" i="83"/>
  <c r="E64" i="83"/>
  <c r="F64" i="83"/>
  <c r="G64" i="83"/>
  <c r="H64" i="83"/>
  <c r="I64" i="83"/>
  <c r="J64" i="83"/>
  <c r="K64" i="83"/>
  <c r="L64" i="83"/>
  <c r="M64" i="83"/>
  <c r="N64" i="83"/>
  <c r="O64" i="83"/>
  <c r="P64" i="83"/>
  <c r="Q64" i="83"/>
  <c r="R64" i="83"/>
  <c r="S64" i="83"/>
  <c r="T64" i="83"/>
  <c r="U64" i="83"/>
  <c r="V64" i="83"/>
  <c r="W64" i="83"/>
  <c r="X64" i="83"/>
  <c r="Y64" i="83"/>
  <c r="Z64" i="83"/>
  <c r="AA64" i="83"/>
  <c r="AB64" i="83"/>
  <c r="AC64" i="83"/>
  <c r="AD64" i="83"/>
  <c r="AE64" i="83"/>
  <c r="AF64" i="83"/>
  <c r="AG64" i="83"/>
  <c r="AH64" i="83"/>
  <c r="AI64" i="83"/>
  <c r="AJ64" i="83"/>
  <c r="AK64" i="83"/>
  <c r="AL64" i="83"/>
  <c r="AM64" i="83"/>
  <c r="AN64" i="83"/>
  <c r="AO64" i="83"/>
  <c r="AP64" i="83"/>
  <c r="AQ64" i="83"/>
  <c r="AR64" i="83"/>
  <c r="AS64" i="83"/>
  <c r="AT64" i="83"/>
  <c r="AU64" i="83"/>
  <c r="B65" i="83"/>
  <c r="C65" i="83"/>
  <c r="D65" i="83"/>
  <c r="E65" i="83"/>
  <c r="F65" i="83"/>
  <c r="G65" i="83"/>
  <c r="H65" i="83"/>
  <c r="I65" i="83"/>
  <c r="J65" i="83"/>
  <c r="K65" i="83"/>
  <c r="L65" i="83"/>
  <c r="M65" i="83"/>
  <c r="N65" i="83"/>
  <c r="O65" i="83"/>
  <c r="P65" i="83"/>
  <c r="Q65" i="83"/>
  <c r="R65" i="83"/>
  <c r="S65" i="83"/>
  <c r="T65" i="83"/>
  <c r="U65" i="83"/>
  <c r="V65" i="83"/>
  <c r="W65" i="83"/>
  <c r="X65" i="83"/>
  <c r="Y65" i="83"/>
  <c r="Z65" i="83"/>
  <c r="AA65" i="83"/>
  <c r="AB65" i="83"/>
  <c r="AC65" i="83"/>
  <c r="AD65" i="83"/>
  <c r="AE65" i="83"/>
  <c r="AF65" i="83"/>
  <c r="AG65" i="83"/>
  <c r="AH65" i="83"/>
  <c r="AI65" i="83"/>
  <c r="AJ65" i="83"/>
  <c r="AK65" i="83"/>
  <c r="AL65" i="83"/>
  <c r="AM65" i="83"/>
  <c r="AN65" i="83"/>
  <c r="AO65" i="83"/>
  <c r="AP65" i="83"/>
  <c r="AQ65" i="83"/>
  <c r="AR65" i="83"/>
  <c r="AS65" i="83"/>
  <c r="AT65" i="83"/>
  <c r="AU65" i="83"/>
  <c r="B66" i="83"/>
  <c r="C66" i="83"/>
  <c r="D66" i="83"/>
  <c r="E66" i="83"/>
  <c r="F66" i="83"/>
  <c r="G66" i="83"/>
  <c r="H66" i="83"/>
  <c r="I66" i="83"/>
  <c r="J66" i="83"/>
  <c r="K66" i="83"/>
  <c r="L66" i="83"/>
  <c r="M66" i="83"/>
  <c r="N66" i="83"/>
  <c r="O66" i="83"/>
  <c r="P66" i="83"/>
  <c r="Q66" i="83"/>
  <c r="R66" i="83"/>
  <c r="S66" i="83"/>
  <c r="T66" i="83"/>
  <c r="U66" i="83"/>
  <c r="V66" i="83"/>
  <c r="W66" i="83"/>
  <c r="X66" i="83"/>
  <c r="Y66" i="83"/>
  <c r="Z66" i="83"/>
  <c r="AA66" i="83"/>
  <c r="AB66" i="83"/>
  <c r="AC66" i="83"/>
  <c r="AD66" i="83"/>
  <c r="AE66" i="83"/>
  <c r="AF66" i="83"/>
  <c r="AG66" i="83"/>
  <c r="AH66" i="83"/>
  <c r="AI66" i="83"/>
  <c r="AJ66" i="83"/>
  <c r="AK66" i="83"/>
  <c r="AL66" i="83"/>
  <c r="AM66" i="83"/>
  <c r="AN66" i="83"/>
  <c r="AO66" i="83"/>
  <c r="AP66" i="83"/>
  <c r="AQ66" i="83"/>
  <c r="AR66" i="83"/>
  <c r="AS66" i="83"/>
  <c r="AT66" i="83"/>
  <c r="AU66" i="83"/>
  <c r="B67" i="83"/>
  <c r="C67" i="83"/>
  <c r="D67" i="83"/>
  <c r="E67" i="83"/>
  <c r="F67" i="83"/>
  <c r="G67" i="83"/>
  <c r="H67" i="83"/>
  <c r="I67" i="83"/>
  <c r="J67" i="83"/>
  <c r="K67" i="83"/>
  <c r="L67" i="83"/>
  <c r="M67" i="83"/>
  <c r="N67" i="83"/>
  <c r="O67" i="83"/>
  <c r="P67" i="83"/>
  <c r="Q67" i="83"/>
  <c r="R67" i="83"/>
  <c r="S67" i="83"/>
  <c r="T67" i="83"/>
  <c r="U67" i="83"/>
  <c r="V67" i="83"/>
  <c r="W67" i="83"/>
  <c r="X67" i="83"/>
  <c r="Y67" i="83"/>
  <c r="Z67" i="83"/>
  <c r="AA67" i="83"/>
  <c r="AB67" i="83"/>
  <c r="AC67" i="83"/>
  <c r="AD67" i="83"/>
  <c r="AE67" i="83"/>
  <c r="AF67" i="83"/>
  <c r="AG67" i="83"/>
  <c r="AH67" i="83"/>
  <c r="AI67" i="83"/>
  <c r="AJ67" i="83"/>
  <c r="AK67" i="83"/>
  <c r="AL67" i="83"/>
  <c r="AM67" i="83"/>
  <c r="AN67" i="83"/>
  <c r="AO67" i="83"/>
  <c r="AP67" i="83"/>
  <c r="AQ67" i="83"/>
  <c r="AR67" i="83"/>
  <c r="AS67" i="83"/>
  <c r="AT67" i="83"/>
  <c r="AU67" i="83"/>
  <c r="B68" i="83"/>
  <c r="C68" i="83"/>
  <c r="D68" i="83"/>
  <c r="E68" i="83"/>
  <c r="F68" i="83"/>
  <c r="G68" i="83"/>
  <c r="H68" i="83"/>
  <c r="I68" i="83"/>
  <c r="J68" i="83"/>
  <c r="K68" i="83"/>
  <c r="L68" i="83"/>
  <c r="M68" i="83"/>
  <c r="N68" i="83"/>
  <c r="O68" i="83"/>
  <c r="P68" i="83"/>
  <c r="Q68" i="83"/>
  <c r="R68" i="83"/>
  <c r="S68" i="83"/>
  <c r="T68" i="83"/>
  <c r="U68" i="83"/>
  <c r="V68" i="83"/>
  <c r="W68" i="83"/>
  <c r="X68" i="83"/>
  <c r="Y68" i="83"/>
  <c r="Z68" i="83"/>
  <c r="AA68" i="83"/>
  <c r="AB68" i="83"/>
  <c r="AC68" i="83"/>
  <c r="AD68" i="83"/>
  <c r="AE68" i="83"/>
  <c r="AF68" i="83"/>
  <c r="AG68" i="83"/>
  <c r="AH68" i="83"/>
  <c r="AI68" i="83"/>
  <c r="AJ68" i="83"/>
  <c r="AK68" i="83"/>
  <c r="AL68" i="83"/>
  <c r="AM68" i="83"/>
  <c r="AN68" i="83"/>
  <c r="AO68" i="83"/>
  <c r="AP68" i="83"/>
  <c r="AQ68" i="83"/>
  <c r="AR68" i="83"/>
  <c r="AS68" i="83"/>
  <c r="AT68" i="83"/>
  <c r="AU68" i="83"/>
  <c r="B69" i="83"/>
  <c r="C69" i="83"/>
  <c r="D69" i="83"/>
  <c r="E69" i="83"/>
  <c r="F69" i="83"/>
  <c r="G69" i="83"/>
  <c r="H69" i="83"/>
  <c r="I69" i="83"/>
  <c r="J69" i="83"/>
  <c r="K69" i="83"/>
  <c r="L69" i="83"/>
  <c r="M69" i="83"/>
  <c r="N69" i="83"/>
  <c r="O69" i="83"/>
  <c r="P69" i="83"/>
  <c r="Q69" i="83"/>
  <c r="R69" i="83"/>
  <c r="S69" i="83"/>
  <c r="T69" i="83"/>
  <c r="U69" i="83"/>
  <c r="V69" i="83"/>
  <c r="W69" i="83"/>
  <c r="X69" i="83"/>
  <c r="Y69" i="83"/>
  <c r="Z69" i="83"/>
  <c r="AA69" i="83"/>
  <c r="AB69" i="83"/>
  <c r="AC69" i="83"/>
  <c r="AD69" i="83"/>
  <c r="AE69" i="83"/>
  <c r="AF69" i="83"/>
  <c r="AG69" i="83"/>
  <c r="AH69" i="83"/>
  <c r="AI69" i="83"/>
  <c r="AJ69" i="83"/>
  <c r="AK69" i="83"/>
  <c r="AL69" i="83"/>
  <c r="AM69" i="83"/>
  <c r="AN69" i="83"/>
  <c r="AO69" i="83"/>
  <c r="AP69" i="83"/>
  <c r="AQ69" i="83"/>
  <c r="AR69" i="83"/>
  <c r="AS69" i="83"/>
  <c r="AT69" i="83"/>
  <c r="AU69" i="83"/>
  <c r="B70" i="83"/>
  <c r="C70" i="83"/>
  <c r="D70" i="83"/>
  <c r="E70" i="83"/>
  <c r="F70" i="83"/>
  <c r="G70" i="83"/>
  <c r="H70" i="83"/>
  <c r="I70" i="83"/>
  <c r="J70" i="83"/>
  <c r="K70" i="83"/>
  <c r="L70" i="83"/>
  <c r="M70" i="83"/>
  <c r="N70" i="83"/>
  <c r="O70" i="83"/>
  <c r="P70" i="83"/>
  <c r="Q70" i="83"/>
  <c r="R70" i="83"/>
  <c r="S70" i="83"/>
  <c r="T70" i="83"/>
  <c r="U70" i="83"/>
  <c r="V70" i="83"/>
  <c r="W70" i="83"/>
  <c r="X70" i="83"/>
  <c r="Y70" i="83"/>
  <c r="Z70" i="83"/>
  <c r="AA70" i="83"/>
  <c r="AB70" i="83"/>
  <c r="AC70" i="83"/>
  <c r="AD70" i="83"/>
  <c r="AE70" i="83"/>
  <c r="AF70" i="83"/>
  <c r="AG70" i="83"/>
  <c r="AH70" i="83"/>
  <c r="AI70" i="83"/>
  <c r="AJ70" i="83"/>
  <c r="AK70" i="83"/>
  <c r="AL70" i="83"/>
  <c r="AM70" i="83"/>
  <c r="AN70" i="83"/>
  <c r="AO70" i="83"/>
  <c r="AP70" i="83"/>
  <c r="AQ70" i="83"/>
  <c r="AR70" i="83"/>
  <c r="AS70" i="83"/>
  <c r="AT70" i="83"/>
  <c r="AU70" i="83"/>
  <c r="B71" i="83"/>
  <c r="C71" i="83"/>
  <c r="D71" i="83"/>
  <c r="E71" i="83"/>
  <c r="F71" i="83"/>
  <c r="G71" i="83"/>
  <c r="H71" i="83"/>
  <c r="I71" i="83"/>
  <c r="J71" i="83"/>
  <c r="K71" i="83"/>
  <c r="L71" i="83"/>
  <c r="M71" i="83"/>
  <c r="N71" i="83"/>
  <c r="O71" i="83"/>
  <c r="P71" i="83"/>
  <c r="Q71" i="83"/>
  <c r="R71" i="83"/>
  <c r="S71" i="83"/>
  <c r="T71" i="83"/>
  <c r="U71" i="83"/>
  <c r="V71" i="83"/>
  <c r="W71" i="83"/>
  <c r="X71" i="83"/>
  <c r="Y71" i="83"/>
  <c r="Z71" i="83"/>
  <c r="AA71" i="83"/>
  <c r="AB71" i="83"/>
  <c r="AC71" i="83"/>
  <c r="AD71" i="83"/>
  <c r="AE71" i="83"/>
  <c r="AF71" i="83"/>
  <c r="AG71" i="83"/>
  <c r="AH71" i="83"/>
  <c r="AI71" i="83"/>
  <c r="AJ71" i="83"/>
  <c r="AK71" i="83"/>
  <c r="AL71" i="83"/>
  <c r="AM71" i="83"/>
  <c r="AN71" i="83"/>
  <c r="AO71" i="83"/>
  <c r="AP71" i="83"/>
  <c r="AQ71" i="83"/>
  <c r="AR71" i="83"/>
  <c r="AS71" i="83"/>
  <c r="AT71" i="83"/>
  <c r="AU71" i="83"/>
  <c r="B72" i="83"/>
  <c r="C72" i="83"/>
  <c r="D72" i="83"/>
  <c r="E72" i="83"/>
  <c r="F72" i="83"/>
  <c r="G72" i="83"/>
  <c r="H72" i="83"/>
  <c r="I72" i="83"/>
  <c r="J72" i="83"/>
  <c r="K72" i="83"/>
  <c r="L72" i="83"/>
  <c r="M72" i="83"/>
  <c r="N72" i="83"/>
  <c r="O72" i="83"/>
  <c r="P72" i="83"/>
  <c r="Q72" i="83"/>
  <c r="R72" i="83"/>
  <c r="S72" i="83"/>
  <c r="T72" i="83"/>
  <c r="U72" i="83"/>
  <c r="V72" i="83"/>
  <c r="W72" i="83"/>
  <c r="X72" i="83"/>
  <c r="Y72" i="83"/>
  <c r="Z72" i="83"/>
  <c r="AA72" i="83"/>
  <c r="AB72" i="83"/>
  <c r="AC72" i="83"/>
  <c r="AD72" i="83"/>
  <c r="AE72" i="83"/>
  <c r="AF72" i="83"/>
  <c r="AG72" i="83"/>
  <c r="AH72" i="83"/>
  <c r="AI72" i="83"/>
  <c r="AJ72" i="83"/>
  <c r="AK72" i="83"/>
  <c r="AL72" i="83"/>
  <c r="AM72" i="83"/>
  <c r="AN72" i="83"/>
  <c r="AO72" i="83"/>
  <c r="AP72" i="83"/>
  <c r="AQ72" i="83"/>
  <c r="AR72" i="83"/>
  <c r="AS72" i="83"/>
  <c r="AT72" i="83"/>
  <c r="AU72" i="83"/>
  <c r="B73" i="83"/>
  <c r="C73" i="83"/>
  <c r="D73" i="83"/>
  <c r="E73" i="83"/>
  <c r="F73" i="83"/>
  <c r="G73" i="83"/>
  <c r="H73" i="83"/>
  <c r="I73" i="83"/>
  <c r="J73" i="83"/>
  <c r="K73" i="83"/>
  <c r="L73" i="83"/>
  <c r="M73" i="83"/>
  <c r="N73" i="83"/>
  <c r="O73" i="83"/>
  <c r="P73" i="83"/>
  <c r="Q73" i="83"/>
  <c r="R73" i="83"/>
  <c r="S73" i="83"/>
  <c r="T73" i="83"/>
  <c r="U73" i="83"/>
  <c r="V73" i="83"/>
  <c r="W73" i="83"/>
  <c r="X73" i="83"/>
  <c r="Y73" i="83"/>
  <c r="Z73" i="83"/>
  <c r="AA73" i="83"/>
  <c r="AB73" i="83"/>
  <c r="AC73" i="83"/>
  <c r="AD73" i="83"/>
  <c r="AE73" i="83"/>
  <c r="AF73" i="83"/>
  <c r="AG73" i="83"/>
  <c r="AH73" i="83"/>
  <c r="AI73" i="83"/>
  <c r="AJ73" i="83"/>
  <c r="AK73" i="83"/>
  <c r="AL73" i="83"/>
  <c r="AM73" i="83"/>
  <c r="AN73" i="83"/>
  <c r="AO73" i="83"/>
  <c r="AP73" i="83"/>
  <c r="AQ73" i="83"/>
  <c r="AR73" i="83"/>
  <c r="AS73" i="83"/>
  <c r="AT73" i="83"/>
  <c r="AU73" i="83"/>
  <c r="B74" i="83"/>
  <c r="C74" i="83"/>
  <c r="D74" i="83"/>
  <c r="E74" i="83"/>
  <c r="F74" i="83"/>
  <c r="G74" i="83"/>
  <c r="H74" i="83"/>
  <c r="I74" i="83"/>
  <c r="J74" i="83"/>
  <c r="K74" i="83"/>
  <c r="L74" i="83"/>
  <c r="M74" i="83"/>
  <c r="N74" i="83"/>
  <c r="O74" i="83"/>
  <c r="P74" i="83"/>
  <c r="Q74" i="83"/>
  <c r="R74" i="83"/>
  <c r="S74" i="83"/>
  <c r="T74" i="83"/>
  <c r="U74" i="83"/>
  <c r="V74" i="83"/>
  <c r="W74" i="83"/>
  <c r="X74" i="83"/>
  <c r="Y74" i="83"/>
  <c r="Z74" i="83"/>
  <c r="AA74" i="83"/>
  <c r="AB74" i="83"/>
  <c r="AC74" i="83"/>
  <c r="AD74" i="83"/>
  <c r="AE74" i="83"/>
  <c r="AF74" i="83"/>
  <c r="AG74" i="83"/>
  <c r="AH74" i="83"/>
  <c r="AI74" i="83"/>
  <c r="AJ74" i="83"/>
  <c r="AK74" i="83"/>
  <c r="AL74" i="83"/>
  <c r="AM74" i="83"/>
  <c r="AN74" i="83"/>
  <c r="AO74" i="83"/>
  <c r="AP74" i="83"/>
  <c r="AQ74" i="83"/>
  <c r="AR74" i="83"/>
  <c r="AS74" i="83"/>
  <c r="AT74" i="83"/>
  <c r="AU74" i="83"/>
  <c r="B75" i="83"/>
  <c r="C75" i="83"/>
  <c r="D75" i="83"/>
  <c r="E75" i="83"/>
  <c r="F75" i="83"/>
  <c r="G75" i="83"/>
  <c r="H75" i="83"/>
  <c r="I75" i="83"/>
  <c r="J75" i="83"/>
  <c r="K75" i="83"/>
  <c r="L75" i="83"/>
  <c r="M75" i="83"/>
  <c r="N75" i="83"/>
  <c r="O75" i="83"/>
  <c r="P75" i="83"/>
  <c r="Q75" i="83"/>
  <c r="R75" i="83"/>
  <c r="S75" i="83"/>
  <c r="T75" i="83"/>
  <c r="U75" i="83"/>
  <c r="V75" i="83"/>
  <c r="W75" i="83"/>
  <c r="X75" i="83"/>
  <c r="Y75" i="83"/>
  <c r="Z75" i="83"/>
  <c r="AA75" i="83"/>
  <c r="AB75" i="83"/>
  <c r="AC75" i="83"/>
  <c r="AD75" i="83"/>
  <c r="AE75" i="83"/>
  <c r="AF75" i="83"/>
  <c r="AG75" i="83"/>
  <c r="AH75" i="83"/>
  <c r="AI75" i="83"/>
  <c r="AJ75" i="83"/>
  <c r="AK75" i="83"/>
  <c r="AL75" i="83"/>
  <c r="AM75" i="83"/>
  <c r="AN75" i="83"/>
  <c r="AO75" i="83"/>
  <c r="AP75" i="83"/>
  <c r="AQ75" i="83"/>
  <c r="AR75" i="83"/>
  <c r="AS75" i="83"/>
  <c r="AT75" i="83"/>
  <c r="AU75" i="83"/>
  <c r="B76" i="83"/>
  <c r="C76" i="83"/>
  <c r="D76" i="83"/>
  <c r="E76" i="83"/>
  <c r="F76" i="83"/>
  <c r="G76" i="83"/>
  <c r="H76" i="83"/>
  <c r="I76" i="83"/>
  <c r="J76" i="83"/>
  <c r="K76" i="83"/>
  <c r="L76" i="83"/>
  <c r="M76" i="83"/>
  <c r="N76" i="83"/>
  <c r="O76" i="83"/>
  <c r="P76" i="83"/>
  <c r="Q76" i="83"/>
  <c r="R76" i="83"/>
  <c r="S76" i="83"/>
  <c r="T76" i="83"/>
  <c r="U76" i="83"/>
  <c r="V76" i="83"/>
  <c r="W76" i="83"/>
  <c r="X76" i="83"/>
  <c r="Y76" i="83"/>
  <c r="Z76" i="83"/>
  <c r="AA76" i="83"/>
  <c r="AB76" i="83"/>
  <c r="AC76" i="83"/>
  <c r="AD76" i="83"/>
  <c r="AE76" i="83"/>
  <c r="AF76" i="83"/>
  <c r="AG76" i="83"/>
  <c r="AH76" i="83"/>
  <c r="AI76" i="83"/>
  <c r="AJ76" i="83"/>
  <c r="AK76" i="83"/>
  <c r="AL76" i="83"/>
  <c r="AM76" i="83"/>
  <c r="AN76" i="83"/>
  <c r="AO76" i="83"/>
  <c r="AP76" i="83"/>
  <c r="AQ76" i="83"/>
  <c r="AR76" i="83"/>
  <c r="AS76" i="83"/>
  <c r="AT76" i="83"/>
  <c r="AU76" i="83"/>
  <c r="B77" i="83"/>
  <c r="C77" i="83"/>
  <c r="D77" i="83"/>
  <c r="E77" i="83"/>
  <c r="F77" i="83"/>
  <c r="G77" i="83"/>
  <c r="H77" i="83"/>
  <c r="I77" i="83"/>
  <c r="J77" i="83"/>
  <c r="K77" i="83"/>
  <c r="L77" i="83"/>
  <c r="M77" i="83"/>
  <c r="N77" i="83"/>
  <c r="O77" i="83"/>
  <c r="P77" i="83"/>
  <c r="Q77" i="83"/>
  <c r="R77" i="83"/>
  <c r="S77" i="83"/>
  <c r="T77" i="83"/>
  <c r="U77" i="83"/>
  <c r="V77" i="83"/>
  <c r="W77" i="83"/>
  <c r="X77" i="83"/>
  <c r="Y77" i="83"/>
  <c r="Z77" i="83"/>
  <c r="AA77" i="83"/>
  <c r="AB77" i="83"/>
  <c r="AC77" i="83"/>
  <c r="AD77" i="83"/>
  <c r="AE77" i="83"/>
  <c r="AF77" i="83"/>
  <c r="AG77" i="83"/>
  <c r="AH77" i="83"/>
  <c r="AI77" i="83"/>
  <c r="AJ77" i="83"/>
  <c r="AK77" i="83"/>
  <c r="AL77" i="83"/>
  <c r="AM77" i="83"/>
  <c r="AN77" i="83"/>
  <c r="AO77" i="83"/>
  <c r="AP77" i="83"/>
  <c r="AQ77" i="83"/>
  <c r="AR77" i="83"/>
  <c r="AS77" i="83"/>
  <c r="AT77" i="83"/>
  <c r="AU77" i="83"/>
  <c r="B78" i="83"/>
  <c r="C78" i="83"/>
  <c r="D78" i="83"/>
  <c r="E78" i="83"/>
  <c r="F78" i="83"/>
  <c r="G78" i="83"/>
  <c r="H78" i="83"/>
  <c r="I78" i="83"/>
  <c r="J78" i="83"/>
  <c r="K78" i="83"/>
  <c r="L78" i="83"/>
  <c r="M78" i="83"/>
  <c r="N78" i="83"/>
  <c r="O78" i="83"/>
  <c r="P78" i="83"/>
  <c r="Q78" i="83"/>
  <c r="R78" i="83"/>
  <c r="S78" i="83"/>
  <c r="T78" i="83"/>
  <c r="U78" i="83"/>
  <c r="V78" i="83"/>
  <c r="W78" i="83"/>
  <c r="X78" i="83"/>
  <c r="Y78" i="83"/>
  <c r="Z78" i="83"/>
  <c r="AA78" i="83"/>
  <c r="AB78" i="83"/>
  <c r="AC78" i="83"/>
  <c r="AD78" i="83"/>
  <c r="AE78" i="83"/>
  <c r="AF78" i="83"/>
  <c r="AG78" i="83"/>
  <c r="AH78" i="83"/>
  <c r="AI78" i="83"/>
  <c r="AJ78" i="83"/>
  <c r="AK78" i="83"/>
  <c r="AL78" i="83"/>
  <c r="AM78" i="83"/>
  <c r="AN78" i="83"/>
  <c r="AO78" i="83"/>
  <c r="AP78" i="83"/>
  <c r="AQ78" i="83"/>
  <c r="AR78" i="83"/>
  <c r="AS78" i="83"/>
  <c r="AT78" i="83"/>
  <c r="AU78" i="83"/>
  <c r="B79" i="83"/>
  <c r="C79" i="83"/>
  <c r="D79" i="83"/>
  <c r="E79" i="83"/>
  <c r="F79" i="83"/>
  <c r="G79" i="83"/>
  <c r="H79" i="83"/>
  <c r="I79" i="83"/>
  <c r="J79" i="83"/>
  <c r="K79" i="83"/>
  <c r="L79" i="83"/>
  <c r="M79" i="83"/>
  <c r="N79" i="83"/>
  <c r="O79" i="83"/>
  <c r="P79" i="83"/>
  <c r="Q79" i="83"/>
  <c r="R79" i="83"/>
  <c r="S79" i="83"/>
  <c r="T79" i="83"/>
  <c r="U79" i="83"/>
  <c r="V79" i="83"/>
  <c r="W79" i="83"/>
  <c r="X79" i="83"/>
  <c r="Y79" i="83"/>
  <c r="Z79" i="83"/>
  <c r="AA79" i="83"/>
  <c r="AB79" i="83"/>
  <c r="AC79" i="83"/>
  <c r="AD79" i="83"/>
  <c r="AE79" i="83"/>
  <c r="AF79" i="83"/>
  <c r="AG79" i="83"/>
  <c r="AH79" i="83"/>
  <c r="AI79" i="83"/>
  <c r="AJ79" i="83"/>
  <c r="AK79" i="83"/>
  <c r="AL79" i="83"/>
  <c r="AM79" i="83"/>
  <c r="AN79" i="83"/>
  <c r="AO79" i="83"/>
  <c r="AP79" i="83"/>
  <c r="AQ79" i="83"/>
  <c r="AR79" i="83"/>
  <c r="AS79" i="83"/>
  <c r="AT79" i="83"/>
  <c r="AU79" i="83"/>
  <c r="B80" i="83"/>
  <c r="C80" i="83"/>
  <c r="D80" i="83"/>
  <c r="E80" i="83"/>
  <c r="F80" i="83"/>
  <c r="G80" i="83"/>
  <c r="H80" i="83"/>
  <c r="I80" i="83"/>
  <c r="J80" i="83"/>
  <c r="K80" i="83"/>
  <c r="L80" i="83"/>
  <c r="M80" i="83"/>
  <c r="N80" i="83"/>
  <c r="O80" i="83"/>
  <c r="P80" i="83"/>
  <c r="Q80" i="83"/>
  <c r="R80" i="83"/>
  <c r="S80" i="83"/>
  <c r="T80" i="83"/>
  <c r="U80" i="83"/>
  <c r="V80" i="83"/>
  <c r="W80" i="83"/>
  <c r="X80" i="83"/>
  <c r="Y80" i="83"/>
  <c r="Z80" i="83"/>
  <c r="AA80" i="83"/>
  <c r="AB80" i="83"/>
  <c r="AC80" i="83"/>
  <c r="AD80" i="83"/>
  <c r="AE80" i="83"/>
  <c r="AF80" i="83"/>
  <c r="AG80" i="83"/>
  <c r="AH80" i="83"/>
  <c r="AI80" i="83"/>
  <c r="AJ80" i="83"/>
  <c r="AK80" i="83"/>
  <c r="AL80" i="83"/>
  <c r="AM80" i="83"/>
  <c r="AN80" i="83"/>
  <c r="AO80" i="83"/>
  <c r="AP80" i="83"/>
  <c r="AQ80" i="83"/>
  <c r="AR80" i="83"/>
  <c r="AS80" i="83"/>
  <c r="AT80" i="83"/>
  <c r="AU80" i="83"/>
  <c r="B81" i="83"/>
  <c r="C81" i="83"/>
  <c r="D81" i="83"/>
  <c r="E81" i="83"/>
  <c r="F81" i="83"/>
  <c r="G81" i="83"/>
  <c r="H81" i="83"/>
  <c r="I81" i="83"/>
  <c r="J81" i="83"/>
  <c r="K81" i="83"/>
  <c r="L81" i="83"/>
  <c r="M81" i="83"/>
  <c r="N81" i="83"/>
  <c r="O81" i="83"/>
  <c r="P81" i="83"/>
  <c r="Q81" i="83"/>
  <c r="R81" i="83"/>
  <c r="S81" i="83"/>
  <c r="T81" i="83"/>
  <c r="U81" i="83"/>
  <c r="V81" i="83"/>
  <c r="W81" i="83"/>
  <c r="X81" i="83"/>
  <c r="Y81" i="83"/>
  <c r="Z81" i="83"/>
  <c r="AA81" i="83"/>
  <c r="AB81" i="83"/>
  <c r="AC81" i="83"/>
  <c r="AD81" i="83"/>
  <c r="AE81" i="83"/>
  <c r="AF81" i="83"/>
  <c r="AG81" i="83"/>
  <c r="AH81" i="83"/>
  <c r="AI81" i="83"/>
  <c r="AJ81" i="83"/>
  <c r="AK81" i="83"/>
  <c r="AL81" i="83"/>
  <c r="AM81" i="83"/>
  <c r="AN81" i="83"/>
  <c r="AO81" i="83"/>
  <c r="AP81" i="83"/>
  <c r="AQ81" i="83"/>
  <c r="AR81" i="83"/>
  <c r="AS81" i="83"/>
  <c r="AT81" i="83"/>
  <c r="AU81" i="83"/>
  <c r="B82" i="83"/>
  <c r="C82" i="83"/>
  <c r="D82" i="83"/>
  <c r="E82" i="83"/>
  <c r="F82" i="83"/>
  <c r="G82" i="83"/>
  <c r="H82" i="83"/>
  <c r="I82" i="83"/>
  <c r="J82" i="83"/>
  <c r="K82" i="83"/>
  <c r="L82" i="83"/>
  <c r="M82" i="83"/>
  <c r="N82" i="83"/>
  <c r="O82" i="83"/>
  <c r="P82" i="83"/>
  <c r="Q82" i="83"/>
  <c r="R82" i="83"/>
  <c r="S82" i="83"/>
  <c r="T82" i="83"/>
  <c r="U82" i="83"/>
  <c r="V82" i="83"/>
  <c r="W82" i="83"/>
  <c r="X82" i="83"/>
  <c r="Y82" i="83"/>
  <c r="Z82" i="83"/>
  <c r="AA82" i="83"/>
  <c r="AB82" i="83"/>
  <c r="AC82" i="83"/>
  <c r="AD82" i="83"/>
  <c r="AE82" i="83"/>
  <c r="AF82" i="83"/>
  <c r="AG82" i="83"/>
  <c r="AH82" i="83"/>
  <c r="AI82" i="83"/>
  <c r="AJ82" i="83"/>
  <c r="AK82" i="83"/>
  <c r="AL82" i="83"/>
  <c r="AM82" i="83"/>
  <c r="AN82" i="83"/>
  <c r="AO82" i="83"/>
  <c r="AP82" i="83"/>
  <c r="AQ82" i="83"/>
  <c r="AR82" i="83"/>
  <c r="AS82" i="83"/>
  <c r="AT82" i="83"/>
  <c r="AU82" i="83"/>
  <c r="B83" i="83"/>
  <c r="C83" i="83"/>
  <c r="D83" i="83"/>
  <c r="E83" i="83"/>
  <c r="F83" i="83"/>
  <c r="G83" i="83"/>
  <c r="H83" i="83"/>
  <c r="I83" i="83"/>
  <c r="J83" i="83"/>
  <c r="K83" i="83"/>
  <c r="L83" i="83"/>
  <c r="M83" i="83"/>
  <c r="N83" i="83"/>
  <c r="O83" i="83"/>
  <c r="P83" i="83"/>
  <c r="Q83" i="83"/>
  <c r="R83" i="83"/>
  <c r="S83" i="83"/>
  <c r="T83" i="83"/>
  <c r="U83" i="83"/>
  <c r="V83" i="83"/>
  <c r="W83" i="83"/>
  <c r="X83" i="83"/>
  <c r="Y83" i="83"/>
  <c r="Z83" i="83"/>
  <c r="AA83" i="83"/>
  <c r="AB83" i="83"/>
  <c r="AC83" i="83"/>
  <c r="AD83" i="83"/>
  <c r="AE83" i="83"/>
  <c r="AF83" i="83"/>
  <c r="AG83" i="83"/>
  <c r="AH83" i="83"/>
  <c r="AI83" i="83"/>
  <c r="AJ83" i="83"/>
  <c r="AK83" i="83"/>
  <c r="AL83" i="83"/>
  <c r="AM83" i="83"/>
  <c r="AN83" i="83"/>
  <c r="AO83" i="83"/>
  <c r="AP83" i="83"/>
  <c r="AQ83" i="83"/>
  <c r="AR83" i="83"/>
  <c r="AS83" i="83"/>
  <c r="AT83" i="83"/>
  <c r="AU83" i="83"/>
  <c r="B84" i="83"/>
  <c r="C84" i="83"/>
  <c r="D84" i="83"/>
  <c r="E84" i="83"/>
  <c r="F84" i="83"/>
  <c r="G84" i="83"/>
  <c r="H84" i="83"/>
  <c r="I84" i="83"/>
  <c r="J84" i="83"/>
  <c r="K84" i="83"/>
  <c r="L84" i="83"/>
  <c r="M84" i="83"/>
  <c r="N84" i="83"/>
  <c r="O84" i="83"/>
  <c r="P84" i="83"/>
  <c r="Q84" i="83"/>
  <c r="R84" i="83"/>
  <c r="S84" i="83"/>
  <c r="T84" i="83"/>
  <c r="U84" i="83"/>
  <c r="V84" i="83"/>
  <c r="W84" i="83"/>
  <c r="X84" i="83"/>
  <c r="Y84" i="83"/>
  <c r="Z84" i="83"/>
  <c r="AA84" i="83"/>
  <c r="AB84" i="83"/>
  <c r="AC84" i="83"/>
  <c r="AD84" i="83"/>
  <c r="AE84" i="83"/>
  <c r="AF84" i="83"/>
  <c r="AG84" i="83"/>
  <c r="AH84" i="83"/>
  <c r="AI84" i="83"/>
  <c r="AJ84" i="83"/>
  <c r="AK84" i="83"/>
  <c r="AL84" i="83"/>
  <c r="AM84" i="83"/>
  <c r="AN84" i="83"/>
  <c r="AO84" i="83"/>
  <c r="AP84" i="83"/>
  <c r="AQ84" i="83"/>
  <c r="AR84" i="83"/>
  <c r="AS84" i="83"/>
  <c r="AT84" i="83"/>
  <c r="AU84" i="83"/>
  <c r="B85" i="83"/>
  <c r="C85" i="83"/>
  <c r="D85" i="83"/>
  <c r="E85" i="83"/>
  <c r="F85" i="83"/>
  <c r="G85" i="83"/>
  <c r="H85" i="83"/>
  <c r="I85" i="83"/>
  <c r="J85" i="83"/>
  <c r="K85" i="83"/>
  <c r="L85" i="83"/>
  <c r="M85" i="83"/>
  <c r="N85" i="83"/>
  <c r="O85" i="83"/>
  <c r="P85" i="83"/>
  <c r="Q85" i="83"/>
  <c r="R85" i="83"/>
  <c r="S85" i="83"/>
  <c r="T85" i="83"/>
  <c r="U85" i="83"/>
  <c r="V85" i="83"/>
  <c r="W85" i="83"/>
  <c r="X85" i="83"/>
  <c r="Y85" i="83"/>
  <c r="Z85" i="83"/>
  <c r="AA85" i="83"/>
  <c r="AB85" i="83"/>
  <c r="AC85" i="83"/>
  <c r="AD85" i="83"/>
  <c r="AE85" i="83"/>
  <c r="AF85" i="83"/>
  <c r="AG85" i="83"/>
  <c r="AH85" i="83"/>
  <c r="AI85" i="83"/>
  <c r="AJ85" i="83"/>
  <c r="AK85" i="83"/>
  <c r="AL85" i="83"/>
  <c r="AM85" i="83"/>
  <c r="AN85" i="83"/>
  <c r="AO85" i="83"/>
  <c r="AP85" i="83"/>
  <c r="AQ85" i="83"/>
  <c r="AR85" i="83"/>
  <c r="AS85" i="83"/>
  <c r="AT85" i="83"/>
  <c r="AU85" i="83"/>
  <c r="B86" i="83"/>
  <c r="C86" i="83"/>
  <c r="D86" i="83"/>
  <c r="E86" i="83"/>
  <c r="F86" i="83"/>
  <c r="G86" i="83"/>
  <c r="H86" i="83"/>
  <c r="I86" i="83"/>
  <c r="J86" i="83"/>
  <c r="K86" i="83"/>
  <c r="L86" i="83"/>
  <c r="M86" i="83"/>
  <c r="N86" i="83"/>
  <c r="O86" i="83"/>
  <c r="P86" i="83"/>
  <c r="Q86" i="83"/>
  <c r="R86" i="83"/>
  <c r="S86" i="83"/>
  <c r="T86" i="83"/>
  <c r="U86" i="83"/>
  <c r="V86" i="83"/>
  <c r="W86" i="83"/>
  <c r="X86" i="83"/>
  <c r="Y86" i="83"/>
  <c r="Z86" i="83"/>
  <c r="AA86" i="83"/>
  <c r="AB86" i="83"/>
  <c r="AC86" i="83"/>
  <c r="AD86" i="83"/>
  <c r="AE86" i="83"/>
  <c r="AF86" i="83"/>
  <c r="AG86" i="83"/>
  <c r="AH86" i="83"/>
  <c r="AI86" i="83"/>
  <c r="AJ86" i="83"/>
  <c r="AK86" i="83"/>
  <c r="AL86" i="83"/>
  <c r="AM86" i="83"/>
  <c r="AN86" i="83"/>
  <c r="AO86" i="83"/>
  <c r="AP86" i="83"/>
  <c r="AQ86" i="83"/>
  <c r="AR86" i="83"/>
  <c r="AS86" i="83"/>
  <c r="AT86" i="83"/>
  <c r="AU86" i="83"/>
  <c r="B87" i="83"/>
  <c r="C87" i="83"/>
  <c r="D87" i="83"/>
  <c r="E87" i="83"/>
  <c r="F87" i="83"/>
  <c r="G87" i="83"/>
  <c r="H87" i="83"/>
  <c r="I87" i="83"/>
  <c r="J87" i="83"/>
  <c r="K87" i="83"/>
  <c r="L87" i="83"/>
  <c r="M87" i="83"/>
  <c r="N87" i="83"/>
  <c r="O87" i="83"/>
  <c r="P87" i="83"/>
  <c r="Q87" i="83"/>
  <c r="R87" i="83"/>
  <c r="S87" i="83"/>
  <c r="T87" i="83"/>
  <c r="U87" i="83"/>
  <c r="V87" i="83"/>
  <c r="W87" i="83"/>
  <c r="X87" i="83"/>
  <c r="Y87" i="83"/>
  <c r="Z87" i="83"/>
  <c r="AA87" i="83"/>
  <c r="AB87" i="83"/>
  <c r="AC87" i="83"/>
  <c r="AD87" i="83"/>
  <c r="AE87" i="83"/>
  <c r="AF87" i="83"/>
  <c r="AG87" i="83"/>
  <c r="AH87" i="83"/>
  <c r="AI87" i="83"/>
  <c r="AJ87" i="83"/>
  <c r="AK87" i="83"/>
  <c r="AL87" i="83"/>
  <c r="AM87" i="83"/>
  <c r="AN87" i="83"/>
  <c r="AO87" i="83"/>
  <c r="AP87" i="83"/>
  <c r="AQ87" i="83"/>
  <c r="AR87" i="83"/>
  <c r="AS87" i="83"/>
  <c r="AT87" i="83"/>
  <c r="AU87" i="83"/>
  <c r="B88" i="83"/>
  <c r="C88" i="83"/>
  <c r="D88" i="83"/>
  <c r="E88" i="83"/>
  <c r="F88" i="83"/>
  <c r="G88" i="83"/>
  <c r="H88" i="83"/>
  <c r="I88" i="83"/>
  <c r="J88" i="83"/>
  <c r="K88" i="83"/>
  <c r="L88" i="83"/>
  <c r="M88" i="83"/>
  <c r="N88" i="83"/>
  <c r="O88" i="83"/>
  <c r="P88" i="83"/>
  <c r="Q88" i="83"/>
  <c r="R88" i="83"/>
  <c r="S88" i="83"/>
  <c r="T88" i="83"/>
  <c r="U88" i="83"/>
  <c r="V88" i="83"/>
  <c r="W88" i="83"/>
  <c r="X88" i="83"/>
  <c r="Y88" i="83"/>
  <c r="Z88" i="83"/>
  <c r="AA88" i="83"/>
  <c r="AB88" i="83"/>
  <c r="AC88" i="83"/>
  <c r="AD88" i="83"/>
  <c r="AE88" i="83"/>
  <c r="AF88" i="83"/>
  <c r="AG88" i="83"/>
  <c r="AH88" i="83"/>
  <c r="AI88" i="83"/>
  <c r="AJ88" i="83"/>
  <c r="AK88" i="83"/>
  <c r="AL88" i="83"/>
  <c r="AM88" i="83"/>
  <c r="AN88" i="83"/>
  <c r="AO88" i="83"/>
  <c r="AP88" i="83"/>
  <c r="AQ88" i="83"/>
  <c r="AR88" i="83"/>
  <c r="AS88" i="83"/>
  <c r="AT88" i="83"/>
  <c r="AU88" i="83"/>
  <c r="B89" i="83"/>
  <c r="C89" i="83"/>
  <c r="D89" i="83"/>
  <c r="E89" i="83"/>
  <c r="F89" i="83"/>
  <c r="G89" i="83"/>
  <c r="H89" i="83"/>
  <c r="I89" i="83"/>
  <c r="J89" i="83"/>
  <c r="K89" i="83"/>
  <c r="L89" i="83"/>
  <c r="M89" i="83"/>
  <c r="N89" i="83"/>
  <c r="O89" i="83"/>
  <c r="P89" i="83"/>
  <c r="Q89" i="83"/>
  <c r="R89" i="83"/>
  <c r="S89" i="83"/>
  <c r="T89" i="83"/>
  <c r="U89" i="83"/>
  <c r="V89" i="83"/>
  <c r="W89" i="83"/>
  <c r="X89" i="83"/>
  <c r="Y89" i="83"/>
  <c r="Z89" i="83"/>
  <c r="AA89" i="83"/>
  <c r="AB89" i="83"/>
  <c r="AC89" i="83"/>
  <c r="AD89" i="83"/>
  <c r="AE89" i="83"/>
  <c r="AF89" i="83"/>
  <c r="AG89" i="83"/>
  <c r="AH89" i="83"/>
  <c r="AI89" i="83"/>
  <c r="AJ89" i="83"/>
  <c r="AK89" i="83"/>
  <c r="AL89" i="83"/>
  <c r="AM89" i="83"/>
  <c r="AN89" i="83"/>
  <c r="AO89" i="83"/>
  <c r="AP89" i="83"/>
  <c r="AQ89" i="83"/>
  <c r="AR89" i="83"/>
  <c r="AS89" i="83"/>
  <c r="AT89" i="83"/>
  <c r="AU89" i="83"/>
  <c r="B90" i="83"/>
  <c r="C90" i="83"/>
  <c r="D90" i="83"/>
  <c r="E90" i="83"/>
  <c r="F90" i="83"/>
  <c r="G90" i="83"/>
  <c r="H90" i="83"/>
  <c r="I90" i="83"/>
  <c r="J90" i="83"/>
  <c r="K90" i="83"/>
  <c r="L90" i="83"/>
  <c r="M90" i="83"/>
  <c r="N90" i="83"/>
  <c r="O90" i="83"/>
  <c r="P90" i="83"/>
  <c r="Q90" i="83"/>
  <c r="R90" i="83"/>
  <c r="S90" i="83"/>
  <c r="T90" i="83"/>
  <c r="U90" i="83"/>
  <c r="V90" i="83"/>
  <c r="W90" i="83"/>
  <c r="X90" i="83"/>
  <c r="Y90" i="83"/>
  <c r="Z90" i="83"/>
  <c r="AA90" i="83"/>
  <c r="AB90" i="83"/>
  <c r="AC90" i="83"/>
  <c r="AD90" i="83"/>
  <c r="AE90" i="83"/>
  <c r="AF90" i="83"/>
  <c r="AG90" i="83"/>
  <c r="AH90" i="83"/>
  <c r="AI90" i="83"/>
  <c r="AJ90" i="83"/>
  <c r="AK90" i="83"/>
  <c r="AL90" i="83"/>
  <c r="AM90" i="83"/>
  <c r="AN90" i="83"/>
  <c r="AO90" i="83"/>
  <c r="AP90" i="83"/>
  <c r="AQ90" i="83"/>
  <c r="AR90" i="83"/>
  <c r="AS90" i="83"/>
  <c r="AT90" i="83"/>
  <c r="AU90" i="83"/>
  <c r="B91" i="83"/>
  <c r="C91" i="83"/>
  <c r="D91" i="83"/>
  <c r="E91" i="83"/>
  <c r="F91" i="83"/>
  <c r="G91" i="83"/>
  <c r="H91" i="83"/>
  <c r="I91" i="83"/>
  <c r="J91" i="83"/>
  <c r="K91" i="83"/>
  <c r="L91" i="83"/>
  <c r="M91" i="83"/>
  <c r="N91" i="83"/>
  <c r="O91" i="83"/>
  <c r="P91" i="83"/>
  <c r="Q91" i="83"/>
  <c r="R91" i="83"/>
  <c r="S91" i="83"/>
  <c r="T91" i="83"/>
  <c r="U91" i="83"/>
  <c r="V91" i="83"/>
  <c r="W91" i="83"/>
  <c r="X91" i="83"/>
  <c r="Y91" i="83"/>
  <c r="Z91" i="83"/>
  <c r="AA91" i="83"/>
  <c r="AB91" i="83"/>
  <c r="AC91" i="83"/>
  <c r="AD91" i="83"/>
  <c r="AE91" i="83"/>
  <c r="AF91" i="83"/>
  <c r="AG91" i="83"/>
  <c r="AH91" i="83"/>
  <c r="AI91" i="83"/>
  <c r="AJ91" i="83"/>
  <c r="AK91" i="83"/>
  <c r="AL91" i="83"/>
  <c r="AM91" i="83"/>
  <c r="AN91" i="83"/>
  <c r="AO91" i="83"/>
  <c r="AP91" i="83"/>
  <c r="AQ91" i="83"/>
  <c r="AR91" i="83"/>
  <c r="AS91" i="83"/>
  <c r="AT91" i="83"/>
  <c r="AU91" i="83"/>
  <c r="B92" i="83"/>
  <c r="C92" i="83"/>
  <c r="D92" i="83"/>
  <c r="E92" i="83"/>
  <c r="F92" i="83"/>
  <c r="G92" i="83"/>
  <c r="H92" i="83"/>
  <c r="I92" i="83"/>
  <c r="J92" i="83"/>
  <c r="K92" i="83"/>
  <c r="L92" i="83"/>
  <c r="M92" i="83"/>
  <c r="N92" i="83"/>
  <c r="O92" i="83"/>
  <c r="P92" i="83"/>
  <c r="Q92" i="83"/>
  <c r="R92" i="83"/>
  <c r="S92" i="83"/>
  <c r="T92" i="83"/>
  <c r="U92" i="83"/>
  <c r="V92" i="83"/>
  <c r="W92" i="83"/>
  <c r="X92" i="83"/>
  <c r="Y92" i="83"/>
  <c r="Z92" i="83"/>
  <c r="AA92" i="83"/>
  <c r="AB92" i="83"/>
  <c r="AC92" i="83"/>
  <c r="AD92" i="83"/>
  <c r="AE92" i="83"/>
  <c r="AF92" i="83"/>
  <c r="AG92" i="83"/>
  <c r="AH92" i="83"/>
  <c r="AI92" i="83"/>
  <c r="AJ92" i="83"/>
  <c r="AK92" i="83"/>
  <c r="AL92" i="83"/>
  <c r="AM92" i="83"/>
  <c r="AN92" i="83"/>
  <c r="AO92" i="83"/>
  <c r="AP92" i="83"/>
  <c r="AQ92" i="83"/>
  <c r="AR92" i="83"/>
  <c r="AS92" i="83"/>
  <c r="AT92" i="83"/>
  <c r="AU92" i="83"/>
  <c r="B93" i="83"/>
  <c r="C93" i="83"/>
  <c r="D93" i="83"/>
  <c r="E93" i="83"/>
  <c r="F93" i="83"/>
  <c r="G93" i="83"/>
  <c r="H93" i="83"/>
  <c r="I93" i="83"/>
  <c r="J93" i="83"/>
  <c r="K93" i="83"/>
  <c r="L93" i="83"/>
  <c r="M93" i="83"/>
  <c r="N93" i="83"/>
  <c r="O93" i="83"/>
  <c r="P93" i="83"/>
  <c r="Q93" i="83"/>
  <c r="R93" i="83"/>
  <c r="S93" i="83"/>
  <c r="T93" i="83"/>
  <c r="U93" i="83"/>
  <c r="V93" i="83"/>
  <c r="W93" i="83"/>
  <c r="X93" i="83"/>
  <c r="Y93" i="83"/>
  <c r="Z93" i="83"/>
  <c r="AA93" i="83"/>
  <c r="AB93" i="83"/>
  <c r="AC93" i="83"/>
  <c r="AD93" i="83"/>
  <c r="AE93" i="83"/>
  <c r="AF93" i="83"/>
  <c r="AG93" i="83"/>
  <c r="AH93" i="83"/>
  <c r="AI93" i="83"/>
  <c r="AJ93" i="83"/>
  <c r="AK93" i="83"/>
  <c r="AL93" i="83"/>
  <c r="AM93" i="83"/>
  <c r="AN93" i="83"/>
  <c r="AO93" i="83"/>
  <c r="AP93" i="83"/>
  <c r="AQ93" i="83"/>
  <c r="AR93" i="83"/>
  <c r="AS93" i="83"/>
  <c r="AT93" i="83"/>
  <c r="AU93" i="83"/>
  <c r="B94" i="83"/>
  <c r="C94" i="83"/>
  <c r="D94" i="83"/>
  <c r="E94" i="83"/>
  <c r="F94" i="83"/>
  <c r="G94" i="83"/>
  <c r="H94" i="83"/>
  <c r="I94" i="83"/>
  <c r="J94" i="83"/>
  <c r="K94" i="83"/>
  <c r="L94" i="83"/>
  <c r="M94" i="83"/>
  <c r="N94" i="83"/>
  <c r="O94" i="83"/>
  <c r="P94" i="83"/>
  <c r="Q94" i="83"/>
  <c r="R94" i="83"/>
  <c r="S94" i="83"/>
  <c r="T94" i="83"/>
  <c r="U94" i="83"/>
  <c r="V94" i="83"/>
  <c r="W94" i="83"/>
  <c r="X94" i="83"/>
  <c r="Y94" i="83"/>
  <c r="Z94" i="83"/>
  <c r="AA94" i="83"/>
  <c r="AB94" i="83"/>
  <c r="AC94" i="83"/>
  <c r="AD94" i="83"/>
  <c r="AE94" i="83"/>
  <c r="AF94" i="83"/>
  <c r="AG94" i="83"/>
  <c r="AH94" i="83"/>
  <c r="AI94" i="83"/>
  <c r="AJ94" i="83"/>
  <c r="AK94" i="83"/>
  <c r="AL94" i="83"/>
  <c r="AM94" i="83"/>
  <c r="AN94" i="83"/>
  <c r="AO94" i="83"/>
  <c r="AP94" i="83"/>
  <c r="AQ94" i="83"/>
  <c r="AR94" i="83"/>
  <c r="AS94" i="83"/>
  <c r="AT94" i="83"/>
  <c r="AU94" i="83"/>
  <c r="B95" i="83"/>
  <c r="C95" i="83"/>
  <c r="D95" i="83"/>
  <c r="E95" i="83"/>
  <c r="F95" i="83"/>
  <c r="G95" i="83"/>
  <c r="H95" i="83"/>
  <c r="I95" i="83"/>
  <c r="J95" i="83"/>
  <c r="K95" i="83"/>
  <c r="L95" i="83"/>
  <c r="M95" i="83"/>
  <c r="N95" i="83"/>
  <c r="O95" i="83"/>
  <c r="P95" i="83"/>
  <c r="Q95" i="83"/>
  <c r="R95" i="83"/>
  <c r="S95" i="83"/>
  <c r="T95" i="83"/>
  <c r="U95" i="83"/>
  <c r="V95" i="83"/>
  <c r="W95" i="83"/>
  <c r="X95" i="83"/>
  <c r="Y95" i="83"/>
  <c r="Z95" i="83"/>
  <c r="AA95" i="83"/>
  <c r="AB95" i="83"/>
  <c r="AC95" i="83"/>
  <c r="AD95" i="83"/>
  <c r="AE95" i="83"/>
  <c r="AF95" i="83"/>
  <c r="AG95" i="83"/>
  <c r="AH95" i="83"/>
  <c r="AI95" i="83"/>
  <c r="AJ95" i="83"/>
  <c r="AK95" i="83"/>
  <c r="AL95" i="83"/>
  <c r="AM95" i="83"/>
  <c r="AN95" i="83"/>
  <c r="AO95" i="83"/>
  <c r="AP95" i="83"/>
  <c r="AQ95" i="83"/>
  <c r="AR95" i="83"/>
  <c r="AS95" i="83"/>
  <c r="AT95" i="83"/>
  <c r="AU95" i="83"/>
  <c r="C4" i="83"/>
  <c r="D4" i="83"/>
  <c r="E4" i="83"/>
  <c r="F4" i="83"/>
  <c r="G4" i="83"/>
  <c r="H4" i="83"/>
  <c r="I4" i="83"/>
  <c r="J4" i="83"/>
  <c r="K4" i="83"/>
  <c r="L4" i="83"/>
  <c r="M4" i="83"/>
  <c r="N4" i="83"/>
  <c r="O4" i="83"/>
  <c r="P4" i="83"/>
  <c r="Q4" i="83"/>
  <c r="R4" i="83"/>
  <c r="S4" i="83"/>
  <c r="T4" i="83"/>
  <c r="U4" i="83"/>
  <c r="V4" i="83"/>
  <c r="W4" i="83"/>
  <c r="X4" i="83"/>
  <c r="Y4" i="83"/>
  <c r="Z4" i="83"/>
  <c r="AA4" i="83"/>
  <c r="AB4" i="83"/>
  <c r="AC4" i="83"/>
  <c r="AD4" i="83"/>
  <c r="AE4" i="83"/>
  <c r="AF4" i="83"/>
  <c r="AG4" i="83"/>
  <c r="AH4" i="83"/>
  <c r="AI4" i="83"/>
  <c r="AJ4" i="83"/>
  <c r="AK4" i="83"/>
  <c r="AL4" i="83"/>
  <c r="AM4" i="83"/>
  <c r="AN4" i="83"/>
  <c r="AO4" i="83"/>
  <c r="AP4" i="83"/>
  <c r="AQ4" i="83"/>
  <c r="AR4" i="83"/>
  <c r="AS4" i="83"/>
  <c r="AT4" i="83"/>
  <c r="AU4" i="83"/>
  <c r="B4" i="83"/>
  <c r="B5" i="84"/>
  <c r="C5" i="84"/>
  <c r="D5" i="84"/>
  <c r="E5" i="84"/>
  <c r="F5" i="84"/>
  <c r="G5" i="84"/>
  <c r="H5" i="84"/>
  <c r="I5" i="84"/>
  <c r="J5" i="84"/>
  <c r="K5" i="84"/>
  <c r="L5" i="84"/>
  <c r="M5" i="84"/>
  <c r="N5" i="84"/>
  <c r="B6" i="84"/>
  <c r="C6" i="84"/>
  <c r="D6" i="84"/>
  <c r="E6" i="84"/>
  <c r="F6" i="84"/>
  <c r="G6" i="84"/>
  <c r="H6" i="84"/>
  <c r="I6" i="84"/>
  <c r="J6" i="84"/>
  <c r="K6" i="84"/>
  <c r="L6" i="84"/>
  <c r="M6" i="84"/>
  <c r="N6" i="84"/>
  <c r="B7" i="84"/>
  <c r="C7" i="84"/>
  <c r="D7" i="84"/>
  <c r="E7" i="84"/>
  <c r="F7" i="84"/>
  <c r="G7" i="84"/>
  <c r="H7" i="84"/>
  <c r="I7" i="84"/>
  <c r="J7" i="84"/>
  <c r="K7" i="84"/>
  <c r="L7" i="84"/>
  <c r="M7" i="84"/>
  <c r="N7" i="84"/>
  <c r="B8" i="84"/>
  <c r="C8" i="84"/>
  <c r="D8" i="84"/>
  <c r="E8" i="84"/>
  <c r="F8" i="84"/>
  <c r="G8" i="84"/>
  <c r="H8" i="84"/>
  <c r="I8" i="84"/>
  <c r="J8" i="84"/>
  <c r="K8" i="84"/>
  <c r="L8" i="84"/>
  <c r="M8" i="84"/>
  <c r="N8" i="84"/>
  <c r="B9" i="84"/>
  <c r="C9" i="84"/>
  <c r="D9" i="84"/>
  <c r="E9" i="84"/>
  <c r="F9" i="84"/>
  <c r="G9" i="84"/>
  <c r="H9" i="84"/>
  <c r="I9" i="84"/>
  <c r="J9" i="84"/>
  <c r="K9" i="84"/>
  <c r="L9" i="84"/>
  <c r="M9" i="84"/>
  <c r="N9" i="84"/>
  <c r="B10" i="84"/>
  <c r="C10" i="84"/>
  <c r="D10" i="84"/>
  <c r="E10" i="84"/>
  <c r="F10" i="84"/>
  <c r="G10" i="84"/>
  <c r="H10" i="84"/>
  <c r="I10" i="84"/>
  <c r="J10" i="84"/>
  <c r="K10" i="84"/>
  <c r="L10" i="84"/>
  <c r="M10" i="84"/>
  <c r="N10" i="84"/>
  <c r="B11" i="84"/>
  <c r="C11" i="84"/>
  <c r="D11" i="84"/>
  <c r="E11" i="84"/>
  <c r="F11" i="84"/>
  <c r="G11" i="84"/>
  <c r="H11" i="84"/>
  <c r="I11" i="84"/>
  <c r="J11" i="84"/>
  <c r="K11" i="84"/>
  <c r="L11" i="84"/>
  <c r="M11" i="84"/>
  <c r="N11" i="84"/>
  <c r="B12" i="84"/>
  <c r="C12" i="84"/>
  <c r="D12" i="84"/>
  <c r="E12" i="84"/>
  <c r="F12" i="84"/>
  <c r="G12" i="84"/>
  <c r="H12" i="84"/>
  <c r="I12" i="84"/>
  <c r="J12" i="84"/>
  <c r="K12" i="84"/>
  <c r="L12" i="84"/>
  <c r="M12" i="84"/>
  <c r="N12" i="84"/>
  <c r="B13" i="84"/>
  <c r="C13" i="84"/>
  <c r="D13" i="84"/>
  <c r="E13" i="84"/>
  <c r="F13" i="84"/>
  <c r="G13" i="84"/>
  <c r="H13" i="84"/>
  <c r="I13" i="84"/>
  <c r="J13" i="84"/>
  <c r="K13" i="84"/>
  <c r="L13" i="84"/>
  <c r="M13" i="84"/>
  <c r="N13" i="84"/>
  <c r="B14" i="84"/>
  <c r="C14" i="84"/>
  <c r="D14" i="84"/>
  <c r="E14" i="84"/>
  <c r="F14" i="84"/>
  <c r="G14" i="84"/>
  <c r="H14" i="84"/>
  <c r="I14" i="84"/>
  <c r="J14" i="84"/>
  <c r="K14" i="84"/>
  <c r="L14" i="84"/>
  <c r="M14" i="84"/>
  <c r="N14" i="84"/>
  <c r="B15" i="84"/>
  <c r="C15" i="84"/>
  <c r="D15" i="84"/>
  <c r="E15" i="84"/>
  <c r="F15" i="84"/>
  <c r="G15" i="84"/>
  <c r="H15" i="84"/>
  <c r="I15" i="84"/>
  <c r="J15" i="84"/>
  <c r="K15" i="84"/>
  <c r="L15" i="84"/>
  <c r="M15" i="84"/>
  <c r="N15" i="84"/>
  <c r="B16" i="84"/>
  <c r="C16" i="84"/>
  <c r="D16" i="84"/>
  <c r="E16" i="84"/>
  <c r="F16" i="84"/>
  <c r="G16" i="84"/>
  <c r="H16" i="84"/>
  <c r="I16" i="84"/>
  <c r="J16" i="84"/>
  <c r="K16" i="84"/>
  <c r="L16" i="84"/>
  <c r="M16" i="84"/>
  <c r="N16" i="84"/>
  <c r="B17" i="84"/>
  <c r="C17" i="84"/>
  <c r="D17" i="84"/>
  <c r="E17" i="84"/>
  <c r="F17" i="84"/>
  <c r="G17" i="84"/>
  <c r="H17" i="84"/>
  <c r="I17" i="84"/>
  <c r="J17" i="84"/>
  <c r="K17" i="84"/>
  <c r="L17" i="84"/>
  <c r="M17" i="84"/>
  <c r="N17" i="84"/>
  <c r="B18" i="84"/>
  <c r="C18" i="84"/>
  <c r="D18" i="84"/>
  <c r="E18" i="84"/>
  <c r="F18" i="84"/>
  <c r="G18" i="84"/>
  <c r="H18" i="84"/>
  <c r="I18" i="84"/>
  <c r="J18" i="84"/>
  <c r="K18" i="84"/>
  <c r="L18" i="84"/>
  <c r="M18" i="84"/>
  <c r="N18" i="84"/>
  <c r="B19" i="84"/>
  <c r="C19" i="84"/>
  <c r="D19" i="84"/>
  <c r="E19" i="84"/>
  <c r="F19" i="84"/>
  <c r="G19" i="84"/>
  <c r="H19" i="84"/>
  <c r="I19" i="84"/>
  <c r="J19" i="84"/>
  <c r="K19" i="84"/>
  <c r="L19" i="84"/>
  <c r="M19" i="84"/>
  <c r="N19" i="84"/>
  <c r="B20" i="84"/>
  <c r="C20" i="84"/>
  <c r="D20" i="84"/>
  <c r="E20" i="84"/>
  <c r="F20" i="84"/>
  <c r="G20" i="84"/>
  <c r="H20" i="84"/>
  <c r="I20" i="84"/>
  <c r="J20" i="84"/>
  <c r="K20" i="84"/>
  <c r="L20" i="84"/>
  <c r="M20" i="84"/>
  <c r="N20" i="84"/>
  <c r="B21" i="84"/>
  <c r="C21" i="84"/>
  <c r="D21" i="84"/>
  <c r="E21" i="84"/>
  <c r="F21" i="84"/>
  <c r="G21" i="84"/>
  <c r="H21" i="84"/>
  <c r="I21" i="84"/>
  <c r="J21" i="84"/>
  <c r="K21" i="84"/>
  <c r="L21" i="84"/>
  <c r="M21" i="84"/>
  <c r="N21" i="84"/>
  <c r="B22" i="84"/>
  <c r="C22" i="84"/>
  <c r="D22" i="84"/>
  <c r="E22" i="84"/>
  <c r="F22" i="84"/>
  <c r="G22" i="84"/>
  <c r="H22" i="84"/>
  <c r="I22" i="84"/>
  <c r="J22" i="84"/>
  <c r="K22" i="84"/>
  <c r="L22" i="84"/>
  <c r="M22" i="84"/>
  <c r="N22" i="84"/>
  <c r="B23" i="84"/>
  <c r="C23" i="84"/>
  <c r="D23" i="84"/>
  <c r="E23" i="84"/>
  <c r="F23" i="84"/>
  <c r="G23" i="84"/>
  <c r="H23" i="84"/>
  <c r="I23" i="84"/>
  <c r="J23" i="84"/>
  <c r="K23" i="84"/>
  <c r="L23" i="84"/>
  <c r="M23" i="84"/>
  <c r="N23" i="84"/>
  <c r="B24" i="84"/>
  <c r="C24" i="84"/>
  <c r="D24" i="84"/>
  <c r="E24" i="84"/>
  <c r="F24" i="84"/>
  <c r="G24" i="84"/>
  <c r="H24" i="84"/>
  <c r="I24" i="84"/>
  <c r="J24" i="84"/>
  <c r="K24" i="84"/>
  <c r="L24" i="84"/>
  <c r="M24" i="84"/>
  <c r="N24" i="84"/>
  <c r="B25" i="84"/>
  <c r="C25" i="84"/>
  <c r="D25" i="84"/>
  <c r="E25" i="84"/>
  <c r="F25" i="84"/>
  <c r="G25" i="84"/>
  <c r="H25" i="84"/>
  <c r="I25" i="84"/>
  <c r="J25" i="84"/>
  <c r="K25" i="84"/>
  <c r="L25" i="84"/>
  <c r="M25" i="84"/>
  <c r="N25" i="84"/>
  <c r="B26" i="84"/>
  <c r="C26" i="84"/>
  <c r="D26" i="84"/>
  <c r="E26" i="84"/>
  <c r="F26" i="84"/>
  <c r="G26" i="84"/>
  <c r="H26" i="84"/>
  <c r="I26" i="84"/>
  <c r="J26" i="84"/>
  <c r="K26" i="84"/>
  <c r="L26" i="84"/>
  <c r="M26" i="84"/>
  <c r="N26" i="84"/>
  <c r="B27" i="84"/>
  <c r="C27" i="84"/>
  <c r="D27" i="84"/>
  <c r="E27" i="84"/>
  <c r="F27" i="84"/>
  <c r="G27" i="84"/>
  <c r="H27" i="84"/>
  <c r="I27" i="84"/>
  <c r="J27" i="84"/>
  <c r="K27" i="84"/>
  <c r="L27" i="84"/>
  <c r="M27" i="84"/>
  <c r="N27" i="84"/>
  <c r="B28" i="84"/>
  <c r="C28" i="84"/>
  <c r="D28" i="84"/>
  <c r="E28" i="84"/>
  <c r="F28" i="84"/>
  <c r="G28" i="84"/>
  <c r="H28" i="84"/>
  <c r="I28" i="84"/>
  <c r="J28" i="84"/>
  <c r="K28" i="84"/>
  <c r="L28" i="84"/>
  <c r="M28" i="84"/>
  <c r="N28" i="84"/>
  <c r="B29" i="84"/>
  <c r="C29" i="84"/>
  <c r="D29" i="84"/>
  <c r="E29" i="84"/>
  <c r="F29" i="84"/>
  <c r="G29" i="84"/>
  <c r="H29" i="84"/>
  <c r="I29" i="84"/>
  <c r="J29" i="84"/>
  <c r="K29" i="84"/>
  <c r="L29" i="84"/>
  <c r="M29" i="84"/>
  <c r="N29" i="84"/>
  <c r="B30" i="84"/>
  <c r="C30" i="84"/>
  <c r="D30" i="84"/>
  <c r="E30" i="84"/>
  <c r="F30" i="84"/>
  <c r="G30" i="84"/>
  <c r="H30" i="84"/>
  <c r="I30" i="84"/>
  <c r="J30" i="84"/>
  <c r="K30" i="84"/>
  <c r="L30" i="84"/>
  <c r="M30" i="84"/>
  <c r="N30" i="84"/>
  <c r="B31" i="84"/>
  <c r="C31" i="84"/>
  <c r="D31" i="84"/>
  <c r="E31" i="84"/>
  <c r="F31" i="84"/>
  <c r="G31" i="84"/>
  <c r="H31" i="84"/>
  <c r="I31" i="84"/>
  <c r="J31" i="84"/>
  <c r="K31" i="84"/>
  <c r="L31" i="84"/>
  <c r="M31" i="84"/>
  <c r="N31" i="84"/>
  <c r="B32" i="84"/>
  <c r="C32" i="84"/>
  <c r="D32" i="84"/>
  <c r="E32" i="84"/>
  <c r="F32" i="84"/>
  <c r="G32" i="84"/>
  <c r="H32" i="84"/>
  <c r="I32" i="84"/>
  <c r="J32" i="84"/>
  <c r="K32" i="84"/>
  <c r="L32" i="84"/>
  <c r="M32" i="84"/>
  <c r="N32" i="84"/>
  <c r="B33" i="84"/>
  <c r="C33" i="84"/>
  <c r="D33" i="84"/>
  <c r="E33" i="84"/>
  <c r="F33" i="84"/>
  <c r="G33" i="84"/>
  <c r="H33" i="84"/>
  <c r="I33" i="84"/>
  <c r="J33" i="84"/>
  <c r="K33" i="84"/>
  <c r="L33" i="84"/>
  <c r="M33" i="84"/>
  <c r="N33" i="84"/>
  <c r="B34" i="84"/>
  <c r="C34" i="84"/>
  <c r="D34" i="84"/>
  <c r="E34" i="84"/>
  <c r="F34" i="84"/>
  <c r="G34" i="84"/>
  <c r="H34" i="84"/>
  <c r="I34" i="84"/>
  <c r="J34" i="84"/>
  <c r="K34" i="84"/>
  <c r="L34" i="84"/>
  <c r="M34" i="84"/>
  <c r="N34" i="84"/>
  <c r="B35" i="84"/>
  <c r="C35" i="84"/>
  <c r="D35" i="84"/>
  <c r="E35" i="84"/>
  <c r="F35" i="84"/>
  <c r="G35" i="84"/>
  <c r="H35" i="84"/>
  <c r="I35" i="84"/>
  <c r="J35" i="84"/>
  <c r="K35" i="84"/>
  <c r="L35" i="84"/>
  <c r="M35" i="84"/>
  <c r="N35" i="84"/>
  <c r="B36" i="84"/>
  <c r="C36" i="84"/>
  <c r="D36" i="84"/>
  <c r="E36" i="84"/>
  <c r="F36" i="84"/>
  <c r="G36" i="84"/>
  <c r="H36" i="84"/>
  <c r="I36" i="84"/>
  <c r="J36" i="84"/>
  <c r="K36" i="84"/>
  <c r="L36" i="84"/>
  <c r="M36" i="84"/>
  <c r="N36" i="84"/>
  <c r="B37" i="84"/>
  <c r="C37" i="84"/>
  <c r="D37" i="84"/>
  <c r="E37" i="84"/>
  <c r="F37" i="84"/>
  <c r="G37" i="84"/>
  <c r="H37" i="84"/>
  <c r="I37" i="84"/>
  <c r="J37" i="84"/>
  <c r="K37" i="84"/>
  <c r="L37" i="84"/>
  <c r="M37" i="84"/>
  <c r="N37" i="84"/>
  <c r="B38" i="84"/>
  <c r="C38" i="84"/>
  <c r="D38" i="84"/>
  <c r="E38" i="84"/>
  <c r="F38" i="84"/>
  <c r="G38" i="84"/>
  <c r="H38" i="84"/>
  <c r="I38" i="84"/>
  <c r="J38" i="84"/>
  <c r="K38" i="84"/>
  <c r="L38" i="84"/>
  <c r="M38" i="84"/>
  <c r="N38" i="84"/>
  <c r="B39" i="84"/>
  <c r="C39" i="84"/>
  <c r="D39" i="84"/>
  <c r="E39" i="84"/>
  <c r="F39" i="84"/>
  <c r="G39" i="84"/>
  <c r="H39" i="84"/>
  <c r="I39" i="84"/>
  <c r="J39" i="84"/>
  <c r="K39" i="84"/>
  <c r="L39" i="84"/>
  <c r="M39" i="84"/>
  <c r="N39" i="84"/>
  <c r="B40" i="84"/>
  <c r="C40" i="84"/>
  <c r="D40" i="84"/>
  <c r="E40" i="84"/>
  <c r="F40" i="84"/>
  <c r="G40" i="84"/>
  <c r="H40" i="84"/>
  <c r="I40" i="84"/>
  <c r="J40" i="84"/>
  <c r="K40" i="84"/>
  <c r="L40" i="84"/>
  <c r="M40" i="84"/>
  <c r="N40" i="84"/>
  <c r="B41" i="84"/>
  <c r="C41" i="84"/>
  <c r="D41" i="84"/>
  <c r="E41" i="84"/>
  <c r="F41" i="84"/>
  <c r="G41" i="84"/>
  <c r="H41" i="84"/>
  <c r="I41" i="84"/>
  <c r="J41" i="84"/>
  <c r="K41" i="84"/>
  <c r="L41" i="84"/>
  <c r="M41" i="84"/>
  <c r="N41" i="84"/>
  <c r="B42" i="84"/>
  <c r="C42" i="84"/>
  <c r="D42" i="84"/>
  <c r="E42" i="84"/>
  <c r="F42" i="84"/>
  <c r="G42" i="84"/>
  <c r="H42" i="84"/>
  <c r="I42" i="84"/>
  <c r="J42" i="84"/>
  <c r="K42" i="84"/>
  <c r="L42" i="84"/>
  <c r="M42" i="84"/>
  <c r="N42" i="84"/>
  <c r="B43" i="84"/>
  <c r="C43" i="84"/>
  <c r="D43" i="84"/>
  <c r="E43" i="84"/>
  <c r="F43" i="84"/>
  <c r="G43" i="84"/>
  <c r="H43" i="84"/>
  <c r="I43" i="84"/>
  <c r="J43" i="84"/>
  <c r="K43" i="84"/>
  <c r="L43" i="84"/>
  <c r="M43" i="84"/>
  <c r="N43" i="84"/>
  <c r="B44" i="84"/>
  <c r="C44" i="84"/>
  <c r="D44" i="84"/>
  <c r="E44" i="84"/>
  <c r="F44" i="84"/>
  <c r="G44" i="84"/>
  <c r="H44" i="84"/>
  <c r="I44" i="84"/>
  <c r="J44" i="84"/>
  <c r="K44" i="84"/>
  <c r="L44" i="84"/>
  <c r="M44" i="84"/>
  <c r="N44" i="84"/>
  <c r="B45" i="84"/>
  <c r="C45" i="84"/>
  <c r="D45" i="84"/>
  <c r="E45" i="84"/>
  <c r="F45" i="84"/>
  <c r="G45" i="84"/>
  <c r="H45" i="84"/>
  <c r="I45" i="84"/>
  <c r="J45" i="84"/>
  <c r="K45" i="84"/>
  <c r="L45" i="84"/>
  <c r="M45" i="84"/>
  <c r="N45" i="84"/>
  <c r="B46" i="84"/>
  <c r="C46" i="84"/>
  <c r="D46" i="84"/>
  <c r="E46" i="84"/>
  <c r="F46" i="84"/>
  <c r="G46" i="84"/>
  <c r="H46" i="84"/>
  <c r="I46" i="84"/>
  <c r="J46" i="84"/>
  <c r="K46" i="84"/>
  <c r="L46" i="84"/>
  <c r="M46" i="84"/>
  <c r="N46" i="84"/>
  <c r="B47" i="84"/>
  <c r="C47" i="84"/>
  <c r="D47" i="84"/>
  <c r="E47" i="84"/>
  <c r="F47" i="84"/>
  <c r="G47" i="84"/>
  <c r="H47" i="84"/>
  <c r="I47" i="84"/>
  <c r="J47" i="84"/>
  <c r="K47" i="84"/>
  <c r="L47" i="84"/>
  <c r="M47" i="84"/>
  <c r="N47" i="84"/>
  <c r="B48" i="84"/>
  <c r="C48" i="84"/>
  <c r="D48" i="84"/>
  <c r="E48" i="84"/>
  <c r="F48" i="84"/>
  <c r="G48" i="84"/>
  <c r="H48" i="84"/>
  <c r="I48" i="84"/>
  <c r="J48" i="84"/>
  <c r="K48" i="84"/>
  <c r="L48" i="84"/>
  <c r="M48" i="84"/>
  <c r="N48" i="84"/>
  <c r="B49" i="84"/>
  <c r="C49" i="84"/>
  <c r="D49" i="84"/>
  <c r="E49" i="84"/>
  <c r="F49" i="84"/>
  <c r="G49" i="84"/>
  <c r="H49" i="84"/>
  <c r="I49" i="84"/>
  <c r="J49" i="84"/>
  <c r="K49" i="84"/>
  <c r="L49" i="84"/>
  <c r="M49" i="84"/>
  <c r="N49" i="84"/>
  <c r="B50" i="84"/>
  <c r="C50" i="84"/>
  <c r="D50" i="84"/>
  <c r="E50" i="84"/>
  <c r="F50" i="84"/>
  <c r="G50" i="84"/>
  <c r="H50" i="84"/>
  <c r="I50" i="84"/>
  <c r="J50" i="84"/>
  <c r="K50" i="84"/>
  <c r="L50" i="84"/>
  <c r="M50" i="84"/>
  <c r="N50" i="84"/>
  <c r="B51" i="84"/>
  <c r="C51" i="84"/>
  <c r="D51" i="84"/>
  <c r="E51" i="84"/>
  <c r="F51" i="84"/>
  <c r="G51" i="84"/>
  <c r="H51" i="84"/>
  <c r="I51" i="84"/>
  <c r="J51" i="84"/>
  <c r="K51" i="84"/>
  <c r="L51" i="84"/>
  <c r="M51" i="84"/>
  <c r="N51" i="84"/>
  <c r="B52" i="84"/>
  <c r="C52" i="84"/>
  <c r="D52" i="84"/>
  <c r="E52" i="84"/>
  <c r="F52" i="84"/>
  <c r="G52" i="84"/>
  <c r="H52" i="84"/>
  <c r="I52" i="84"/>
  <c r="J52" i="84"/>
  <c r="K52" i="84"/>
  <c r="L52" i="84"/>
  <c r="M52" i="84"/>
  <c r="N52" i="84"/>
  <c r="B53" i="84"/>
  <c r="C53" i="84"/>
  <c r="D53" i="84"/>
  <c r="E53" i="84"/>
  <c r="F53" i="84"/>
  <c r="G53" i="84"/>
  <c r="H53" i="84"/>
  <c r="I53" i="84"/>
  <c r="J53" i="84"/>
  <c r="K53" i="84"/>
  <c r="L53" i="84"/>
  <c r="M53" i="84"/>
  <c r="N53" i="84"/>
  <c r="B54" i="84"/>
  <c r="C54" i="84"/>
  <c r="D54" i="84"/>
  <c r="E54" i="84"/>
  <c r="F54" i="84"/>
  <c r="G54" i="84"/>
  <c r="H54" i="84"/>
  <c r="I54" i="84"/>
  <c r="J54" i="84"/>
  <c r="K54" i="84"/>
  <c r="L54" i="84"/>
  <c r="M54" i="84"/>
  <c r="N54" i="84"/>
  <c r="B55" i="84"/>
  <c r="C55" i="84"/>
  <c r="D55" i="84"/>
  <c r="E55" i="84"/>
  <c r="F55" i="84"/>
  <c r="G55" i="84"/>
  <c r="H55" i="84"/>
  <c r="I55" i="84"/>
  <c r="J55" i="84"/>
  <c r="K55" i="84"/>
  <c r="L55" i="84"/>
  <c r="M55" i="84"/>
  <c r="N55" i="84"/>
  <c r="B56" i="84"/>
  <c r="C56" i="84"/>
  <c r="D56" i="84"/>
  <c r="E56" i="84"/>
  <c r="F56" i="84"/>
  <c r="G56" i="84"/>
  <c r="H56" i="84"/>
  <c r="I56" i="84"/>
  <c r="J56" i="84"/>
  <c r="K56" i="84"/>
  <c r="L56" i="84"/>
  <c r="M56" i="84"/>
  <c r="N56" i="84"/>
  <c r="B57" i="84"/>
  <c r="C57" i="84"/>
  <c r="D57" i="84"/>
  <c r="E57" i="84"/>
  <c r="F57" i="84"/>
  <c r="G57" i="84"/>
  <c r="H57" i="84"/>
  <c r="I57" i="84"/>
  <c r="J57" i="84"/>
  <c r="K57" i="84"/>
  <c r="L57" i="84"/>
  <c r="M57" i="84"/>
  <c r="N57" i="84"/>
  <c r="B58" i="84"/>
  <c r="C58" i="84"/>
  <c r="D58" i="84"/>
  <c r="E58" i="84"/>
  <c r="F58" i="84"/>
  <c r="G58" i="84"/>
  <c r="H58" i="84"/>
  <c r="I58" i="84"/>
  <c r="J58" i="84"/>
  <c r="K58" i="84"/>
  <c r="L58" i="84"/>
  <c r="M58" i="84"/>
  <c r="N58" i="84"/>
  <c r="B59" i="84"/>
  <c r="C59" i="84"/>
  <c r="D59" i="84"/>
  <c r="E59" i="84"/>
  <c r="F59" i="84"/>
  <c r="G59" i="84"/>
  <c r="H59" i="84"/>
  <c r="I59" i="84"/>
  <c r="J59" i="84"/>
  <c r="K59" i="84"/>
  <c r="L59" i="84"/>
  <c r="M59" i="84"/>
  <c r="N59" i="84"/>
  <c r="B60" i="84"/>
  <c r="C60" i="84"/>
  <c r="D60" i="84"/>
  <c r="E60" i="84"/>
  <c r="F60" i="84"/>
  <c r="G60" i="84"/>
  <c r="H60" i="84"/>
  <c r="I60" i="84"/>
  <c r="J60" i="84"/>
  <c r="K60" i="84"/>
  <c r="L60" i="84"/>
  <c r="M60" i="84"/>
  <c r="N60" i="84"/>
  <c r="B61" i="84"/>
  <c r="C61" i="84"/>
  <c r="D61" i="84"/>
  <c r="E61" i="84"/>
  <c r="F61" i="84"/>
  <c r="G61" i="84"/>
  <c r="H61" i="84"/>
  <c r="I61" i="84"/>
  <c r="J61" i="84"/>
  <c r="K61" i="84"/>
  <c r="L61" i="84"/>
  <c r="M61" i="84"/>
  <c r="N61" i="84"/>
  <c r="B62" i="84"/>
  <c r="C62" i="84"/>
  <c r="D62" i="84"/>
  <c r="E62" i="84"/>
  <c r="F62" i="84"/>
  <c r="G62" i="84"/>
  <c r="H62" i="84"/>
  <c r="I62" i="84"/>
  <c r="J62" i="84"/>
  <c r="K62" i="84"/>
  <c r="L62" i="84"/>
  <c r="M62" i="84"/>
  <c r="N62" i="84"/>
  <c r="B63" i="84"/>
  <c r="C63" i="84"/>
  <c r="D63" i="84"/>
  <c r="E63" i="84"/>
  <c r="F63" i="84"/>
  <c r="G63" i="84"/>
  <c r="H63" i="84"/>
  <c r="I63" i="84"/>
  <c r="J63" i="84"/>
  <c r="K63" i="84"/>
  <c r="L63" i="84"/>
  <c r="M63" i="84"/>
  <c r="N63" i="84"/>
  <c r="B64" i="84"/>
  <c r="C64" i="84"/>
  <c r="D64" i="84"/>
  <c r="E64" i="84"/>
  <c r="F64" i="84"/>
  <c r="G64" i="84"/>
  <c r="H64" i="84"/>
  <c r="I64" i="84"/>
  <c r="J64" i="84"/>
  <c r="K64" i="84"/>
  <c r="L64" i="84"/>
  <c r="M64" i="84"/>
  <c r="N64" i="84"/>
  <c r="B65" i="84"/>
  <c r="C65" i="84"/>
  <c r="D65" i="84"/>
  <c r="E65" i="84"/>
  <c r="F65" i="84"/>
  <c r="G65" i="84"/>
  <c r="H65" i="84"/>
  <c r="I65" i="84"/>
  <c r="J65" i="84"/>
  <c r="K65" i="84"/>
  <c r="L65" i="84"/>
  <c r="M65" i="84"/>
  <c r="N65" i="84"/>
  <c r="B66" i="84"/>
  <c r="C66" i="84"/>
  <c r="D66" i="84"/>
  <c r="E66" i="84"/>
  <c r="F66" i="84"/>
  <c r="G66" i="84"/>
  <c r="H66" i="84"/>
  <c r="I66" i="84"/>
  <c r="J66" i="84"/>
  <c r="K66" i="84"/>
  <c r="L66" i="84"/>
  <c r="M66" i="84"/>
  <c r="N66" i="84"/>
  <c r="B67" i="84"/>
  <c r="C67" i="84"/>
  <c r="D67" i="84"/>
  <c r="E67" i="84"/>
  <c r="F67" i="84"/>
  <c r="G67" i="84"/>
  <c r="H67" i="84"/>
  <c r="I67" i="84"/>
  <c r="J67" i="84"/>
  <c r="K67" i="84"/>
  <c r="L67" i="84"/>
  <c r="M67" i="84"/>
  <c r="N67" i="84"/>
  <c r="B68" i="84"/>
  <c r="C68" i="84"/>
  <c r="D68" i="84"/>
  <c r="E68" i="84"/>
  <c r="F68" i="84"/>
  <c r="G68" i="84"/>
  <c r="H68" i="84"/>
  <c r="I68" i="84"/>
  <c r="J68" i="84"/>
  <c r="K68" i="84"/>
  <c r="L68" i="84"/>
  <c r="M68" i="84"/>
  <c r="N68" i="84"/>
  <c r="B69" i="84"/>
  <c r="C69" i="84"/>
  <c r="D69" i="84"/>
  <c r="E69" i="84"/>
  <c r="F69" i="84"/>
  <c r="G69" i="84"/>
  <c r="H69" i="84"/>
  <c r="I69" i="84"/>
  <c r="J69" i="84"/>
  <c r="K69" i="84"/>
  <c r="L69" i="84"/>
  <c r="M69" i="84"/>
  <c r="N69" i="84"/>
  <c r="B70" i="84"/>
  <c r="C70" i="84"/>
  <c r="D70" i="84"/>
  <c r="E70" i="84"/>
  <c r="F70" i="84"/>
  <c r="G70" i="84"/>
  <c r="H70" i="84"/>
  <c r="I70" i="84"/>
  <c r="J70" i="84"/>
  <c r="K70" i="84"/>
  <c r="L70" i="84"/>
  <c r="M70" i="84"/>
  <c r="N70" i="84"/>
  <c r="B71" i="84"/>
  <c r="C71" i="84"/>
  <c r="D71" i="84"/>
  <c r="E71" i="84"/>
  <c r="F71" i="84"/>
  <c r="G71" i="84"/>
  <c r="H71" i="84"/>
  <c r="I71" i="84"/>
  <c r="J71" i="84"/>
  <c r="K71" i="84"/>
  <c r="L71" i="84"/>
  <c r="M71" i="84"/>
  <c r="N71" i="84"/>
  <c r="B72" i="84"/>
  <c r="C72" i="84"/>
  <c r="D72" i="84"/>
  <c r="E72" i="84"/>
  <c r="F72" i="84"/>
  <c r="G72" i="84"/>
  <c r="H72" i="84"/>
  <c r="I72" i="84"/>
  <c r="J72" i="84"/>
  <c r="K72" i="84"/>
  <c r="L72" i="84"/>
  <c r="M72" i="84"/>
  <c r="N72" i="84"/>
  <c r="B73" i="84"/>
  <c r="C73" i="84"/>
  <c r="D73" i="84"/>
  <c r="E73" i="84"/>
  <c r="F73" i="84"/>
  <c r="G73" i="84"/>
  <c r="H73" i="84"/>
  <c r="I73" i="84"/>
  <c r="J73" i="84"/>
  <c r="K73" i="84"/>
  <c r="L73" i="84"/>
  <c r="M73" i="84"/>
  <c r="N73" i="84"/>
  <c r="B74" i="84"/>
  <c r="C74" i="84"/>
  <c r="D74" i="84"/>
  <c r="E74" i="84"/>
  <c r="F74" i="84"/>
  <c r="G74" i="84"/>
  <c r="H74" i="84"/>
  <c r="I74" i="84"/>
  <c r="J74" i="84"/>
  <c r="K74" i="84"/>
  <c r="L74" i="84"/>
  <c r="M74" i="84"/>
  <c r="N74" i="84"/>
  <c r="B75" i="84"/>
  <c r="C75" i="84"/>
  <c r="D75" i="84"/>
  <c r="E75" i="84"/>
  <c r="F75" i="84"/>
  <c r="G75" i="84"/>
  <c r="H75" i="84"/>
  <c r="I75" i="84"/>
  <c r="J75" i="84"/>
  <c r="K75" i="84"/>
  <c r="L75" i="84"/>
  <c r="M75" i="84"/>
  <c r="N75" i="84"/>
  <c r="B76" i="84"/>
  <c r="C76" i="84"/>
  <c r="D76" i="84"/>
  <c r="E76" i="84"/>
  <c r="F76" i="84"/>
  <c r="G76" i="84"/>
  <c r="H76" i="84"/>
  <c r="I76" i="84"/>
  <c r="J76" i="84"/>
  <c r="K76" i="84"/>
  <c r="L76" i="84"/>
  <c r="M76" i="84"/>
  <c r="N76" i="84"/>
  <c r="B77" i="84"/>
  <c r="C77" i="84"/>
  <c r="D77" i="84"/>
  <c r="E77" i="84"/>
  <c r="F77" i="84"/>
  <c r="G77" i="84"/>
  <c r="H77" i="84"/>
  <c r="I77" i="84"/>
  <c r="J77" i="84"/>
  <c r="K77" i="84"/>
  <c r="L77" i="84"/>
  <c r="M77" i="84"/>
  <c r="N77" i="84"/>
  <c r="B78" i="84"/>
  <c r="C78" i="84"/>
  <c r="D78" i="84"/>
  <c r="E78" i="84"/>
  <c r="F78" i="84"/>
  <c r="G78" i="84"/>
  <c r="H78" i="84"/>
  <c r="I78" i="84"/>
  <c r="J78" i="84"/>
  <c r="K78" i="84"/>
  <c r="L78" i="84"/>
  <c r="M78" i="84"/>
  <c r="N78" i="84"/>
  <c r="B79" i="84"/>
  <c r="C79" i="84"/>
  <c r="D79" i="84"/>
  <c r="E79" i="84"/>
  <c r="F79" i="84"/>
  <c r="G79" i="84"/>
  <c r="H79" i="84"/>
  <c r="I79" i="84"/>
  <c r="J79" i="84"/>
  <c r="K79" i="84"/>
  <c r="L79" i="84"/>
  <c r="M79" i="84"/>
  <c r="N79" i="84"/>
  <c r="B80" i="84"/>
  <c r="C80" i="84"/>
  <c r="D80" i="84"/>
  <c r="E80" i="84"/>
  <c r="F80" i="84"/>
  <c r="G80" i="84"/>
  <c r="H80" i="84"/>
  <c r="I80" i="84"/>
  <c r="J80" i="84"/>
  <c r="K80" i="84"/>
  <c r="L80" i="84"/>
  <c r="M80" i="84"/>
  <c r="N80" i="84"/>
  <c r="B81" i="84"/>
  <c r="C81" i="84"/>
  <c r="D81" i="84"/>
  <c r="E81" i="84"/>
  <c r="F81" i="84"/>
  <c r="G81" i="84"/>
  <c r="H81" i="84"/>
  <c r="I81" i="84"/>
  <c r="J81" i="84"/>
  <c r="K81" i="84"/>
  <c r="L81" i="84"/>
  <c r="M81" i="84"/>
  <c r="N81" i="84"/>
  <c r="B82" i="84"/>
  <c r="C82" i="84"/>
  <c r="D82" i="84"/>
  <c r="E82" i="84"/>
  <c r="F82" i="84"/>
  <c r="G82" i="84"/>
  <c r="H82" i="84"/>
  <c r="I82" i="84"/>
  <c r="J82" i="84"/>
  <c r="K82" i="84"/>
  <c r="L82" i="84"/>
  <c r="M82" i="84"/>
  <c r="N82" i="84"/>
  <c r="B83" i="84"/>
  <c r="C83" i="84"/>
  <c r="D83" i="84"/>
  <c r="E83" i="84"/>
  <c r="F83" i="84"/>
  <c r="G83" i="84"/>
  <c r="H83" i="84"/>
  <c r="I83" i="84"/>
  <c r="J83" i="84"/>
  <c r="K83" i="84"/>
  <c r="L83" i="84"/>
  <c r="M83" i="84"/>
  <c r="N83" i="84"/>
  <c r="B84" i="84"/>
  <c r="C84" i="84"/>
  <c r="D84" i="84"/>
  <c r="E84" i="84"/>
  <c r="F84" i="84"/>
  <c r="G84" i="84"/>
  <c r="H84" i="84"/>
  <c r="I84" i="84"/>
  <c r="J84" i="84"/>
  <c r="K84" i="84"/>
  <c r="L84" i="84"/>
  <c r="M84" i="84"/>
  <c r="N84" i="84"/>
  <c r="B85" i="84"/>
  <c r="C85" i="84"/>
  <c r="D85" i="84"/>
  <c r="E85" i="84"/>
  <c r="F85" i="84"/>
  <c r="G85" i="84"/>
  <c r="H85" i="84"/>
  <c r="I85" i="84"/>
  <c r="J85" i="84"/>
  <c r="K85" i="84"/>
  <c r="L85" i="84"/>
  <c r="M85" i="84"/>
  <c r="N85" i="84"/>
  <c r="B86" i="84"/>
  <c r="C86" i="84"/>
  <c r="D86" i="84"/>
  <c r="E86" i="84"/>
  <c r="F86" i="84"/>
  <c r="G86" i="84"/>
  <c r="H86" i="84"/>
  <c r="I86" i="84"/>
  <c r="J86" i="84"/>
  <c r="K86" i="84"/>
  <c r="L86" i="84"/>
  <c r="M86" i="84"/>
  <c r="N86" i="84"/>
  <c r="B87" i="84"/>
  <c r="C87" i="84"/>
  <c r="D87" i="84"/>
  <c r="E87" i="84"/>
  <c r="F87" i="84"/>
  <c r="G87" i="84"/>
  <c r="H87" i="84"/>
  <c r="I87" i="84"/>
  <c r="J87" i="84"/>
  <c r="K87" i="84"/>
  <c r="L87" i="84"/>
  <c r="M87" i="84"/>
  <c r="N87" i="84"/>
  <c r="B88" i="84"/>
  <c r="C88" i="84"/>
  <c r="D88" i="84"/>
  <c r="E88" i="84"/>
  <c r="F88" i="84"/>
  <c r="G88" i="84"/>
  <c r="H88" i="84"/>
  <c r="I88" i="84"/>
  <c r="J88" i="84"/>
  <c r="K88" i="84"/>
  <c r="L88" i="84"/>
  <c r="M88" i="84"/>
  <c r="N88" i="84"/>
  <c r="B89" i="84"/>
  <c r="C89" i="84"/>
  <c r="D89" i="84"/>
  <c r="E89" i="84"/>
  <c r="F89" i="84"/>
  <c r="G89" i="84"/>
  <c r="H89" i="84"/>
  <c r="I89" i="84"/>
  <c r="J89" i="84"/>
  <c r="K89" i="84"/>
  <c r="L89" i="84"/>
  <c r="M89" i="84"/>
  <c r="N89" i="84"/>
  <c r="B90" i="84"/>
  <c r="C90" i="84"/>
  <c r="D90" i="84"/>
  <c r="E90" i="84"/>
  <c r="F90" i="84"/>
  <c r="G90" i="84"/>
  <c r="H90" i="84"/>
  <c r="I90" i="84"/>
  <c r="J90" i="84"/>
  <c r="K90" i="84"/>
  <c r="L90" i="84"/>
  <c r="M90" i="84"/>
  <c r="N90" i="84"/>
  <c r="B91" i="84"/>
  <c r="C91" i="84"/>
  <c r="D91" i="84"/>
  <c r="E91" i="84"/>
  <c r="F91" i="84"/>
  <c r="G91" i="84"/>
  <c r="H91" i="84"/>
  <c r="I91" i="84"/>
  <c r="J91" i="84"/>
  <c r="K91" i="84"/>
  <c r="L91" i="84"/>
  <c r="M91" i="84"/>
  <c r="N91" i="84"/>
  <c r="B92" i="84"/>
  <c r="C92" i="84"/>
  <c r="D92" i="84"/>
  <c r="E92" i="84"/>
  <c r="F92" i="84"/>
  <c r="G92" i="84"/>
  <c r="H92" i="84"/>
  <c r="I92" i="84"/>
  <c r="J92" i="84"/>
  <c r="K92" i="84"/>
  <c r="L92" i="84"/>
  <c r="M92" i="84"/>
  <c r="N92" i="84"/>
  <c r="C4" i="84"/>
  <c r="D4" i="84"/>
  <c r="E4" i="84"/>
  <c r="F4" i="84"/>
  <c r="G4" i="84"/>
  <c r="H4" i="84"/>
  <c r="I4" i="84"/>
  <c r="J4" i="84"/>
  <c r="K4" i="84"/>
  <c r="L4" i="84"/>
  <c r="M4" i="84"/>
  <c r="N4" i="84"/>
  <c r="B4" i="84"/>
  <c r="C14" i="85"/>
  <c r="B34" i="85"/>
  <c r="C34" i="85"/>
  <c r="D34" i="85"/>
  <c r="E34" i="85"/>
  <c r="F34" i="85"/>
  <c r="G34" i="85"/>
  <c r="H34" i="85"/>
  <c r="I34" i="85"/>
  <c r="J34" i="85"/>
  <c r="K34" i="85"/>
  <c r="L34" i="85"/>
  <c r="M34" i="85"/>
  <c r="N34" i="85"/>
  <c r="O34" i="85"/>
  <c r="P34" i="85"/>
  <c r="Q34" i="85"/>
  <c r="R34" i="85"/>
  <c r="S34" i="85"/>
  <c r="T34" i="85"/>
  <c r="U34" i="85"/>
  <c r="V34" i="85"/>
  <c r="W34" i="85"/>
  <c r="X34" i="85"/>
  <c r="Y34" i="85"/>
  <c r="Z34" i="85"/>
  <c r="AA34" i="85"/>
  <c r="AB34" i="85"/>
  <c r="AC34" i="85"/>
  <c r="AD34" i="85"/>
  <c r="AE34" i="85"/>
  <c r="AF34" i="85"/>
  <c r="AG34" i="85"/>
  <c r="AH34" i="85"/>
  <c r="AI34" i="85"/>
  <c r="AJ34" i="85"/>
  <c r="AK34" i="85"/>
  <c r="AL34" i="85"/>
  <c r="AM34" i="85"/>
  <c r="AN34" i="85"/>
  <c r="AO34" i="85"/>
  <c r="AP34" i="85"/>
  <c r="AQ34" i="85"/>
  <c r="AR34" i="85"/>
  <c r="AS34" i="85"/>
  <c r="AT34" i="85"/>
  <c r="B35" i="85"/>
  <c r="C35" i="85"/>
  <c r="D35" i="85"/>
  <c r="E35" i="85"/>
  <c r="F35" i="85"/>
  <c r="G35" i="85"/>
  <c r="H35" i="85"/>
  <c r="I35" i="85"/>
  <c r="J35" i="85"/>
  <c r="K35" i="85"/>
  <c r="L35" i="85"/>
  <c r="M35" i="85"/>
  <c r="N35" i="85"/>
  <c r="O35" i="85"/>
  <c r="P35" i="85"/>
  <c r="Q35" i="85"/>
  <c r="R35" i="85"/>
  <c r="S35" i="85"/>
  <c r="T35" i="85"/>
  <c r="U35" i="85"/>
  <c r="V35" i="85"/>
  <c r="W35" i="85"/>
  <c r="X35" i="85"/>
  <c r="Y35" i="85"/>
  <c r="Z35" i="85"/>
  <c r="AA35" i="85"/>
  <c r="AB35" i="85"/>
  <c r="AC35" i="85"/>
  <c r="AD35" i="85"/>
  <c r="AE35" i="85"/>
  <c r="AF35" i="85"/>
  <c r="AG35" i="85"/>
  <c r="AH35" i="85"/>
  <c r="AI35" i="85"/>
  <c r="AJ35" i="85"/>
  <c r="AK35" i="85"/>
  <c r="AL35" i="85"/>
  <c r="AM35" i="85"/>
  <c r="AN35" i="85"/>
  <c r="AO35" i="85"/>
  <c r="AP35" i="85"/>
  <c r="AQ35" i="85"/>
  <c r="AR35" i="85"/>
  <c r="AS35" i="85"/>
  <c r="AT35" i="85"/>
  <c r="B36" i="85"/>
  <c r="C36" i="85"/>
  <c r="D36" i="85"/>
  <c r="E36" i="85"/>
  <c r="F36" i="85"/>
  <c r="G36" i="85"/>
  <c r="H36" i="85"/>
  <c r="I36" i="85"/>
  <c r="J36" i="85"/>
  <c r="K36" i="85"/>
  <c r="L36" i="85"/>
  <c r="M36" i="85"/>
  <c r="N36" i="85"/>
  <c r="O36" i="85"/>
  <c r="P36" i="85"/>
  <c r="Q36" i="85"/>
  <c r="R36" i="85"/>
  <c r="S36" i="85"/>
  <c r="T36" i="85"/>
  <c r="U36" i="85"/>
  <c r="V36" i="85"/>
  <c r="W36" i="85"/>
  <c r="X36" i="85"/>
  <c r="Y36" i="85"/>
  <c r="Z36" i="85"/>
  <c r="AA36" i="85"/>
  <c r="AB36" i="85"/>
  <c r="AC36" i="85"/>
  <c r="AD36" i="85"/>
  <c r="AE36" i="85"/>
  <c r="AF36" i="85"/>
  <c r="AG36" i="85"/>
  <c r="AH36" i="85"/>
  <c r="AI36" i="85"/>
  <c r="AJ36" i="85"/>
  <c r="AK36" i="85"/>
  <c r="AL36" i="85"/>
  <c r="AM36" i="85"/>
  <c r="AN36" i="85"/>
  <c r="AO36" i="85"/>
  <c r="AP36" i="85"/>
  <c r="AQ36" i="85"/>
  <c r="AR36" i="85"/>
  <c r="AS36" i="85"/>
  <c r="AT36" i="85"/>
  <c r="B37" i="85"/>
  <c r="C37" i="85"/>
  <c r="D37" i="85"/>
  <c r="E37" i="85"/>
  <c r="F37" i="85"/>
  <c r="G37" i="85"/>
  <c r="H37" i="85"/>
  <c r="I37" i="85"/>
  <c r="J37" i="85"/>
  <c r="K37" i="85"/>
  <c r="L37" i="85"/>
  <c r="M37" i="85"/>
  <c r="N37" i="85"/>
  <c r="O37" i="85"/>
  <c r="P37" i="85"/>
  <c r="Q37" i="85"/>
  <c r="R37" i="85"/>
  <c r="S37" i="85"/>
  <c r="T37" i="85"/>
  <c r="U37" i="85"/>
  <c r="V37" i="85"/>
  <c r="W37" i="85"/>
  <c r="X37" i="85"/>
  <c r="Y37" i="85"/>
  <c r="Z37" i="85"/>
  <c r="AA37" i="85"/>
  <c r="AB37" i="85"/>
  <c r="AC37" i="85"/>
  <c r="AD37" i="85"/>
  <c r="AE37" i="85"/>
  <c r="AF37" i="85"/>
  <c r="AG37" i="85"/>
  <c r="AH37" i="85"/>
  <c r="AI37" i="85"/>
  <c r="AJ37" i="85"/>
  <c r="AK37" i="85"/>
  <c r="AL37" i="85"/>
  <c r="AM37" i="85"/>
  <c r="AN37" i="85"/>
  <c r="AO37" i="85"/>
  <c r="AP37" i="85"/>
  <c r="AQ37" i="85"/>
  <c r="AR37" i="85"/>
  <c r="AS37" i="85"/>
  <c r="AT37" i="85"/>
  <c r="B38" i="85"/>
  <c r="C38" i="85"/>
  <c r="D38" i="85"/>
  <c r="E38" i="85"/>
  <c r="F38" i="85"/>
  <c r="G38" i="85"/>
  <c r="H38" i="85"/>
  <c r="I38" i="85"/>
  <c r="J38" i="85"/>
  <c r="K38" i="85"/>
  <c r="L38" i="85"/>
  <c r="M38" i="85"/>
  <c r="N38" i="85"/>
  <c r="O38" i="85"/>
  <c r="P38" i="85"/>
  <c r="Q38" i="85"/>
  <c r="R38" i="85"/>
  <c r="S38" i="85"/>
  <c r="T38" i="85"/>
  <c r="U38" i="85"/>
  <c r="V38" i="85"/>
  <c r="W38" i="85"/>
  <c r="X38" i="85"/>
  <c r="Y38" i="85"/>
  <c r="Z38" i="85"/>
  <c r="AA38" i="85"/>
  <c r="AB38" i="85"/>
  <c r="AC38" i="85"/>
  <c r="AD38" i="85"/>
  <c r="AE38" i="85"/>
  <c r="AF38" i="85"/>
  <c r="AG38" i="85"/>
  <c r="AH38" i="85"/>
  <c r="AI38" i="85"/>
  <c r="AJ38" i="85"/>
  <c r="AK38" i="85"/>
  <c r="AL38" i="85"/>
  <c r="AM38" i="85"/>
  <c r="AN38" i="85"/>
  <c r="AO38" i="85"/>
  <c r="AP38" i="85"/>
  <c r="AQ38" i="85"/>
  <c r="AR38" i="85"/>
  <c r="AS38" i="85"/>
  <c r="AT38" i="85"/>
  <c r="B39" i="85"/>
  <c r="C39" i="85"/>
  <c r="D39" i="85"/>
  <c r="E39" i="85"/>
  <c r="F39" i="85"/>
  <c r="G39" i="85"/>
  <c r="H39" i="85"/>
  <c r="I39" i="85"/>
  <c r="J39" i="85"/>
  <c r="K39" i="85"/>
  <c r="L39" i="85"/>
  <c r="M39" i="85"/>
  <c r="N39" i="85"/>
  <c r="O39" i="85"/>
  <c r="P39" i="85"/>
  <c r="Q39" i="85"/>
  <c r="R39" i="85"/>
  <c r="S39" i="85"/>
  <c r="T39" i="85"/>
  <c r="U39" i="85"/>
  <c r="V39" i="85"/>
  <c r="W39" i="85"/>
  <c r="X39" i="85"/>
  <c r="Y39" i="85"/>
  <c r="Z39" i="85"/>
  <c r="AA39" i="85"/>
  <c r="AB39" i="85"/>
  <c r="AC39" i="85"/>
  <c r="AD39" i="85"/>
  <c r="AE39" i="85"/>
  <c r="AF39" i="85"/>
  <c r="AG39" i="85"/>
  <c r="AH39" i="85"/>
  <c r="AI39" i="85"/>
  <c r="AJ39" i="85"/>
  <c r="AK39" i="85"/>
  <c r="AL39" i="85"/>
  <c r="AM39" i="85"/>
  <c r="AN39" i="85"/>
  <c r="AO39" i="85"/>
  <c r="AP39" i="85"/>
  <c r="AQ39" i="85"/>
  <c r="AR39" i="85"/>
  <c r="AS39" i="85"/>
  <c r="AT39" i="85"/>
  <c r="B40" i="85"/>
  <c r="C40" i="85"/>
  <c r="D40" i="85"/>
  <c r="E40" i="85"/>
  <c r="F40" i="85"/>
  <c r="G40" i="85"/>
  <c r="H40" i="85"/>
  <c r="I40" i="85"/>
  <c r="J40" i="85"/>
  <c r="K40" i="85"/>
  <c r="L40" i="85"/>
  <c r="M40" i="85"/>
  <c r="N40" i="85"/>
  <c r="O40" i="85"/>
  <c r="P40" i="85"/>
  <c r="Q40" i="85"/>
  <c r="R40" i="85"/>
  <c r="S40" i="85"/>
  <c r="T40" i="85"/>
  <c r="U40" i="85"/>
  <c r="V40" i="85"/>
  <c r="W40" i="85"/>
  <c r="X40" i="85"/>
  <c r="Y40" i="85"/>
  <c r="Z40" i="85"/>
  <c r="AA40" i="85"/>
  <c r="AB40" i="85"/>
  <c r="AC40" i="85"/>
  <c r="AD40" i="85"/>
  <c r="AE40" i="85"/>
  <c r="AF40" i="85"/>
  <c r="AG40" i="85"/>
  <c r="AH40" i="85"/>
  <c r="AI40" i="85"/>
  <c r="AJ40" i="85"/>
  <c r="AK40" i="85"/>
  <c r="AL40" i="85"/>
  <c r="AM40" i="85"/>
  <c r="AN40" i="85"/>
  <c r="AO40" i="85"/>
  <c r="AP40" i="85"/>
  <c r="AQ40" i="85"/>
  <c r="AR40" i="85"/>
  <c r="AS40" i="85"/>
  <c r="AT40" i="85"/>
  <c r="B19" i="85"/>
  <c r="C19" i="85"/>
  <c r="D19" i="85"/>
  <c r="E19" i="85"/>
  <c r="F19" i="85"/>
  <c r="G19" i="85"/>
  <c r="H19" i="85"/>
  <c r="I19" i="85"/>
  <c r="J19" i="85"/>
  <c r="K19" i="85"/>
  <c r="L19" i="85"/>
  <c r="M19" i="85"/>
  <c r="N19" i="85"/>
  <c r="O19" i="85"/>
  <c r="P19" i="85"/>
  <c r="Q19" i="85"/>
  <c r="R19" i="85"/>
  <c r="S19" i="85"/>
  <c r="T19" i="85"/>
  <c r="U19" i="85"/>
  <c r="V19" i="85"/>
  <c r="W19" i="85"/>
  <c r="X19" i="85"/>
  <c r="Y19" i="85"/>
  <c r="Z19" i="85"/>
  <c r="AA19" i="85"/>
  <c r="AB19" i="85"/>
  <c r="AC19" i="85"/>
  <c r="AD19" i="85"/>
  <c r="AE19" i="85"/>
  <c r="AF19" i="85"/>
  <c r="AG19" i="85"/>
  <c r="AH19" i="85"/>
  <c r="AI19" i="85"/>
  <c r="AJ19" i="85"/>
  <c r="AK19" i="85"/>
  <c r="AL19" i="85"/>
  <c r="AM19" i="85"/>
  <c r="AN19" i="85"/>
  <c r="AO19" i="85"/>
  <c r="AP19" i="85"/>
  <c r="AQ19" i="85"/>
  <c r="AR19" i="85"/>
  <c r="AS19" i="85"/>
  <c r="AT19" i="85"/>
  <c r="B20" i="85"/>
  <c r="C20" i="85"/>
  <c r="D20" i="85"/>
  <c r="E20" i="85"/>
  <c r="F20" i="85"/>
  <c r="G20" i="85"/>
  <c r="H20" i="85"/>
  <c r="I20" i="85"/>
  <c r="J20" i="85"/>
  <c r="K20" i="85"/>
  <c r="L20" i="85"/>
  <c r="M20" i="85"/>
  <c r="N20" i="85"/>
  <c r="O20" i="85"/>
  <c r="P20" i="85"/>
  <c r="Q20" i="85"/>
  <c r="R20" i="85"/>
  <c r="S20" i="85"/>
  <c r="T20" i="85"/>
  <c r="U20" i="85"/>
  <c r="V20" i="85"/>
  <c r="W20" i="85"/>
  <c r="X20" i="85"/>
  <c r="Y20" i="85"/>
  <c r="Z20" i="85"/>
  <c r="AA20" i="85"/>
  <c r="AB20" i="85"/>
  <c r="AC20" i="85"/>
  <c r="AD20" i="85"/>
  <c r="AE20" i="85"/>
  <c r="AF20" i="85"/>
  <c r="AG20" i="85"/>
  <c r="AH20" i="85"/>
  <c r="AI20" i="85"/>
  <c r="AJ20" i="85"/>
  <c r="AK20" i="85"/>
  <c r="AL20" i="85"/>
  <c r="AM20" i="85"/>
  <c r="AN20" i="85"/>
  <c r="AO20" i="85"/>
  <c r="AP20" i="85"/>
  <c r="AQ20" i="85"/>
  <c r="AR20" i="85"/>
  <c r="AS20" i="85"/>
  <c r="AT20" i="85"/>
  <c r="B21" i="85"/>
  <c r="C21" i="85"/>
  <c r="D21" i="85"/>
  <c r="E21" i="85"/>
  <c r="F21" i="85"/>
  <c r="G21" i="85"/>
  <c r="H21" i="85"/>
  <c r="I21" i="85"/>
  <c r="J21" i="85"/>
  <c r="K21" i="85"/>
  <c r="L21" i="85"/>
  <c r="M21" i="85"/>
  <c r="N21" i="85"/>
  <c r="O21" i="85"/>
  <c r="P21" i="85"/>
  <c r="Q21" i="85"/>
  <c r="R21" i="85"/>
  <c r="S21" i="85"/>
  <c r="T21" i="85"/>
  <c r="U21" i="85"/>
  <c r="V21" i="85"/>
  <c r="W21" i="85"/>
  <c r="X21" i="85"/>
  <c r="Y21" i="85"/>
  <c r="Z21" i="85"/>
  <c r="AA21" i="85"/>
  <c r="AB21" i="85"/>
  <c r="AC21" i="85"/>
  <c r="AD21" i="85"/>
  <c r="AE21" i="85"/>
  <c r="AF21" i="85"/>
  <c r="AG21" i="85"/>
  <c r="AH21" i="85"/>
  <c r="AI21" i="85"/>
  <c r="AJ21" i="85"/>
  <c r="AK21" i="85"/>
  <c r="AL21" i="85"/>
  <c r="AM21" i="85"/>
  <c r="AN21" i="85"/>
  <c r="AO21" i="85"/>
  <c r="AP21" i="85"/>
  <c r="AQ21" i="85"/>
  <c r="AR21" i="85"/>
  <c r="AS21" i="85"/>
  <c r="AT21" i="85"/>
  <c r="B22" i="85"/>
  <c r="C22" i="85"/>
  <c r="D22" i="85"/>
  <c r="E22" i="85"/>
  <c r="F22" i="85"/>
  <c r="G22" i="85"/>
  <c r="H22" i="85"/>
  <c r="I22" i="85"/>
  <c r="J22" i="85"/>
  <c r="K22" i="85"/>
  <c r="L22" i="85"/>
  <c r="M22" i="85"/>
  <c r="N22" i="85"/>
  <c r="O22" i="85"/>
  <c r="P22" i="85"/>
  <c r="Q22" i="85"/>
  <c r="R22" i="85"/>
  <c r="S22" i="85"/>
  <c r="T22" i="85"/>
  <c r="U22" i="85"/>
  <c r="V22" i="85"/>
  <c r="W22" i="85"/>
  <c r="X22" i="85"/>
  <c r="Y22" i="85"/>
  <c r="Z22" i="85"/>
  <c r="AA22" i="85"/>
  <c r="AB22" i="85"/>
  <c r="AC22" i="85"/>
  <c r="AD22" i="85"/>
  <c r="AE22" i="85"/>
  <c r="AF22" i="85"/>
  <c r="AG22" i="85"/>
  <c r="AH22" i="85"/>
  <c r="AI22" i="85"/>
  <c r="AJ22" i="85"/>
  <c r="AK22" i="85"/>
  <c r="AL22" i="85"/>
  <c r="AM22" i="85"/>
  <c r="AN22" i="85"/>
  <c r="AO22" i="85"/>
  <c r="AP22" i="85"/>
  <c r="AQ22" i="85"/>
  <c r="AR22" i="85"/>
  <c r="AS22" i="85"/>
  <c r="AT22" i="85"/>
  <c r="B23" i="85"/>
  <c r="C23" i="85"/>
  <c r="D23" i="85"/>
  <c r="E23" i="85"/>
  <c r="F23" i="85"/>
  <c r="G23" i="85"/>
  <c r="H23" i="85"/>
  <c r="I23" i="85"/>
  <c r="J23" i="85"/>
  <c r="K23" i="85"/>
  <c r="L23" i="85"/>
  <c r="M23" i="85"/>
  <c r="N23" i="85"/>
  <c r="O23" i="85"/>
  <c r="P23" i="85"/>
  <c r="Q23" i="85"/>
  <c r="R23" i="85"/>
  <c r="S23" i="85"/>
  <c r="T23" i="85"/>
  <c r="U23" i="85"/>
  <c r="V23" i="85"/>
  <c r="W23" i="85"/>
  <c r="X23" i="85"/>
  <c r="Y23" i="85"/>
  <c r="Z23" i="85"/>
  <c r="AA23" i="85"/>
  <c r="AB23" i="85"/>
  <c r="AC23" i="85"/>
  <c r="AD23" i="85"/>
  <c r="AE23" i="85"/>
  <c r="AF23" i="85"/>
  <c r="AG23" i="85"/>
  <c r="AH23" i="85"/>
  <c r="AI23" i="85"/>
  <c r="AJ23" i="85"/>
  <c r="AK23" i="85"/>
  <c r="AL23" i="85"/>
  <c r="AM23" i="85"/>
  <c r="AN23" i="85"/>
  <c r="AO23" i="85"/>
  <c r="AP23" i="85"/>
  <c r="AQ23" i="85"/>
  <c r="AR23" i="85"/>
  <c r="AS23" i="85"/>
  <c r="AT23" i="85"/>
  <c r="B24" i="85"/>
  <c r="C24" i="85"/>
  <c r="D24" i="85"/>
  <c r="E24" i="85"/>
  <c r="F24" i="85"/>
  <c r="G24" i="85"/>
  <c r="H24" i="85"/>
  <c r="I24" i="85"/>
  <c r="J24" i="85"/>
  <c r="K24" i="85"/>
  <c r="L24" i="85"/>
  <c r="M24" i="85"/>
  <c r="N24" i="85"/>
  <c r="O24" i="85"/>
  <c r="P24" i="85"/>
  <c r="Q24" i="85"/>
  <c r="R24" i="85"/>
  <c r="S24" i="85"/>
  <c r="T24" i="85"/>
  <c r="U24" i="85"/>
  <c r="V24" i="85"/>
  <c r="W24" i="85"/>
  <c r="X24" i="85"/>
  <c r="Y24" i="85"/>
  <c r="Z24" i="85"/>
  <c r="AA24" i="85"/>
  <c r="AB24" i="85"/>
  <c r="AC24" i="85"/>
  <c r="AD24" i="85"/>
  <c r="AE24" i="85"/>
  <c r="AF24" i="85"/>
  <c r="AG24" i="85"/>
  <c r="AH24" i="85"/>
  <c r="AI24" i="85"/>
  <c r="AJ24" i="85"/>
  <c r="AK24" i="85"/>
  <c r="AL24" i="85"/>
  <c r="AM24" i="85"/>
  <c r="AN24" i="85"/>
  <c r="AO24" i="85"/>
  <c r="AP24" i="85"/>
  <c r="AQ24" i="85"/>
  <c r="AR24" i="85"/>
  <c r="AS24" i="85"/>
  <c r="AT24" i="85"/>
  <c r="B25" i="85"/>
  <c r="C25" i="85"/>
  <c r="D25" i="85"/>
  <c r="E25" i="85"/>
  <c r="F25" i="85"/>
  <c r="G25" i="85"/>
  <c r="H25" i="85"/>
  <c r="I25" i="85"/>
  <c r="J25" i="85"/>
  <c r="K25" i="85"/>
  <c r="L25" i="85"/>
  <c r="M25" i="85"/>
  <c r="N25" i="85"/>
  <c r="O25" i="85"/>
  <c r="P25" i="85"/>
  <c r="Q25" i="85"/>
  <c r="R25" i="85"/>
  <c r="S25" i="85"/>
  <c r="T25" i="85"/>
  <c r="U25" i="85"/>
  <c r="V25" i="85"/>
  <c r="W25" i="85"/>
  <c r="X25" i="85"/>
  <c r="Y25" i="85"/>
  <c r="Z25" i="85"/>
  <c r="AA25" i="85"/>
  <c r="AB25" i="85"/>
  <c r="AC25" i="85"/>
  <c r="AD25" i="85"/>
  <c r="AE25" i="85"/>
  <c r="AF25" i="85"/>
  <c r="AG25" i="85"/>
  <c r="AH25" i="85"/>
  <c r="AI25" i="85"/>
  <c r="AJ25" i="85"/>
  <c r="AK25" i="85"/>
  <c r="AL25" i="85"/>
  <c r="AM25" i="85"/>
  <c r="AN25" i="85"/>
  <c r="AO25" i="85"/>
  <c r="AP25" i="85"/>
  <c r="AQ25" i="85"/>
  <c r="AR25" i="85"/>
  <c r="AS25" i="85"/>
  <c r="AT25" i="85"/>
  <c r="B26" i="85"/>
  <c r="C26" i="85"/>
  <c r="D26" i="85"/>
  <c r="E26" i="85"/>
  <c r="F26" i="85"/>
  <c r="G26" i="85"/>
  <c r="H26" i="85"/>
  <c r="I26" i="85"/>
  <c r="J26" i="85"/>
  <c r="K26" i="85"/>
  <c r="L26" i="85"/>
  <c r="M26" i="85"/>
  <c r="N26" i="85"/>
  <c r="O26" i="85"/>
  <c r="P26" i="85"/>
  <c r="Q26" i="85"/>
  <c r="R26" i="85"/>
  <c r="S26" i="85"/>
  <c r="T26" i="85"/>
  <c r="U26" i="85"/>
  <c r="V26" i="85"/>
  <c r="W26" i="85"/>
  <c r="X26" i="85"/>
  <c r="Y26" i="85"/>
  <c r="Z26" i="85"/>
  <c r="AA26" i="85"/>
  <c r="AB26" i="85"/>
  <c r="AC26" i="85"/>
  <c r="AD26" i="85"/>
  <c r="AE26" i="85"/>
  <c r="AF26" i="85"/>
  <c r="AG26" i="85"/>
  <c r="AH26" i="85"/>
  <c r="AI26" i="85"/>
  <c r="AJ26" i="85"/>
  <c r="AK26" i="85"/>
  <c r="AL26" i="85"/>
  <c r="AM26" i="85"/>
  <c r="AN26" i="85"/>
  <c r="AO26" i="85"/>
  <c r="AP26" i="85"/>
  <c r="AQ26" i="85"/>
  <c r="AR26" i="85"/>
  <c r="AS26" i="85"/>
  <c r="AT26" i="85"/>
  <c r="B27" i="85"/>
  <c r="C27" i="85"/>
  <c r="D27" i="85"/>
  <c r="E27" i="85"/>
  <c r="F27" i="85"/>
  <c r="G27" i="85"/>
  <c r="H27" i="85"/>
  <c r="I27" i="85"/>
  <c r="J27" i="85"/>
  <c r="K27" i="85"/>
  <c r="L27" i="85"/>
  <c r="M27" i="85"/>
  <c r="N27" i="85"/>
  <c r="O27" i="85"/>
  <c r="P27" i="85"/>
  <c r="Q27" i="85"/>
  <c r="R27" i="85"/>
  <c r="S27" i="85"/>
  <c r="T27" i="85"/>
  <c r="U27" i="85"/>
  <c r="V27" i="85"/>
  <c r="W27" i="85"/>
  <c r="X27" i="85"/>
  <c r="Y27" i="85"/>
  <c r="Z27" i="85"/>
  <c r="AA27" i="85"/>
  <c r="AB27" i="85"/>
  <c r="AC27" i="85"/>
  <c r="AD27" i="85"/>
  <c r="AE27" i="85"/>
  <c r="AF27" i="85"/>
  <c r="AG27" i="85"/>
  <c r="AH27" i="85"/>
  <c r="AI27" i="85"/>
  <c r="AJ27" i="85"/>
  <c r="AK27" i="85"/>
  <c r="AL27" i="85"/>
  <c r="AM27" i="85"/>
  <c r="AN27" i="85"/>
  <c r="AO27" i="85"/>
  <c r="AP27" i="85"/>
  <c r="AQ27" i="85"/>
  <c r="AR27" i="85"/>
  <c r="AS27" i="85"/>
  <c r="AT27" i="85"/>
  <c r="B28" i="85"/>
  <c r="C28" i="85"/>
  <c r="D28" i="85"/>
  <c r="E28" i="85"/>
  <c r="F28" i="85"/>
  <c r="G28" i="85"/>
  <c r="H28" i="85"/>
  <c r="I28" i="85"/>
  <c r="J28" i="85"/>
  <c r="K28" i="85"/>
  <c r="L28" i="85"/>
  <c r="M28" i="85"/>
  <c r="N28" i="85"/>
  <c r="O28" i="85"/>
  <c r="P28" i="85"/>
  <c r="Q28" i="85"/>
  <c r="R28" i="85"/>
  <c r="S28" i="85"/>
  <c r="T28" i="85"/>
  <c r="U28" i="85"/>
  <c r="V28" i="85"/>
  <c r="W28" i="85"/>
  <c r="X28" i="85"/>
  <c r="Y28" i="85"/>
  <c r="Z28" i="85"/>
  <c r="AA28" i="85"/>
  <c r="AB28" i="85"/>
  <c r="AC28" i="85"/>
  <c r="AD28" i="85"/>
  <c r="AE28" i="85"/>
  <c r="AF28" i="85"/>
  <c r="AG28" i="85"/>
  <c r="AH28" i="85"/>
  <c r="AI28" i="85"/>
  <c r="AJ28" i="85"/>
  <c r="AK28" i="85"/>
  <c r="AL28" i="85"/>
  <c r="AM28" i="85"/>
  <c r="AN28" i="85"/>
  <c r="AO28" i="85"/>
  <c r="AP28" i="85"/>
  <c r="AQ28" i="85"/>
  <c r="AR28" i="85"/>
  <c r="AS28" i="85"/>
  <c r="AT28" i="85"/>
  <c r="B29" i="85"/>
  <c r="C29" i="85"/>
  <c r="D29" i="85"/>
  <c r="E29" i="85"/>
  <c r="F29" i="85"/>
  <c r="G29" i="85"/>
  <c r="H29" i="85"/>
  <c r="I29" i="85"/>
  <c r="J29" i="85"/>
  <c r="K29" i="85"/>
  <c r="L29" i="85"/>
  <c r="M29" i="85"/>
  <c r="N29" i="85"/>
  <c r="O29" i="85"/>
  <c r="P29" i="85"/>
  <c r="Q29" i="85"/>
  <c r="R29" i="85"/>
  <c r="S29" i="85"/>
  <c r="T29" i="85"/>
  <c r="U29" i="85"/>
  <c r="V29" i="85"/>
  <c r="W29" i="85"/>
  <c r="X29" i="85"/>
  <c r="Y29" i="85"/>
  <c r="Z29" i="85"/>
  <c r="AA29" i="85"/>
  <c r="AB29" i="85"/>
  <c r="AC29" i="85"/>
  <c r="AD29" i="85"/>
  <c r="AE29" i="85"/>
  <c r="AF29" i="85"/>
  <c r="AG29" i="85"/>
  <c r="AH29" i="85"/>
  <c r="AI29" i="85"/>
  <c r="AJ29" i="85"/>
  <c r="AK29" i="85"/>
  <c r="AL29" i="85"/>
  <c r="AM29" i="85"/>
  <c r="AN29" i="85"/>
  <c r="AO29" i="85"/>
  <c r="AP29" i="85"/>
  <c r="AQ29" i="85"/>
  <c r="AR29" i="85"/>
  <c r="AS29" i="85"/>
  <c r="AT29" i="85"/>
  <c r="B30" i="85"/>
  <c r="C30" i="85"/>
  <c r="D30" i="85"/>
  <c r="E30" i="85"/>
  <c r="F30" i="85"/>
  <c r="G30" i="85"/>
  <c r="H30" i="85"/>
  <c r="I30" i="85"/>
  <c r="J30" i="85"/>
  <c r="K30" i="85"/>
  <c r="L30" i="85"/>
  <c r="M30" i="85"/>
  <c r="N30" i="85"/>
  <c r="O30" i="85"/>
  <c r="P30" i="85"/>
  <c r="Q30" i="85"/>
  <c r="R30" i="85"/>
  <c r="S30" i="85"/>
  <c r="T30" i="85"/>
  <c r="U30" i="85"/>
  <c r="V30" i="85"/>
  <c r="W30" i="85"/>
  <c r="X30" i="85"/>
  <c r="Y30" i="85"/>
  <c r="Z30" i="85"/>
  <c r="AA30" i="85"/>
  <c r="AB30" i="85"/>
  <c r="AC30" i="85"/>
  <c r="AD30" i="85"/>
  <c r="AE30" i="85"/>
  <c r="AF30" i="85"/>
  <c r="AG30" i="85"/>
  <c r="AH30" i="85"/>
  <c r="AI30" i="85"/>
  <c r="AJ30" i="85"/>
  <c r="AK30" i="85"/>
  <c r="AL30" i="85"/>
  <c r="AM30" i="85"/>
  <c r="AN30" i="85"/>
  <c r="AO30" i="85"/>
  <c r="AP30" i="85"/>
  <c r="AQ30" i="85"/>
  <c r="AR30" i="85"/>
  <c r="AS30" i="85"/>
  <c r="AT30" i="85"/>
  <c r="B31" i="85"/>
  <c r="C31" i="85"/>
  <c r="D31" i="85"/>
  <c r="E31" i="85"/>
  <c r="F31" i="85"/>
  <c r="G31" i="85"/>
  <c r="H31" i="85"/>
  <c r="I31" i="85"/>
  <c r="J31" i="85"/>
  <c r="K31" i="85"/>
  <c r="L31" i="85"/>
  <c r="M31" i="85"/>
  <c r="N31" i="85"/>
  <c r="O31" i="85"/>
  <c r="P31" i="85"/>
  <c r="Q31" i="85"/>
  <c r="R31" i="85"/>
  <c r="S31" i="85"/>
  <c r="T31" i="85"/>
  <c r="U31" i="85"/>
  <c r="V31" i="85"/>
  <c r="W31" i="85"/>
  <c r="X31" i="85"/>
  <c r="Y31" i="85"/>
  <c r="Z31" i="85"/>
  <c r="AA31" i="85"/>
  <c r="AB31" i="85"/>
  <c r="AC31" i="85"/>
  <c r="AD31" i="85"/>
  <c r="AE31" i="85"/>
  <c r="AF31" i="85"/>
  <c r="AG31" i="85"/>
  <c r="AH31" i="85"/>
  <c r="AI31" i="85"/>
  <c r="AJ31" i="85"/>
  <c r="AK31" i="85"/>
  <c r="AL31" i="85"/>
  <c r="AM31" i="85"/>
  <c r="AN31" i="85"/>
  <c r="AO31" i="85"/>
  <c r="AP31" i="85"/>
  <c r="AQ31" i="85"/>
  <c r="AR31" i="85"/>
  <c r="AS31" i="85"/>
  <c r="AT31" i="85"/>
  <c r="B32" i="85"/>
  <c r="C32" i="85"/>
  <c r="D32" i="85"/>
  <c r="E32" i="85"/>
  <c r="F32" i="85"/>
  <c r="G32" i="85"/>
  <c r="H32" i="85"/>
  <c r="I32" i="85"/>
  <c r="J32" i="85"/>
  <c r="K32" i="85"/>
  <c r="L32" i="85"/>
  <c r="M32" i="85"/>
  <c r="N32" i="85"/>
  <c r="O32" i="85"/>
  <c r="P32" i="85"/>
  <c r="Q32" i="85"/>
  <c r="R32" i="85"/>
  <c r="S32" i="85"/>
  <c r="T32" i="85"/>
  <c r="U32" i="85"/>
  <c r="V32" i="85"/>
  <c r="W32" i="85"/>
  <c r="X32" i="85"/>
  <c r="Y32" i="85"/>
  <c r="Z32" i="85"/>
  <c r="AA32" i="85"/>
  <c r="AB32" i="85"/>
  <c r="AC32" i="85"/>
  <c r="AD32" i="85"/>
  <c r="AE32" i="85"/>
  <c r="AF32" i="85"/>
  <c r="AG32" i="85"/>
  <c r="AH32" i="85"/>
  <c r="AI32" i="85"/>
  <c r="AJ32" i="85"/>
  <c r="AK32" i="85"/>
  <c r="AL32" i="85"/>
  <c r="AM32" i="85"/>
  <c r="AN32" i="85"/>
  <c r="AO32" i="85"/>
  <c r="AP32" i="85"/>
  <c r="AQ32" i="85"/>
  <c r="AR32" i="85"/>
  <c r="AS32" i="85"/>
  <c r="AT32" i="85"/>
  <c r="B33" i="85"/>
  <c r="C33" i="85"/>
  <c r="D33" i="85"/>
  <c r="E33" i="85"/>
  <c r="F33" i="85"/>
  <c r="G33" i="85"/>
  <c r="H33" i="85"/>
  <c r="I33" i="85"/>
  <c r="J33" i="85"/>
  <c r="K33" i="85"/>
  <c r="L33" i="85"/>
  <c r="M33" i="85"/>
  <c r="N33" i="85"/>
  <c r="O33" i="85"/>
  <c r="P33" i="85"/>
  <c r="Q33" i="85"/>
  <c r="R33" i="85"/>
  <c r="S33" i="85"/>
  <c r="T33" i="85"/>
  <c r="U33" i="85"/>
  <c r="V33" i="85"/>
  <c r="W33" i="85"/>
  <c r="X33" i="85"/>
  <c r="Y33" i="85"/>
  <c r="Z33" i="85"/>
  <c r="AA33" i="85"/>
  <c r="AB33" i="85"/>
  <c r="AC33" i="85"/>
  <c r="AD33" i="85"/>
  <c r="AE33" i="85"/>
  <c r="AF33" i="85"/>
  <c r="AG33" i="85"/>
  <c r="AH33" i="85"/>
  <c r="AI33" i="85"/>
  <c r="AJ33" i="85"/>
  <c r="AK33" i="85"/>
  <c r="AL33" i="85"/>
  <c r="AM33" i="85"/>
  <c r="AN33" i="85"/>
  <c r="AO33" i="85"/>
  <c r="AP33" i="85"/>
  <c r="AQ33" i="85"/>
  <c r="AR33" i="85"/>
  <c r="AS33" i="85"/>
  <c r="AT33" i="85"/>
  <c r="B4" i="85"/>
  <c r="C4" i="85"/>
  <c r="D4" i="85"/>
  <c r="E4" i="85"/>
  <c r="F4" i="85"/>
  <c r="G4" i="85"/>
  <c r="H4" i="85"/>
  <c r="I4" i="85"/>
  <c r="J4" i="85"/>
  <c r="K4" i="85"/>
  <c r="L4" i="85"/>
  <c r="M4" i="85"/>
  <c r="N4" i="85"/>
  <c r="O4" i="85"/>
  <c r="P4" i="85"/>
  <c r="Q4" i="85"/>
  <c r="R4" i="85"/>
  <c r="S4" i="85"/>
  <c r="T4" i="85"/>
  <c r="U4" i="85"/>
  <c r="V4" i="85"/>
  <c r="W4" i="85"/>
  <c r="X4" i="85"/>
  <c r="Y4" i="85"/>
  <c r="Z4" i="85"/>
  <c r="AA4" i="85"/>
  <c r="AB4" i="85"/>
  <c r="AC4" i="85"/>
  <c r="AD4" i="85"/>
  <c r="AE4" i="85"/>
  <c r="AF4" i="85"/>
  <c r="AG4" i="85"/>
  <c r="AH4" i="85"/>
  <c r="AI4" i="85"/>
  <c r="AJ4" i="85"/>
  <c r="AK4" i="85"/>
  <c r="AL4" i="85"/>
  <c r="AM4" i="85"/>
  <c r="AN4" i="85"/>
  <c r="AO4" i="85"/>
  <c r="AP4" i="85"/>
  <c r="AQ4" i="85"/>
  <c r="AR4" i="85"/>
  <c r="AS4" i="85"/>
  <c r="AT4" i="85"/>
  <c r="B5" i="85"/>
  <c r="C5" i="85"/>
  <c r="D5" i="85"/>
  <c r="E5" i="85"/>
  <c r="F5" i="85"/>
  <c r="G5" i="85"/>
  <c r="H5" i="85"/>
  <c r="I5" i="85"/>
  <c r="J5" i="85"/>
  <c r="K5" i="85"/>
  <c r="L5" i="85"/>
  <c r="M5" i="85"/>
  <c r="N5" i="85"/>
  <c r="O5" i="85"/>
  <c r="P5" i="85"/>
  <c r="Q5" i="85"/>
  <c r="R5" i="85"/>
  <c r="S5" i="85"/>
  <c r="T5" i="85"/>
  <c r="U5" i="85"/>
  <c r="V5" i="85"/>
  <c r="W5" i="85"/>
  <c r="X5" i="85"/>
  <c r="Y5" i="85"/>
  <c r="Z5" i="85"/>
  <c r="AA5" i="85"/>
  <c r="AB5" i="85"/>
  <c r="AC5" i="85"/>
  <c r="AD5" i="85"/>
  <c r="AE5" i="85"/>
  <c r="AF5" i="85"/>
  <c r="AG5" i="85"/>
  <c r="AH5" i="85"/>
  <c r="AI5" i="85"/>
  <c r="AJ5" i="85"/>
  <c r="AK5" i="85"/>
  <c r="AL5" i="85"/>
  <c r="AM5" i="85"/>
  <c r="AN5" i="85"/>
  <c r="AO5" i="85"/>
  <c r="AP5" i="85"/>
  <c r="AQ5" i="85"/>
  <c r="AR5" i="85"/>
  <c r="AS5" i="85"/>
  <c r="AT5" i="85"/>
  <c r="B6" i="85"/>
  <c r="C6" i="85"/>
  <c r="D6" i="85"/>
  <c r="E6" i="85"/>
  <c r="F6" i="85"/>
  <c r="G6" i="85"/>
  <c r="H6" i="85"/>
  <c r="I6" i="85"/>
  <c r="J6" i="85"/>
  <c r="K6" i="85"/>
  <c r="L6" i="85"/>
  <c r="M6" i="85"/>
  <c r="N6" i="85"/>
  <c r="O6" i="85"/>
  <c r="P6" i="85"/>
  <c r="Q6" i="85"/>
  <c r="R6" i="85"/>
  <c r="S6" i="85"/>
  <c r="T6" i="85"/>
  <c r="U6" i="85"/>
  <c r="V6" i="85"/>
  <c r="W6" i="85"/>
  <c r="X6" i="85"/>
  <c r="Y6" i="85"/>
  <c r="Z6" i="85"/>
  <c r="AA6" i="85"/>
  <c r="AB6" i="85"/>
  <c r="AC6" i="85"/>
  <c r="AD6" i="85"/>
  <c r="AE6" i="85"/>
  <c r="AF6" i="85"/>
  <c r="AG6" i="85"/>
  <c r="AH6" i="85"/>
  <c r="AI6" i="85"/>
  <c r="AJ6" i="85"/>
  <c r="AK6" i="85"/>
  <c r="AL6" i="85"/>
  <c r="AM6" i="85"/>
  <c r="AN6" i="85"/>
  <c r="AO6" i="85"/>
  <c r="AP6" i="85"/>
  <c r="AQ6" i="85"/>
  <c r="AR6" i="85"/>
  <c r="AS6" i="85"/>
  <c r="AT6" i="85"/>
  <c r="B7" i="85"/>
  <c r="C7" i="85"/>
  <c r="D7" i="85"/>
  <c r="E7" i="85"/>
  <c r="F7" i="85"/>
  <c r="G7" i="85"/>
  <c r="H7" i="85"/>
  <c r="I7" i="85"/>
  <c r="J7" i="85"/>
  <c r="K7" i="85"/>
  <c r="L7" i="85"/>
  <c r="M7" i="85"/>
  <c r="N7" i="85"/>
  <c r="O7" i="85"/>
  <c r="P7" i="85"/>
  <c r="Q7" i="85"/>
  <c r="R7" i="85"/>
  <c r="S7" i="85"/>
  <c r="T7" i="85"/>
  <c r="U7" i="85"/>
  <c r="V7" i="85"/>
  <c r="W7" i="85"/>
  <c r="X7" i="85"/>
  <c r="Y7" i="85"/>
  <c r="Z7" i="85"/>
  <c r="AA7" i="85"/>
  <c r="AB7" i="85"/>
  <c r="AC7" i="85"/>
  <c r="AD7" i="85"/>
  <c r="AE7" i="85"/>
  <c r="AF7" i="85"/>
  <c r="AG7" i="85"/>
  <c r="AH7" i="85"/>
  <c r="AI7" i="85"/>
  <c r="AJ7" i="85"/>
  <c r="AK7" i="85"/>
  <c r="AL7" i="85"/>
  <c r="AM7" i="85"/>
  <c r="AN7" i="85"/>
  <c r="AO7" i="85"/>
  <c r="AP7" i="85"/>
  <c r="AQ7" i="85"/>
  <c r="AR7" i="85"/>
  <c r="AS7" i="85"/>
  <c r="AT7" i="85"/>
  <c r="B8" i="85"/>
  <c r="C8" i="85"/>
  <c r="D8" i="85"/>
  <c r="E8" i="85"/>
  <c r="F8" i="85"/>
  <c r="G8" i="85"/>
  <c r="H8" i="85"/>
  <c r="I8" i="85"/>
  <c r="J8" i="85"/>
  <c r="K8" i="85"/>
  <c r="L8" i="85"/>
  <c r="M8" i="85"/>
  <c r="N8" i="85"/>
  <c r="O8" i="85"/>
  <c r="P8" i="85"/>
  <c r="Q8" i="85"/>
  <c r="R8" i="85"/>
  <c r="S8" i="85"/>
  <c r="T8" i="85"/>
  <c r="U8" i="85"/>
  <c r="V8" i="85"/>
  <c r="W8" i="85"/>
  <c r="X8" i="85"/>
  <c r="Y8" i="85"/>
  <c r="Z8" i="85"/>
  <c r="AA8" i="85"/>
  <c r="AB8" i="85"/>
  <c r="AC8" i="85"/>
  <c r="AD8" i="85"/>
  <c r="AE8" i="85"/>
  <c r="AF8" i="85"/>
  <c r="AG8" i="85"/>
  <c r="AH8" i="85"/>
  <c r="AI8" i="85"/>
  <c r="AJ8" i="85"/>
  <c r="AK8" i="85"/>
  <c r="AL8" i="85"/>
  <c r="AM8" i="85"/>
  <c r="AN8" i="85"/>
  <c r="AO8" i="85"/>
  <c r="AP8" i="85"/>
  <c r="AQ8" i="85"/>
  <c r="AR8" i="85"/>
  <c r="AS8" i="85"/>
  <c r="AT8" i="85"/>
  <c r="B9" i="85"/>
  <c r="C9" i="85"/>
  <c r="D9" i="85"/>
  <c r="E9" i="85"/>
  <c r="F9" i="85"/>
  <c r="G9" i="85"/>
  <c r="H9" i="85"/>
  <c r="I9" i="85"/>
  <c r="J9" i="85"/>
  <c r="K9" i="85"/>
  <c r="L9" i="85"/>
  <c r="M9" i="85"/>
  <c r="N9" i="85"/>
  <c r="O9" i="85"/>
  <c r="P9" i="85"/>
  <c r="Q9" i="85"/>
  <c r="R9" i="85"/>
  <c r="S9" i="85"/>
  <c r="T9" i="85"/>
  <c r="U9" i="85"/>
  <c r="V9" i="85"/>
  <c r="W9" i="85"/>
  <c r="X9" i="85"/>
  <c r="Y9" i="85"/>
  <c r="Z9" i="85"/>
  <c r="AA9" i="85"/>
  <c r="AB9" i="85"/>
  <c r="AC9" i="85"/>
  <c r="AD9" i="85"/>
  <c r="AE9" i="85"/>
  <c r="AF9" i="85"/>
  <c r="AG9" i="85"/>
  <c r="AH9" i="85"/>
  <c r="AI9" i="85"/>
  <c r="AJ9" i="85"/>
  <c r="AK9" i="85"/>
  <c r="AL9" i="85"/>
  <c r="AM9" i="85"/>
  <c r="AN9" i="85"/>
  <c r="AO9" i="85"/>
  <c r="AP9" i="85"/>
  <c r="AQ9" i="85"/>
  <c r="AR9" i="85"/>
  <c r="AS9" i="85"/>
  <c r="AT9" i="85"/>
  <c r="B10" i="85"/>
  <c r="C10" i="85"/>
  <c r="D10" i="85"/>
  <c r="E10" i="85"/>
  <c r="F10" i="85"/>
  <c r="G10" i="85"/>
  <c r="H10" i="85"/>
  <c r="I10" i="85"/>
  <c r="J10" i="85"/>
  <c r="K10" i="85"/>
  <c r="L10" i="85"/>
  <c r="M10" i="85"/>
  <c r="N10" i="85"/>
  <c r="O10" i="85"/>
  <c r="P10" i="85"/>
  <c r="Q10" i="85"/>
  <c r="R10" i="85"/>
  <c r="S10" i="85"/>
  <c r="T10" i="85"/>
  <c r="U10" i="85"/>
  <c r="V10" i="85"/>
  <c r="W10" i="85"/>
  <c r="X10" i="85"/>
  <c r="Y10" i="85"/>
  <c r="Z10" i="85"/>
  <c r="AA10" i="85"/>
  <c r="AB10" i="85"/>
  <c r="AC10" i="85"/>
  <c r="AD10" i="85"/>
  <c r="AE10" i="85"/>
  <c r="AF10" i="85"/>
  <c r="AG10" i="85"/>
  <c r="AH10" i="85"/>
  <c r="AI10" i="85"/>
  <c r="AJ10" i="85"/>
  <c r="AK10" i="85"/>
  <c r="AL10" i="85"/>
  <c r="AM10" i="85"/>
  <c r="AN10" i="85"/>
  <c r="AO10" i="85"/>
  <c r="AP10" i="85"/>
  <c r="AQ10" i="85"/>
  <c r="AR10" i="85"/>
  <c r="AS10" i="85"/>
  <c r="AT10" i="85"/>
  <c r="B11" i="85"/>
  <c r="C11" i="85"/>
  <c r="D11" i="85"/>
  <c r="E11" i="85"/>
  <c r="F11" i="85"/>
  <c r="G11" i="85"/>
  <c r="H11" i="85"/>
  <c r="I11" i="85"/>
  <c r="J11" i="85"/>
  <c r="K11" i="85"/>
  <c r="L11" i="85"/>
  <c r="M11" i="85"/>
  <c r="N11" i="85"/>
  <c r="O11" i="85"/>
  <c r="P11" i="85"/>
  <c r="Q11" i="85"/>
  <c r="R11" i="85"/>
  <c r="S11" i="85"/>
  <c r="T11" i="85"/>
  <c r="U11" i="85"/>
  <c r="V11" i="85"/>
  <c r="W11" i="85"/>
  <c r="X11" i="85"/>
  <c r="Y11" i="85"/>
  <c r="Z11" i="85"/>
  <c r="AA11" i="85"/>
  <c r="AB11" i="85"/>
  <c r="AC11" i="85"/>
  <c r="AD11" i="85"/>
  <c r="AE11" i="85"/>
  <c r="AF11" i="85"/>
  <c r="AG11" i="85"/>
  <c r="AH11" i="85"/>
  <c r="AI11" i="85"/>
  <c r="AJ11" i="85"/>
  <c r="AK11" i="85"/>
  <c r="AL11" i="85"/>
  <c r="AM11" i="85"/>
  <c r="AN11" i="85"/>
  <c r="AO11" i="85"/>
  <c r="AP11" i="85"/>
  <c r="AQ11" i="85"/>
  <c r="AR11" i="85"/>
  <c r="AS11" i="85"/>
  <c r="AT11" i="85"/>
  <c r="B12" i="85"/>
  <c r="C12" i="85"/>
  <c r="D12" i="85"/>
  <c r="E12" i="85"/>
  <c r="F12" i="85"/>
  <c r="G12" i="85"/>
  <c r="H12" i="85"/>
  <c r="I12" i="85"/>
  <c r="J12" i="85"/>
  <c r="K12" i="85"/>
  <c r="L12" i="85"/>
  <c r="M12" i="85"/>
  <c r="N12" i="85"/>
  <c r="O12" i="85"/>
  <c r="P12" i="85"/>
  <c r="Q12" i="85"/>
  <c r="R12" i="85"/>
  <c r="S12" i="85"/>
  <c r="T12" i="85"/>
  <c r="U12" i="85"/>
  <c r="V12" i="85"/>
  <c r="W12" i="85"/>
  <c r="X12" i="85"/>
  <c r="Y12" i="85"/>
  <c r="Z12" i="85"/>
  <c r="AA12" i="85"/>
  <c r="AB12" i="85"/>
  <c r="AC12" i="85"/>
  <c r="AD12" i="85"/>
  <c r="AE12" i="85"/>
  <c r="AF12" i="85"/>
  <c r="AG12" i="85"/>
  <c r="AH12" i="85"/>
  <c r="AI12" i="85"/>
  <c r="AJ12" i="85"/>
  <c r="AK12" i="85"/>
  <c r="AL12" i="85"/>
  <c r="AM12" i="85"/>
  <c r="AN12" i="85"/>
  <c r="AO12" i="85"/>
  <c r="AP12" i="85"/>
  <c r="AQ12" i="85"/>
  <c r="AR12" i="85"/>
  <c r="AS12" i="85"/>
  <c r="AT12" i="85"/>
  <c r="B13" i="85"/>
  <c r="C13" i="85"/>
  <c r="D13" i="85"/>
  <c r="E13" i="85"/>
  <c r="F13" i="85"/>
  <c r="G13" i="85"/>
  <c r="H13" i="85"/>
  <c r="I13" i="85"/>
  <c r="J13" i="85"/>
  <c r="K13" i="85"/>
  <c r="L13" i="85"/>
  <c r="M13" i="85"/>
  <c r="N13" i="85"/>
  <c r="O13" i="85"/>
  <c r="P13" i="85"/>
  <c r="Q13" i="85"/>
  <c r="R13" i="85"/>
  <c r="S13" i="85"/>
  <c r="T13" i="85"/>
  <c r="U13" i="85"/>
  <c r="V13" i="85"/>
  <c r="W13" i="85"/>
  <c r="X13" i="85"/>
  <c r="Y13" i="85"/>
  <c r="Z13" i="85"/>
  <c r="AA13" i="85"/>
  <c r="AB13" i="85"/>
  <c r="AC13" i="85"/>
  <c r="AD13" i="85"/>
  <c r="AE13" i="85"/>
  <c r="AF13" i="85"/>
  <c r="AG13" i="85"/>
  <c r="AH13" i="85"/>
  <c r="AI13" i="85"/>
  <c r="AJ13" i="85"/>
  <c r="AK13" i="85"/>
  <c r="AL13" i="85"/>
  <c r="AM13" i="85"/>
  <c r="AN13" i="85"/>
  <c r="AO13" i="85"/>
  <c r="AP13" i="85"/>
  <c r="AQ13" i="85"/>
  <c r="AR13" i="85"/>
  <c r="AS13" i="85"/>
  <c r="AT13" i="85"/>
  <c r="B14" i="85"/>
  <c r="D14" i="85"/>
  <c r="E14" i="85"/>
  <c r="F14" i="85"/>
  <c r="G14" i="85"/>
  <c r="H14" i="85"/>
  <c r="I14" i="85"/>
  <c r="J14" i="85"/>
  <c r="K14" i="85"/>
  <c r="L14" i="85"/>
  <c r="M14" i="85"/>
  <c r="N14" i="85"/>
  <c r="O14" i="85"/>
  <c r="P14" i="85"/>
  <c r="Q14" i="85"/>
  <c r="R14" i="85"/>
  <c r="S14" i="85"/>
  <c r="T14" i="85"/>
  <c r="U14" i="85"/>
  <c r="V14" i="85"/>
  <c r="W14" i="85"/>
  <c r="X14" i="85"/>
  <c r="Y14" i="85"/>
  <c r="Z14" i="85"/>
  <c r="AA14" i="85"/>
  <c r="AB14" i="85"/>
  <c r="AC14" i="85"/>
  <c r="AD14" i="85"/>
  <c r="AE14" i="85"/>
  <c r="AF14" i="85"/>
  <c r="AG14" i="85"/>
  <c r="AH14" i="85"/>
  <c r="AI14" i="85"/>
  <c r="AJ14" i="85"/>
  <c r="AK14" i="85"/>
  <c r="AL14" i="85"/>
  <c r="AM14" i="85"/>
  <c r="AN14" i="85"/>
  <c r="AO14" i="85"/>
  <c r="AP14" i="85"/>
  <c r="AQ14" i="85"/>
  <c r="AR14" i="85"/>
  <c r="AS14" i="85"/>
  <c r="AT14" i="85"/>
  <c r="B15" i="85"/>
  <c r="C15" i="85"/>
  <c r="D15" i="85"/>
  <c r="E15" i="85"/>
  <c r="F15" i="85"/>
  <c r="G15" i="85"/>
  <c r="H15" i="85"/>
  <c r="I15" i="85"/>
  <c r="J15" i="85"/>
  <c r="K15" i="85"/>
  <c r="L15" i="85"/>
  <c r="M15" i="85"/>
  <c r="N15" i="85"/>
  <c r="O15" i="85"/>
  <c r="P15" i="85"/>
  <c r="Q15" i="85"/>
  <c r="R15" i="85"/>
  <c r="S15" i="85"/>
  <c r="T15" i="85"/>
  <c r="U15" i="85"/>
  <c r="V15" i="85"/>
  <c r="W15" i="85"/>
  <c r="X15" i="85"/>
  <c r="Y15" i="85"/>
  <c r="Z15" i="85"/>
  <c r="AA15" i="85"/>
  <c r="AB15" i="85"/>
  <c r="AC15" i="85"/>
  <c r="AD15" i="85"/>
  <c r="AE15" i="85"/>
  <c r="AF15" i="85"/>
  <c r="AG15" i="85"/>
  <c r="AH15" i="85"/>
  <c r="AI15" i="85"/>
  <c r="AJ15" i="85"/>
  <c r="AK15" i="85"/>
  <c r="AL15" i="85"/>
  <c r="AM15" i="85"/>
  <c r="AN15" i="85"/>
  <c r="AO15" i="85"/>
  <c r="AP15" i="85"/>
  <c r="AQ15" i="85"/>
  <c r="AR15" i="85"/>
  <c r="AS15" i="85"/>
  <c r="AT15" i="85"/>
  <c r="B16" i="85"/>
  <c r="C16" i="85"/>
  <c r="D16" i="85"/>
  <c r="E16" i="85"/>
  <c r="F16" i="85"/>
  <c r="G16" i="85"/>
  <c r="H16" i="85"/>
  <c r="I16" i="85"/>
  <c r="J16" i="85"/>
  <c r="K16" i="85"/>
  <c r="L16" i="85"/>
  <c r="M16" i="85"/>
  <c r="N16" i="85"/>
  <c r="O16" i="85"/>
  <c r="P16" i="85"/>
  <c r="Q16" i="85"/>
  <c r="R16" i="85"/>
  <c r="S16" i="85"/>
  <c r="T16" i="85"/>
  <c r="U16" i="85"/>
  <c r="V16" i="85"/>
  <c r="W16" i="85"/>
  <c r="X16" i="85"/>
  <c r="Y16" i="85"/>
  <c r="Z16" i="85"/>
  <c r="AA16" i="85"/>
  <c r="AB16" i="85"/>
  <c r="AC16" i="85"/>
  <c r="AD16" i="85"/>
  <c r="AE16" i="85"/>
  <c r="AF16" i="85"/>
  <c r="AG16" i="85"/>
  <c r="AH16" i="85"/>
  <c r="AI16" i="85"/>
  <c r="AJ16" i="85"/>
  <c r="AK16" i="85"/>
  <c r="AL16" i="85"/>
  <c r="AM16" i="85"/>
  <c r="AN16" i="85"/>
  <c r="AO16" i="85"/>
  <c r="AP16" i="85"/>
  <c r="AQ16" i="85"/>
  <c r="AR16" i="85"/>
  <c r="AS16" i="85"/>
  <c r="AT16" i="85"/>
  <c r="B17" i="85"/>
  <c r="C17" i="85"/>
  <c r="D17" i="85"/>
  <c r="E17" i="85"/>
  <c r="F17" i="85"/>
  <c r="G17" i="85"/>
  <c r="H17" i="85"/>
  <c r="I17" i="85"/>
  <c r="J17" i="85"/>
  <c r="K17" i="85"/>
  <c r="L17" i="85"/>
  <c r="M17" i="85"/>
  <c r="N17" i="85"/>
  <c r="O17" i="85"/>
  <c r="P17" i="85"/>
  <c r="Q17" i="85"/>
  <c r="R17" i="85"/>
  <c r="S17" i="85"/>
  <c r="T17" i="85"/>
  <c r="U17" i="85"/>
  <c r="V17" i="85"/>
  <c r="W17" i="85"/>
  <c r="X17" i="85"/>
  <c r="Y17" i="85"/>
  <c r="Z17" i="85"/>
  <c r="AA17" i="85"/>
  <c r="AB17" i="85"/>
  <c r="AC17" i="85"/>
  <c r="AD17" i="85"/>
  <c r="AE17" i="85"/>
  <c r="AF17" i="85"/>
  <c r="AG17" i="85"/>
  <c r="AH17" i="85"/>
  <c r="AI17" i="85"/>
  <c r="AJ17" i="85"/>
  <c r="AK17" i="85"/>
  <c r="AL17" i="85"/>
  <c r="AM17" i="85"/>
  <c r="AN17" i="85"/>
  <c r="AO17" i="85"/>
  <c r="AP17" i="85"/>
  <c r="AQ17" i="85"/>
  <c r="AR17" i="85"/>
  <c r="AS17" i="85"/>
  <c r="AT17" i="85"/>
  <c r="B18" i="85"/>
  <c r="C18" i="85"/>
  <c r="D18" i="85"/>
  <c r="E18" i="85"/>
  <c r="F18" i="85"/>
  <c r="G18" i="85"/>
  <c r="H18" i="85"/>
  <c r="I18" i="85"/>
  <c r="J18" i="85"/>
  <c r="K18" i="85"/>
  <c r="L18" i="85"/>
  <c r="M18" i="85"/>
  <c r="N18" i="85"/>
  <c r="O18" i="85"/>
  <c r="P18" i="85"/>
  <c r="Q18" i="85"/>
  <c r="R18" i="85"/>
  <c r="S18" i="85"/>
  <c r="T18" i="85"/>
  <c r="U18" i="85"/>
  <c r="V18" i="85"/>
  <c r="W18" i="85"/>
  <c r="X18" i="85"/>
  <c r="Y18" i="85"/>
  <c r="Z18" i="85"/>
  <c r="AA18" i="85"/>
  <c r="AB18" i="85"/>
  <c r="AC18" i="85"/>
  <c r="AD18" i="85"/>
  <c r="AE18" i="85"/>
  <c r="AF18" i="85"/>
  <c r="AG18" i="85"/>
  <c r="AH18" i="85"/>
  <c r="AI18" i="85"/>
  <c r="AJ18" i="85"/>
  <c r="AK18" i="85"/>
  <c r="AL18" i="85"/>
  <c r="AM18" i="85"/>
  <c r="AN18" i="85"/>
  <c r="AO18" i="85"/>
  <c r="AP18" i="85"/>
  <c r="AQ18" i="85"/>
  <c r="AR18" i="85"/>
  <c r="AS18" i="85"/>
  <c r="AT18" i="85"/>
  <c r="C3" i="85"/>
  <c r="D3" i="85"/>
  <c r="E3" i="85"/>
  <c r="F3" i="85"/>
  <c r="G3" i="85"/>
  <c r="H3" i="85"/>
  <c r="I3" i="85"/>
  <c r="J3" i="85"/>
  <c r="K3" i="85"/>
  <c r="L3" i="85"/>
  <c r="M3" i="85"/>
  <c r="N3" i="85"/>
  <c r="O3" i="85"/>
  <c r="P3" i="85"/>
  <c r="Q3" i="85"/>
  <c r="R3" i="85"/>
  <c r="S3" i="85"/>
  <c r="T3" i="85"/>
  <c r="U3" i="85"/>
  <c r="V3" i="85"/>
  <c r="W3" i="85"/>
  <c r="X3" i="85"/>
  <c r="Y3" i="85"/>
  <c r="Z3" i="85"/>
  <c r="AA3" i="85"/>
  <c r="AB3" i="85"/>
  <c r="AC3" i="85"/>
  <c r="AD3" i="85"/>
  <c r="AE3" i="85"/>
  <c r="AF3" i="85"/>
  <c r="AG3" i="85"/>
  <c r="AH3" i="85"/>
  <c r="AI3" i="85"/>
  <c r="AJ3" i="85"/>
  <c r="AK3" i="85"/>
  <c r="AL3" i="85"/>
  <c r="AM3" i="85"/>
  <c r="AN3" i="85"/>
  <c r="AO3" i="85"/>
  <c r="AP3" i="85"/>
  <c r="AQ3" i="85"/>
  <c r="AR3" i="85"/>
  <c r="AS3" i="85"/>
  <c r="AT3" i="85"/>
  <c r="B3" i="85"/>
  <c r="E65" i="73" l="1"/>
  <c r="I65" i="73"/>
  <c r="M65" i="73"/>
  <c r="Q65" i="73"/>
  <c r="U65" i="73"/>
  <c r="Y65" i="73"/>
  <c r="AC65" i="73"/>
  <c r="D66" i="73"/>
  <c r="H66" i="73"/>
  <c r="L66" i="73"/>
  <c r="P66" i="73"/>
  <c r="T66" i="73"/>
  <c r="X66" i="73"/>
  <c r="AB66" i="73"/>
  <c r="B65" i="73"/>
  <c r="AD31" i="73" s="1"/>
  <c r="F65" i="73"/>
  <c r="J65" i="73"/>
  <c r="N65" i="73"/>
  <c r="R65" i="73"/>
  <c r="V65" i="73"/>
  <c r="Z65" i="73"/>
  <c r="I66" i="73"/>
  <c r="M66" i="73"/>
  <c r="Q66" i="73"/>
  <c r="U66" i="73"/>
  <c r="Y66" i="73"/>
  <c r="AC66" i="73"/>
  <c r="AD65" i="73"/>
  <c r="C65" i="73"/>
  <c r="G65" i="73"/>
  <c r="K65" i="73"/>
  <c r="O65" i="73"/>
  <c r="S65" i="73"/>
  <c r="W65" i="73"/>
  <c r="AA65" i="73"/>
  <c r="B66" i="73"/>
  <c r="AD32" i="73" s="1"/>
  <c r="F66" i="73"/>
  <c r="J66" i="73"/>
  <c r="N66" i="73"/>
  <c r="R66" i="73"/>
  <c r="V66" i="73"/>
  <c r="Z66" i="73"/>
  <c r="AD66" i="73"/>
  <c r="E66" i="73"/>
  <c r="H65" i="73"/>
  <c r="L65" i="73"/>
  <c r="P65" i="73"/>
  <c r="X65" i="73"/>
  <c r="AB65" i="73"/>
  <c r="C66" i="73"/>
  <c r="G66" i="73"/>
  <c r="K66" i="73"/>
  <c r="O66" i="73"/>
  <c r="S66" i="73"/>
  <c r="W66" i="73"/>
  <c r="AA66" i="73"/>
  <c r="AD32" i="60"/>
  <c r="AC32" i="60"/>
  <c r="AB32" i="60"/>
  <c r="AA32" i="60"/>
  <c r="Z32" i="60"/>
  <c r="Y32" i="60"/>
  <c r="X32" i="60"/>
  <c r="W32" i="60"/>
  <c r="V32" i="60"/>
  <c r="U32" i="60"/>
  <c r="T32" i="60"/>
  <c r="S32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C32" i="60"/>
  <c r="B32" i="60"/>
  <c r="AD31" i="60"/>
  <c r="AC31" i="60"/>
  <c r="AB31" i="60"/>
  <c r="AA31" i="60"/>
  <c r="Z31" i="60"/>
  <c r="Y31" i="60"/>
  <c r="X31" i="60"/>
  <c r="W31" i="60"/>
  <c r="V31" i="60"/>
  <c r="U31" i="60"/>
  <c r="T31" i="60"/>
  <c r="S31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C31" i="60"/>
  <c r="B31" i="60"/>
</calcChain>
</file>

<file path=xl/sharedStrings.xml><?xml version="1.0" encoding="utf-8"?>
<sst xmlns="http://schemas.openxmlformats.org/spreadsheetml/2006/main" count="7456" uniqueCount="842">
  <si>
    <t>http://stockpage.10jqka.com.cn/601012/finance/#finance</t>
  </si>
  <si>
    <t>2. 点击这个链接并在搜索框输入公司的名字：</t>
  </si>
  <si>
    <t>3. 选择财务分析 =&gt; 财务指标</t>
  </si>
  <si>
    <t>4. 本模板中大部分数据都使用单季度财报数据 ，资产负债表使用年度数据。</t>
  </si>
  <si>
    <t xml:space="preserve">6. 将主要指标，资产负债，利润，现金流量的Excel表格全部下载 </t>
  </si>
  <si>
    <r>
      <t>7. 使用这个按钮，将4张Excel表格全部导入这个workbook</t>
    </r>
    <r>
      <rPr>
        <sz val="11"/>
        <color rgb="FFFF0000"/>
        <rFont val="Calibri"/>
        <family val="2"/>
        <scheme val="minor"/>
      </rPr>
      <t xml:space="preserve"> (表格导入顺序按字母排列，必须是 benefit，cash，debt，main)</t>
    </r>
  </si>
  <si>
    <t>8. 使用以下三个按钮，将数据单位转换“亿元”</t>
  </si>
  <si>
    <t>10. 使用以下按钮创建图表</t>
  </si>
  <si>
    <t>1. 这个模板中的数据来源于同花顺个股分析板块.</t>
  </si>
  <si>
    <t>5. 选择 “按年度或按季度”，等待几秒后，使用 “导出数据” 功能下载Excel 表格。</t>
  </si>
  <si>
    <t>科目\时间</t>
  </si>
  <si>
    <t>其中：营业成本(元)</t>
  </si>
  <si>
    <t>销售费用(元)</t>
  </si>
  <si>
    <t>管理费用(元)</t>
  </si>
  <si>
    <t>研发费用(元)</t>
  </si>
  <si>
    <t>财务费用(元)</t>
  </si>
  <si>
    <t>三、营业利润(元)</t>
  </si>
  <si>
    <t>经营活动产生的现金流量净额(元)</t>
  </si>
  <si>
    <t>处置固定资产、无形资产和其他长期资产收回的现金净额(元)</t>
  </si>
  <si>
    <t>购建固定资产、无形资产和其他长期资产支付的现金(元)</t>
  </si>
  <si>
    <t>投资活动产生的现金流量净额(元)</t>
  </si>
  <si>
    <t>筹资活动产生的现金流量净额(元)</t>
  </si>
  <si>
    <t>净利润(元)</t>
  </si>
  <si>
    <t>货币资金(元)</t>
  </si>
  <si>
    <t>流动资产合计(元)</t>
  </si>
  <si>
    <t>固定资产合计(元)</t>
  </si>
  <si>
    <t>非流动资产合计(元)</t>
  </si>
  <si>
    <t>资产合计(元)</t>
  </si>
  <si>
    <t>流动负债合计(元)</t>
  </si>
  <si>
    <t>非流动负债合计(元)</t>
  </si>
  <si>
    <t>负债合计(元)</t>
  </si>
  <si>
    <t>归属于母公司所有者权益合计(元)</t>
  </si>
  <si>
    <t>所有者权益（或股东权益）合计(元)</t>
  </si>
  <si>
    <t>扣非净利润(元)</t>
  </si>
  <si>
    <t>营业总收入(元)</t>
  </si>
  <si>
    <t>9. 提取关键信息</t>
  </si>
  <si>
    <t>自由现金流 (Operating Cashflow Method)</t>
  </si>
  <si>
    <t>毛利 (营业收入减去营业成本)</t>
  </si>
  <si>
    <t>11. 将数据处理完的Excel文件另存，模板本身不要保存直接关掉。</t>
  </si>
  <si>
    <t>净利润同比增长率</t>
  </si>
  <si>
    <t>营业总收入同比增长率</t>
  </si>
  <si>
    <t>基本每股收益(元)</t>
  </si>
  <si>
    <t>销售净利率</t>
  </si>
  <si>
    <t>销售毛利率</t>
  </si>
  <si>
    <t>净资产收益率</t>
  </si>
  <si>
    <t>流动比率</t>
  </si>
  <si>
    <t>速动比率</t>
  </si>
  <si>
    <t>资产负债比率</t>
  </si>
  <si>
    <t>重要比率</t>
  </si>
  <si>
    <t>P/E</t>
  </si>
  <si>
    <t>净资产增长率</t>
  </si>
  <si>
    <t>债务股本比</t>
  </si>
  <si>
    <t>资产收益率</t>
  </si>
  <si>
    <t>营业利润率</t>
  </si>
  <si>
    <t>现金流量比率</t>
  </si>
  <si>
    <t>12. 做出适合变成code的数据</t>
  </si>
  <si>
    <t>2020-09-30</t>
  </si>
  <si>
    <t>2020-06-30</t>
  </si>
  <si>
    <t>2020-03-31</t>
  </si>
  <si>
    <t>2019-12-31</t>
  </si>
  <si>
    <t>2019-09-30</t>
  </si>
  <si>
    <t>2019-06-30</t>
  </si>
  <si>
    <t>2019-03-31</t>
  </si>
  <si>
    <t>2018-12-31</t>
  </si>
  <si>
    <t>2018-09-30</t>
  </si>
  <si>
    <t>2018-06-30</t>
  </si>
  <si>
    <t>2018-03-31</t>
  </si>
  <si>
    <t>2017-12-31</t>
  </si>
  <si>
    <t>2017-09-30</t>
  </si>
  <si>
    <t>2017-06-30</t>
  </si>
  <si>
    <t>2017-03-31</t>
  </si>
  <si>
    <t>2016-12-31</t>
  </si>
  <si>
    <t>2016-09-30</t>
  </si>
  <si>
    <t>2016-06-30</t>
  </si>
  <si>
    <t>2016-03-31</t>
  </si>
  <si>
    <t>2015-12-31</t>
  </si>
  <si>
    <t>2015-09-30</t>
  </si>
  <si>
    <t>2015-06-30</t>
  </si>
  <si>
    <t>2015-03-31</t>
  </si>
  <si>
    <t>2014-12-31</t>
  </si>
  <si>
    <t>2014-09-30</t>
  </si>
  <si>
    <t>2014-06-30</t>
  </si>
  <si>
    <t>2014-03-31</t>
  </si>
  <si>
    <t>2013-12-31</t>
  </si>
  <si>
    <t>2013-09-30</t>
  </si>
  <si>
    <t>2013-06-30</t>
  </si>
  <si>
    <t>2013-03-31</t>
  </si>
  <si>
    <t>2012-12-31</t>
  </si>
  <si>
    <t>2012-09-30</t>
  </si>
  <si>
    <t>2012-06-30</t>
  </si>
  <si>
    <t>2012-03-31</t>
  </si>
  <si>
    <t>2011-12-31</t>
  </si>
  <si>
    <t>2011-09-30</t>
  </si>
  <si>
    <t>2011-06-30</t>
  </si>
  <si>
    <t>2011-03-31</t>
  </si>
  <si>
    <t>2010-12-31</t>
  </si>
  <si>
    <t>2010-09-30</t>
  </si>
  <si>
    <t>2010-06-30</t>
  </si>
  <si>
    <t>2010-03-31</t>
  </si>
  <si>
    <t>2009-12-31</t>
  </si>
  <si>
    <t>2009-09-30</t>
  </si>
  <si>
    <t>2009-06-30</t>
  </si>
  <si>
    <t>2009-03-31</t>
  </si>
  <si>
    <t>2008-12-31</t>
  </si>
  <si>
    <t>2008-09-30</t>
  </si>
  <si>
    <t>2008-06-30</t>
  </si>
  <si>
    <t>2008-03-31</t>
  </si>
  <si>
    <t>2007-12-31</t>
  </si>
  <si>
    <t>2007-09-30</t>
  </si>
  <si>
    <t>2007-06-30</t>
  </si>
  <si>
    <t>2007-03-31</t>
  </si>
  <si>
    <t>2006-12-31</t>
  </si>
  <si>
    <t>2006-09-30</t>
  </si>
  <si>
    <t>2006-06-30</t>
  </si>
  <si>
    <t>2006-03-31</t>
  </si>
  <si>
    <t>2005-12-31</t>
  </si>
  <si>
    <t>2005-09-30</t>
  </si>
  <si>
    <t>2005-06-30</t>
  </si>
  <si>
    <t>2005-03-31</t>
  </si>
  <si>
    <t>2004-12-31</t>
  </si>
  <si>
    <t>2004-09-30</t>
  </si>
  <si>
    <t>2004-06-30</t>
  </si>
  <si>
    <t>2004-03-31</t>
  </si>
  <si>
    <t>2003-12-31</t>
  </si>
  <si>
    <t>2003-09-30</t>
  </si>
  <si>
    <t>2003-06-30</t>
  </si>
  <si>
    <t>2003-03-31</t>
  </si>
  <si>
    <t>2002-12-31</t>
  </si>
  <si>
    <t>2002-09-30</t>
  </si>
  <si>
    <t>2002-06-30</t>
  </si>
  <si>
    <t>2002-03-31</t>
  </si>
  <si>
    <t>2001-12-31</t>
  </si>
  <si>
    <t>一、营业总收入(元)</t>
  </si>
  <si>
    <t>--</t>
  </si>
  <si>
    <t>其中：营业收入(元)</t>
  </si>
  <si>
    <t>二、营业总成本(元)</t>
  </si>
  <si>
    <t>营业税金及附加(元)</t>
  </si>
  <si>
    <t>其中：利息费用(元)</t>
  </si>
  <si>
    <t>利息收入(元)</t>
  </si>
  <si>
    <t>资产减值损失(元)</t>
  </si>
  <si>
    <t>信用减值损失(元)</t>
  </si>
  <si>
    <t>加：公允价值变动收益(元)</t>
  </si>
  <si>
    <t>投资收益(元)</t>
  </si>
  <si>
    <t>资产处置收益(元)</t>
  </si>
  <si>
    <t>其他收益(元)</t>
  </si>
  <si>
    <t>加：营业外收入(元)</t>
  </si>
  <si>
    <t>其中：非流动资产处置利得(元)</t>
  </si>
  <si>
    <t>减：营业外支出(元)</t>
  </si>
  <si>
    <t>其中：非流动资产处置损失(元)</t>
  </si>
  <si>
    <t>四、利润总额(元)</t>
  </si>
  <si>
    <t>减：所得税费用(元)</t>
  </si>
  <si>
    <t>五、净利润(元)</t>
  </si>
  <si>
    <t>（一）持续经营净利润(元)</t>
  </si>
  <si>
    <t>归属于母公司所有者的净利润(元)</t>
  </si>
  <si>
    <t>少数股东损益(元)</t>
  </si>
  <si>
    <t>扣除非经常性损益后的净利润(元)</t>
  </si>
  <si>
    <t>六、每股收益(元)</t>
  </si>
  <si>
    <t>（一）基本每股收益(元)</t>
  </si>
  <si>
    <t>（二）稀释每股收益(元)</t>
  </si>
  <si>
    <t>七、其他综合收益(元)</t>
  </si>
  <si>
    <t>归属母公司所有者的其他综合收益(元)</t>
  </si>
  <si>
    <t>八、综合收益总额(元)</t>
  </si>
  <si>
    <t>归属于母公司股东的综合收益总额(元)</t>
  </si>
  <si>
    <t>归属于少数股东的综合收益总额(元)</t>
  </si>
  <si>
    <t>一、经营活动产生的现金流量(元)</t>
  </si>
  <si>
    <t>销售商品、提供劳务收到的现金(元)</t>
  </si>
  <si>
    <t>收到的税费与返还(元)</t>
  </si>
  <si>
    <t>收到其他与经营活动有关的现金(元)</t>
  </si>
  <si>
    <t>经营活动现金流入小计(元)</t>
  </si>
  <si>
    <t>购买商品、接受劳务支付的现金(元)</t>
  </si>
  <si>
    <t>支付给职工以及为职工支付的现金(元)</t>
  </si>
  <si>
    <t>支付的各项税费(元)</t>
  </si>
  <si>
    <t>支付其他与经营活动有关的现金(元)</t>
  </si>
  <si>
    <t>经营活动现金流出小计(元)</t>
  </si>
  <si>
    <t>二、投资活动产生的现金流量(元)</t>
  </si>
  <si>
    <t>收回投资收到的现金(元)</t>
  </si>
  <si>
    <t>取得投资收益收到的现金(元)</t>
  </si>
  <si>
    <t>收到其他与投资活动有关的现金(元)</t>
  </si>
  <si>
    <t>投资活动现金流入小计(元)</t>
  </si>
  <si>
    <t>投资支付的现金(元)</t>
  </si>
  <si>
    <t>支付其他与投资活动有关的现金(元)</t>
  </si>
  <si>
    <t>投资活动现金流出小计(元)</t>
  </si>
  <si>
    <t>三、筹资活动产生的现金流量(元)</t>
  </si>
  <si>
    <t>吸收投资收到的现金(元)</t>
  </si>
  <si>
    <t>其中：子公司吸收少数股东投资收到的现金(元)</t>
  </si>
  <si>
    <t>取得借款收到的现金(元)</t>
  </si>
  <si>
    <t>收到其他与筹资活动有关的现金(元)</t>
  </si>
  <si>
    <t>筹资活动现金流入小计(元)</t>
  </si>
  <si>
    <t>偿还债务支付的现金(元)</t>
  </si>
  <si>
    <t>分配股利、利润或偿付利息支付的现金(元)</t>
  </si>
  <si>
    <t>其中：子公司支付给少数股东的股利、利润(元)</t>
  </si>
  <si>
    <t>支付其他与筹资活动有关的现金(元)</t>
  </si>
  <si>
    <t>筹资活动现金流出小计(元)</t>
  </si>
  <si>
    <t>四、汇率变动对现金及现金等价物的影响(元)</t>
  </si>
  <si>
    <t>五、现金及现金等价物净增加额(元)</t>
  </si>
  <si>
    <t>加：期初现金及现金等价物余额(元)</t>
  </si>
  <si>
    <t>六、期末现金及现金等价物余额(元)</t>
  </si>
  <si>
    <t>补充资料：(元)</t>
  </si>
  <si>
    <t>1、将净利润调节为经营活动现金流量：(元)</t>
  </si>
  <si>
    <t>加：资产减值准备(元)</t>
  </si>
  <si>
    <t>固定资产折旧、油气资产折耗、生产性生物资产折旧(元)</t>
  </si>
  <si>
    <t>无形资产摊销(元)</t>
  </si>
  <si>
    <t>长期待摊费用摊销(元)</t>
  </si>
  <si>
    <t>处置固定资产、无形资产和其他长期资产的损失(元)</t>
  </si>
  <si>
    <t>固定资产报废损失(元)</t>
  </si>
  <si>
    <t>公允价值变动损失(元)</t>
  </si>
  <si>
    <t>投资损失(元)</t>
  </si>
  <si>
    <t>递延所得税资产减少(元)</t>
  </si>
  <si>
    <t>递延所得税负债增加(元)</t>
  </si>
  <si>
    <t>存货的减少(元)</t>
  </si>
  <si>
    <t>经营性应收项目的减少(元)</t>
  </si>
  <si>
    <t>经营性应付项目的增加(元)</t>
  </si>
  <si>
    <t>其他(元)</t>
  </si>
  <si>
    <t>间接法-经营活动产生的现金流量净额(元)</t>
  </si>
  <si>
    <t>2、不涉及现金收支的重大投资和筹资活动：(元)</t>
  </si>
  <si>
    <t>3、现金及现金等价物净变动情况：(元)</t>
  </si>
  <si>
    <t>现金的期末余额(元)</t>
  </si>
  <si>
    <t>减：现金的期初余额(元)</t>
  </si>
  <si>
    <t>间接法-现金及现金等价物净增加额(元)</t>
  </si>
  <si>
    <t>流动资产(元)</t>
  </si>
  <si>
    <t>拆出资金(元)</t>
  </si>
  <si>
    <t>交易性金融资产(元)</t>
  </si>
  <si>
    <t>应收票据及应收账款(元)</t>
  </si>
  <si>
    <t>其中：应收票据(元)</t>
  </si>
  <si>
    <t>应收账款(元)</t>
  </si>
  <si>
    <t>预付款项(元)</t>
  </si>
  <si>
    <t>其他应收款合计(元)</t>
  </si>
  <si>
    <t>其中：应收利息(元)</t>
  </si>
  <si>
    <t>其他应收款(元)</t>
  </si>
  <si>
    <t>存货(元)</t>
  </si>
  <si>
    <t>一年内到期的非流动资产(元)</t>
  </si>
  <si>
    <t>其他流动资产(元)</t>
  </si>
  <si>
    <t>总现金(元)</t>
  </si>
  <si>
    <t>非流动资产(元)</t>
  </si>
  <si>
    <t>可供出售金融资产(元)</t>
  </si>
  <si>
    <t>持有至到期投资(元)</t>
  </si>
  <si>
    <t>长期股权投资(元)</t>
  </si>
  <si>
    <t>其他非流动金融资产(元)</t>
  </si>
  <si>
    <t>其中：固定资产(元)</t>
  </si>
  <si>
    <t>固定资产清理(元)</t>
  </si>
  <si>
    <t>在建工程合计(元)</t>
  </si>
  <si>
    <t>其中：在建工程(元)</t>
  </si>
  <si>
    <t>工程物资(元)</t>
  </si>
  <si>
    <t>无形资产(元)</t>
  </si>
  <si>
    <t>长期待摊费用(元)</t>
  </si>
  <si>
    <t>递延所得税资产(元)</t>
  </si>
  <si>
    <t>流动负债(元)</t>
  </si>
  <si>
    <t>短期借款(元)</t>
  </si>
  <si>
    <t>应付票据及应付账款(元)</t>
  </si>
  <si>
    <t>应付账款(元)</t>
  </si>
  <si>
    <t>预收款项(元)</t>
  </si>
  <si>
    <t>合同负债(元)</t>
  </si>
  <si>
    <t>应付职工薪酬(元)</t>
  </si>
  <si>
    <t>应交税费(元)</t>
  </si>
  <si>
    <t>其他应付款合计(元)</t>
  </si>
  <si>
    <t>其中：应付利息(元)</t>
  </si>
  <si>
    <t>应付股利(元)</t>
  </si>
  <si>
    <t>其他应付款(元)</t>
  </si>
  <si>
    <t>一年内到期的非流动负债(元)</t>
  </si>
  <si>
    <t>其他流动负债(元)</t>
  </si>
  <si>
    <t>非流动负债(元)</t>
  </si>
  <si>
    <t>长期借款(元)</t>
  </si>
  <si>
    <t>长期应付款合计(元)</t>
  </si>
  <si>
    <t>其中：长期应付款(元)</t>
  </si>
  <si>
    <t>专项应付款(元)</t>
  </si>
  <si>
    <t>递延所得税负债(元)</t>
  </si>
  <si>
    <t>所有者权益（或股东权益）(元)</t>
  </si>
  <si>
    <t>实收资本（或股本）(元)</t>
  </si>
  <si>
    <t>资本公积(元)</t>
  </si>
  <si>
    <t>其他综合收益(元)</t>
  </si>
  <si>
    <t>盈余公积(元)</t>
  </si>
  <si>
    <t>未分配利润(元)</t>
  </si>
  <si>
    <t>少数股东权益(元)</t>
  </si>
  <si>
    <t>负债和所有者权益（或股东权益）合计(元)</t>
  </si>
  <si>
    <t>2001-06-30</t>
  </si>
  <si>
    <t>2000-12-31</t>
  </si>
  <si>
    <t>1999-12-31</t>
  </si>
  <si>
    <t>1998-12-31</t>
  </si>
  <si>
    <t>6.87%</t>
  </si>
  <si>
    <t>8.92%</t>
  </si>
  <si>
    <t>16.69%</t>
  </si>
  <si>
    <t>2.69%</t>
  </si>
  <si>
    <t>17.11%</t>
  </si>
  <si>
    <t>20.29%</t>
  </si>
  <si>
    <t>31.91%</t>
  </si>
  <si>
    <t>47.56%</t>
  </si>
  <si>
    <t>2.71%</t>
  </si>
  <si>
    <t>41.53%</t>
  </si>
  <si>
    <t>38.93%</t>
  </si>
  <si>
    <t>66.84%</t>
  </si>
  <si>
    <t>138.41%</t>
  </si>
  <si>
    <t>31.03%</t>
  </si>
  <si>
    <t>25.24%</t>
  </si>
  <si>
    <t>4.27%</t>
  </si>
  <si>
    <t>3.58%</t>
  </si>
  <si>
    <t>11.07%</t>
  </si>
  <si>
    <t>12.01%</t>
  </si>
  <si>
    <t>-12.41%</t>
  </si>
  <si>
    <t>2.11%</t>
  </si>
  <si>
    <t>-0.20%</t>
  </si>
  <si>
    <t>17.99%</t>
  </si>
  <si>
    <t>14.51%</t>
  </si>
  <si>
    <t>-9.39%</t>
  </si>
  <si>
    <t>-3.40%</t>
  </si>
  <si>
    <t>2.96%</t>
  </si>
  <si>
    <t>40.80%</t>
  </si>
  <si>
    <t>11.62%</t>
  </si>
  <si>
    <t>-9.23%</t>
  </si>
  <si>
    <t>21.01%</t>
  </si>
  <si>
    <t>31.63%</t>
  </si>
  <si>
    <t>106.05%</t>
  </si>
  <si>
    <t>33.19%</t>
  </si>
  <si>
    <t>57.60%</t>
  </si>
  <si>
    <t>150.17%</t>
  </si>
  <si>
    <t>54.68%</t>
  </si>
  <si>
    <t>64.83%</t>
  </si>
  <si>
    <t>48.85%</t>
  </si>
  <si>
    <t>66.89%</t>
  </si>
  <si>
    <t>7.80%</t>
  </si>
  <si>
    <t>16.58%</t>
  </si>
  <si>
    <t>4.00%</t>
  </si>
  <si>
    <t>-19.74%</t>
  </si>
  <si>
    <t>10.11%</t>
  </si>
  <si>
    <t>15.16%</t>
  </si>
  <si>
    <t>39.35%</t>
  </si>
  <si>
    <t>-47.21%</t>
  </si>
  <si>
    <t>22.20%</t>
  </si>
  <si>
    <t>335.59%</t>
  </si>
  <si>
    <t>62.92%</t>
  </si>
  <si>
    <t>131.49%</t>
  </si>
  <si>
    <t>70.32%</t>
  </si>
  <si>
    <t>121.47%</t>
  </si>
  <si>
    <t>23.96%</t>
  </si>
  <si>
    <t>28.78%</t>
  </si>
  <si>
    <t>96.18%</t>
  </si>
  <si>
    <t>26.85%</t>
  </si>
  <si>
    <t>17.15%</t>
  </si>
  <si>
    <t>36.42%</t>
  </si>
  <si>
    <t>33.16%</t>
  </si>
  <si>
    <t>27.48%</t>
  </si>
  <si>
    <t>41.16%</t>
  </si>
  <si>
    <t>31.32%</t>
  </si>
  <si>
    <t>63.25%</t>
  </si>
  <si>
    <t>150.86%</t>
  </si>
  <si>
    <t>20.17%</t>
  </si>
  <si>
    <t>246.99%</t>
  </si>
  <si>
    <t>43.68%</t>
  </si>
  <si>
    <t>9.69%</t>
  </si>
  <si>
    <t>5.41%</t>
  </si>
  <si>
    <t>扣非净利润同比增长率</t>
  </si>
  <si>
    <t>6.92%</t>
  </si>
  <si>
    <t>9.02%</t>
  </si>
  <si>
    <t>16.40%</t>
  </si>
  <si>
    <t>2.03%</t>
  </si>
  <si>
    <t>16.12%</t>
  </si>
  <si>
    <t>18.39%</t>
  </si>
  <si>
    <t>32.79%</t>
  </si>
  <si>
    <t>49.31%</t>
  </si>
  <si>
    <t>2.70%</t>
  </si>
  <si>
    <t>38.43%</t>
  </si>
  <si>
    <t>61.86%</t>
  </si>
  <si>
    <t>135.09%</t>
  </si>
  <si>
    <t>31.16%</t>
  </si>
  <si>
    <t>25.83%</t>
  </si>
  <si>
    <t>7.64%</t>
  </si>
  <si>
    <t>3.19%</t>
  </si>
  <si>
    <t>11.05%</t>
  </si>
  <si>
    <t>11.90%</t>
  </si>
  <si>
    <t>-13.39%</t>
  </si>
  <si>
    <t>2.52%</t>
  </si>
  <si>
    <t>-0.61%</t>
  </si>
  <si>
    <t>17.85%</t>
  </si>
  <si>
    <t>14.37%</t>
  </si>
  <si>
    <t>-8.58%</t>
  </si>
  <si>
    <t>-3.41%</t>
  </si>
  <si>
    <t>-1.80%</t>
  </si>
  <si>
    <t>42.19%</t>
  </si>
  <si>
    <t>10.75%</t>
  </si>
  <si>
    <t>-8.88%</t>
  </si>
  <si>
    <t>27.12%</t>
  </si>
  <si>
    <t>32.60%</t>
  </si>
  <si>
    <t>110.38%</t>
  </si>
  <si>
    <t>33.09%</t>
  </si>
  <si>
    <t>57.64%</t>
  </si>
  <si>
    <t>150.48%</t>
  </si>
  <si>
    <t>54.90%</t>
  </si>
  <si>
    <t>65.05%</t>
  </si>
  <si>
    <t>48.50%</t>
  </si>
  <si>
    <t>68.13%</t>
  </si>
  <si>
    <t>7.56%</t>
  </si>
  <si>
    <t>16.59%</t>
  </si>
  <si>
    <t>4.18%</t>
  </si>
  <si>
    <t>-20.16%</t>
  </si>
  <si>
    <t>10.33%</t>
  </si>
  <si>
    <t>14.53%</t>
  </si>
  <si>
    <t>39.40%</t>
  </si>
  <si>
    <t>-47.57%</t>
  </si>
  <si>
    <t>22.10%</t>
  </si>
  <si>
    <t>338.77%</t>
  </si>
  <si>
    <t>63.06%</t>
  </si>
  <si>
    <t>127.37%</t>
  </si>
  <si>
    <t>114.26%</t>
  </si>
  <si>
    <t>101.55%</t>
  </si>
  <si>
    <t>19.13%</t>
  </si>
  <si>
    <t>31.45%</t>
  </si>
  <si>
    <t>55.98%</t>
  </si>
  <si>
    <t>40.07%</t>
  </si>
  <si>
    <t>21.74%</t>
  </si>
  <si>
    <t>37.23%</t>
  </si>
  <si>
    <t>26.59%</t>
  </si>
  <si>
    <t>30.79%</t>
  </si>
  <si>
    <t>64.05%</t>
  </si>
  <si>
    <t>-65.27%</t>
  </si>
  <si>
    <t>237.21%</t>
  </si>
  <si>
    <t>42.55%</t>
  </si>
  <si>
    <t>5.83%</t>
  </si>
  <si>
    <t>7.18%</t>
  </si>
  <si>
    <t>8.79%</t>
  </si>
  <si>
    <t>12.54%</t>
  </si>
  <si>
    <t>14.02%</t>
  </si>
  <si>
    <t>13.28%</t>
  </si>
  <si>
    <t>10.89%</t>
  </si>
  <si>
    <t>22.21%</t>
  </si>
  <si>
    <t>34.12%</t>
  </si>
  <si>
    <t>3.81%</t>
  </si>
  <si>
    <t>45.56%</t>
  </si>
  <si>
    <t>32.21%</t>
  </si>
  <si>
    <t>115.95%</t>
  </si>
  <si>
    <t>36.45%</t>
  </si>
  <si>
    <t>35.73%</t>
  </si>
  <si>
    <t>29.96%</t>
  </si>
  <si>
    <t>16.51%</t>
  </si>
  <si>
    <t>14.30%</t>
  </si>
  <si>
    <t>17.01%</t>
  </si>
  <si>
    <t>-3.30%</t>
  </si>
  <si>
    <t>-0.12%</t>
  </si>
  <si>
    <t>5.56%</t>
  </si>
  <si>
    <t>15.55%</t>
  </si>
  <si>
    <t>10.76%</t>
  </si>
  <si>
    <t>-3.91%</t>
  </si>
  <si>
    <t>0.89%</t>
  </si>
  <si>
    <t>5.80%</t>
  </si>
  <si>
    <t>39.00%</t>
  </si>
  <si>
    <t>17.97%</t>
  </si>
  <si>
    <t>-3.82%</t>
  </si>
  <si>
    <t>19.11%</t>
  </si>
  <si>
    <t>37.05%</t>
  </si>
  <si>
    <t>74.70%</t>
  </si>
  <si>
    <t>29.32%</t>
  </si>
  <si>
    <t>42.54%</t>
  </si>
  <si>
    <t>106.46%</t>
  </si>
  <si>
    <t>39.26%</t>
  </si>
  <si>
    <t>58.01%</t>
  </si>
  <si>
    <t>38.84%</t>
  </si>
  <si>
    <t>23.78%</t>
  </si>
  <si>
    <t>21.19%</t>
  </si>
  <si>
    <t>16.94%</t>
  </si>
  <si>
    <t>20.99%</t>
  </si>
  <si>
    <t>6.13%</t>
  </si>
  <si>
    <t>21.13%</t>
  </si>
  <si>
    <t>15.51%</t>
  </si>
  <si>
    <t>26.04%</t>
  </si>
  <si>
    <t>-36.84%</t>
  </si>
  <si>
    <t>2.05%</t>
  </si>
  <si>
    <t>152.15%</t>
  </si>
  <si>
    <t>25.57%</t>
  </si>
  <si>
    <t>68.33%</t>
  </si>
  <si>
    <t>47.66%</t>
  </si>
  <si>
    <t>57.69%</t>
  </si>
  <si>
    <t>17.33%</t>
  </si>
  <si>
    <t>22.28%</t>
  </si>
  <si>
    <t>38.55%</t>
  </si>
  <si>
    <t>21.83%</t>
  </si>
  <si>
    <t>18.27%</t>
  </si>
  <si>
    <t>43.74%</t>
  </si>
  <si>
    <t>18.23%</t>
  </si>
  <si>
    <t>17.68%</t>
  </si>
  <si>
    <t>34.05%</t>
  </si>
  <si>
    <t>10.74%</t>
  </si>
  <si>
    <t>39.11%</t>
  </si>
  <si>
    <t>67.42%</t>
  </si>
  <si>
    <t>16.29%</t>
  </si>
  <si>
    <t>80.10%</t>
  </si>
  <si>
    <t>33.18%</t>
  </si>
  <si>
    <t>15.79%</t>
  </si>
  <si>
    <t>2.21%</t>
  </si>
  <si>
    <t>每股净资产(元)</t>
  </si>
  <si>
    <t>每股资本公积金(元)</t>
  </si>
  <si>
    <t>每股未分配利润(元)</t>
  </si>
  <si>
    <t>每股经营现金流(元)</t>
  </si>
  <si>
    <t>53.34%</t>
  </si>
  <si>
    <t>54.44%</t>
  </si>
  <si>
    <t>56.80%</t>
  </si>
  <si>
    <t>51.47%</t>
  </si>
  <si>
    <t>53.19%</t>
  </si>
  <si>
    <t>53.68%</t>
  </si>
  <si>
    <t>55.05%</t>
  </si>
  <si>
    <t>51.37%</t>
  </si>
  <si>
    <t>50.86%</t>
  </si>
  <si>
    <t>50.67%</t>
  </si>
  <si>
    <t>52.28%</t>
  </si>
  <si>
    <t>49.82%</t>
  </si>
  <si>
    <t>50.32%</t>
  </si>
  <si>
    <t>49.79%</t>
  </si>
  <si>
    <t>49.18%</t>
  </si>
  <si>
    <t>46.14%</t>
  </si>
  <si>
    <t>50.05%</t>
  </si>
  <si>
    <t>51.60%</t>
  </si>
  <si>
    <t>52.18%</t>
  </si>
  <si>
    <t>50.38%</t>
  </si>
  <si>
    <t>52.39%</t>
  </si>
  <si>
    <t>53.01%</t>
  </si>
  <si>
    <t>54.17%</t>
  </si>
  <si>
    <t>51.53%</t>
  </si>
  <si>
    <t>52.38%</t>
  </si>
  <si>
    <t>53.52%</t>
  </si>
  <si>
    <t>53.06%</t>
  </si>
  <si>
    <t>51.63%</t>
  </si>
  <si>
    <t>53.17%</t>
  </si>
  <si>
    <t>53.94%</t>
  </si>
  <si>
    <t>52.66%</t>
  </si>
  <si>
    <t>52.95%</t>
  </si>
  <si>
    <t>54.88%</t>
  </si>
  <si>
    <t>55.40%</t>
  </si>
  <si>
    <t>52.02%</t>
  </si>
  <si>
    <t>50.27%</t>
  </si>
  <si>
    <t>50.80%</t>
  </si>
  <si>
    <t>52.58%</t>
  </si>
  <si>
    <t>47.18%</t>
  </si>
  <si>
    <t>45.90%</t>
  </si>
  <si>
    <t>47.29%</t>
  </si>
  <si>
    <t>49.71%</t>
  </si>
  <si>
    <t>44.22%</t>
  </si>
  <si>
    <t>47.08%</t>
  </si>
  <si>
    <t>50.98%</t>
  </si>
  <si>
    <t>52.81%</t>
  </si>
  <si>
    <t>50.90%</t>
  </si>
  <si>
    <t>48.54%</t>
  </si>
  <si>
    <t>50.94%</t>
  </si>
  <si>
    <t>50.91%</t>
  </si>
  <si>
    <t>46.00%</t>
  </si>
  <si>
    <t>40.98%</t>
  </si>
  <si>
    <t>37.44%</t>
  </si>
  <si>
    <t>34.00%</t>
  </si>
  <si>
    <t>35.37%</t>
  </si>
  <si>
    <t>32.96%</t>
  </si>
  <si>
    <t>32.49%</t>
  </si>
  <si>
    <t>29.95%</t>
  </si>
  <si>
    <t>33.36%</t>
  </si>
  <si>
    <t>29.74%</t>
  </si>
  <si>
    <t>28.47%</t>
  </si>
  <si>
    <t>29.81%</t>
  </si>
  <si>
    <t>33.56%</t>
  </si>
  <si>
    <t>28.38%</t>
  </si>
  <si>
    <t>25.99%</t>
  </si>
  <si>
    <t>27.70%</t>
  </si>
  <si>
    <t>31.79%</t>
  </si>
  <si>
    <t>25.35%</t>
  </si>
  <si>
    <t>23.82%</t>
  </si>
  <si>
    <t>26.01%</t>
  </si>
  <si>
    <t>30.68%</t>
  </si>
  <si>
    <t>21.40%</t>
  </si>
  <si>
    <t>23.47%</t>
  </si>
  <si>
    <t>25.78%</t>
  </si>
  <si>
    <t>29.78%</t>
  </si>
  <si>
    <t>21.16%</t>
  </si>
  <si>
    <t>26.33%</t>
  </si>
  <si>
    <t>23.05%</t>
  </si>
  <si>
    <t>24.21%</t>
  </si>
  <si>
    <t>23.38%</t>
  </si>
  <si>
    <t>91.06%</t>
  </si>
  <si>
    <t>91.20%</t>
  </si>
  <si>
    <t>91.67%</t>
  </si>
  <si>
    <t>90.84%</t>
  </si>
  <si>
    <t>91.57%</t>
  </si>
  <si>
    <t>92.11%</t>
  </si>
  <si>
    <t>91.19%</t>
  </si>
  <si>
    <t>91.45%</t>
  </si>
  <si>
    <t>90.54%</t>
  </si>
  <si>
    <t>91.31%</t>
  </si>
  <si>
    <t>89.43%</t>
  </si>
  <si>
    <t>90.35%</t>
  </si>
  <si>
    <t>87.74%</t>
  </si>
  <si>
    <t>91.16%</t>
  </si>
  <si>
    <t>90.31%</t>
  </si>
  <si>
    <t>91.13%</t>
  </si>
  <si>
    <t>91.32%</t>
  </si>
  <si>
    <t>92.34%</t>
  </si>
  <si>
    <t>91.68%</t>
  </si>
  <si>
    <t>91.90%</t>
  </si>
  <si>
    <t>93.21%</t>
  </si>
  <si>
    <t>92.44%</t>
  </si>
  <si>
    <t>91.81%</t>
  </si>
  <si>
    <t>93.01%</t>
  </si>
  <si>
    <t>93.20%</t>
  </si>
  <si>
    <t>91.62%</t>
  </si>
  <si>
    <t>93.49%</t>
  </si>
  <si>
    <t>93.52%</t>
  </si>
  <si>
    <t>93.29%</t>
  </si>
  <si>
    <t>93.63%</t>
  </si>
  <si>
    <t>91.46%</t>
  </si>
  <si>
    <t>92.03%</t>
  </si>
  <si>
    <t>91.99%</t>
  </si>
  <si>
    <t>91.69%</t>
  </si>
  <si>
    <t>91.86%</t>
  </si>
  <si>
    <t>91.92%</t>
  </si>
  <si>
    <t>90.71%</t>
  </si>
  <si>
    <t>89.95%</t>
  </si>
  <si>
    <t>90.80%</t>
  </si>
  <si>
    <t>92.28%</t>
  </si>
  <si>
    <t>90.28%</t>
  </si>
  <si>
    <t>88.86%</t>
  </si>
  <si>
    <t>90.64%</t>
  </si>
  <si>
    <t>90.76%</t>
  </si>
  <si>
    <t>89.99%</t>
  </si>
  <si>
    <t>89.47%</t>
  </si>
  <si>
    <t>90.74%</t>
  </si>
  <si>
    <t>90.81%</t>
  </si>
  <si>
    <t>89.93%</t>
  </si>
  <si>
    <t>92.48%</t>
  </si>
  <si>
    <t>85.05%</t>
  </si>
  <si>
    <t>85.45%</t>
  </si>
  <si>
    <t>85.03%</t>
  </si>
  <si>
    <t>84.77%</t>
  </si>
  <si>
    <t>83.84%</t>
  </si>
  <si>
    <t>83.36%</t>
  </si>
  <si>
    <t>83.37%</t>
  </si>
  <si>
    <t>82.48%</t>
  </si>
  <si>
    <t>82.51%</t>
  </si>
  <si>
    <t>82.03%</t>
  </si>
  <si>
    <t>82.80%</t>
  </si>
  <si>
    <t>82.21%</t>
  </si>
  <si>
    <t>81.75%</t>
  </si>
  <si>
    <t>82.92%</t>
  </si>
  <si>
    <t>82.28%</t>
  </si>
  <si>
    <t>79.41%</t>
  </si>
  <si>
    <t>80.54%</t>
  </si>
  <si>
    <t>77.88%</t>
  </si>
  <si>
    <t>81.46%</t>
  </si>
  <si>
    <t>76.70%</t>
  </si>
  <si>
    <t>82.26%</t>
  </si>
  <si>
    <t>81.98%</t>
  </si>
  <si>
    <t>83.91%</t>
  </si>
  <si>
    <t>7.86%</t>
  </si>
  <si>
    <t>6.16%</t>
  </si>
  <si>
    <t>9.18%</t>
  </si>
  <si>
    <t>8.17%</t>
  </si>
  <si>
    <t>8.71%</t>
  </si>
  <si>
    <t>6.74%</t>
  </si>
  <si>
    <t>9.47%</t>
  </si>
  <si>
    <t>9.53%</t>
  </si>
  <si>
    <t>9.06%</t>
  </si>
  <si>
    <t>6.98%</t>
  </si>
  <si>
    <t>8.89%</t>
  </si>
  <si>
    <t>7.98%</t>
  </si>
  <si>
    <t>10.64%</t>
  </si>
  <si>
    <t>6.27%</t>
  </si>
  <si>
    <t>8.06%</t>
  </si>
  <si>
    <t>5.99%</t>
  </si>
  <si>
    <t>5.57%</t>
  </si>
  <si>
    <t>5.51%</t>
  </si>
  <si>
    <t>7.37%</t>
  </si>
  <si>
    <t>6.54%</t>
  </si>
  <si>
    <t>5.94%</t>
  </si>
  <si>
    <t>5.90%</t>
  </si>
  <si>
    <t>7.85%</t>
  </si>
  <si>
    <t>8.94%</t>
  </si>
  <si>
    <t>7.38%</t>
  </si>
  <si>
    <t>7.32%</t>
  </si>
  <si>
    <t>8.32%</t>
  </si>
  <si>
    <t>9.88%</t>
  </si>
  <si>
    <t>10.36%</t>
  </si>
  <si>
    <t>9.19%</t>
  </si>
  <si>
    <t>10.00%</t>
  </si>
  <si>
    <t>8.84%</t>
  </si>
  <si>
    <t>11.60%</t>
  </si>
  <si>
    <t>13.35%</t>
  </si>
  <si>
    <t>11.21%</t>
  </si>
  <si>
    <t>9.05%</t>
  </si>
  <si>
    <t>7.81%</t>
  </si>
  <si>
    <t>13.79%</t>
  </si>
  <si>
    <t>9.74%</t>
  </si>
  <si>
    <t>4.91%</t>
  </si>
  <si>
    <t>6.42%</t>
  </si>
  <si>
    <t>11.20%</t>
  </si>
  <si>
    <t>8.38%</t>
  </si>
  <si>
    <t>33.55%</t>
  </si>
  <si>
    <t>-22.08%</t>
  </si>
  <si>
    <t>22.08%</t>
  </si>
  <si>
    <t>0.0000%</t>
  </si>
  <si>
    <t>39.01%</t>
  </si>
  <si>
    <t>-23.94%</t>
  </si>
  <si>
    <t>净资产收益率-摊薄</t>
  </si>
  <si>
    <t>6.32%</t>
  </si>
  <si>
    <t>7.69%</t>
  </si>
  <si>
    <t>8.78%</t>
  </si>
  <si>
    <t>5.98%</t>
  </si>
  <si>
    <t>6.93%</t>
  </si>
  <si>
    <t>8.34%</t>
  </si>
  <si>
    <t>7.04%</t>
  </si>
  <si>
    <t>7.28%</t>
  </si>
  <si>
    <t>8.37%</t>
  </si>
  <si>
    <t>8.51%</t>
  </si>
  <si>
    <t>5.92%</t>
  </si>
  <si>
    <t>8.81%</t>
  </si>
  <si>
    <t>7.13%</t>
  </si>
  <si>
    <t>7.75%</t>
  </si>
  <si>
    <t>4.78%</t>
  </si>
  <si>
    <t>4.61%</t>
  </si>
  <si>
    <t>6.44%</t>
  </si>
  <si>
    <t>7.10%</t>
  </si>
  <si>
    <t>5.16%</t>
  </si>
  <si>
    <t>6.22%</t>
  </si>
  <si>
    <t>5.31%</t>
  </si>
  <si>
    <t>7.55%</t>
  </si>
  <si>
    <t>6.79%</t>
  </si>
  <si>
    <t>5.97%</t>
  </si>
  <si>
    <t>7.99%</t>
  </si>
  <si>
    <t>6.80%</t>
  </si>
  <si>
    <t>11.35%</t>
  </si>
  <si>
    <t>9.52%</t>
  </si>
  <si>
    <t>5.64%</t>
  </si>
  <si>
    <t>8.20%</t>
  </si>
  <si>
    <t>10.62%</t>
  </si>
  <si>
    <t>6.25%</t>
  </si>
  <si>
    <t>5.60%</t>
  </si>
  <si>
    <t>13.93%</t>
  </si>
  <si>
    <t>9.29%</t>
  </si>
  <si>
    <t>3.63%</t>
  </si>
  <si>
    <t>4.98%</t>
  </si>
  <si>
    <t>10.80%</t>
  </si>
  <si>
    <t>8.05%</t>
  </si>
  <si>
    <t>2.64%</t>
  </si>
  <si>
    <t>5.61%</t>
  </si>
  <si>
    <t>11.79%</t>
  </si>
  <si>
    <t>9.77%</t>
  </si>
  <si>
    <t>4.09%</t>
  </si>
  <si>
    <t>6.58%</t>
  </si>
  <si>
    <t>13.53%</t>
  </si>
  <si>
    <t>9.59%</t>
  </si>
  <si>
    <t>11.24%</t>
  </si>
  <si>
    <t>4.64%</t>
  </si>
  <si>
    <t>9.21%</t>
  </si>
  <si>
    <t>7.72%</t>
  </si>
  <si>
    <t>5.69%</t>
  </si>
  <si>
    <t>3.99%</t>
  </si>
  <si>
    <t>8.11%</t>
  </si>
  <si>
    <t>7.07%</t>
  </si>
  <si>
    <t>4.56%</t>
  </si>
  <si>
    <t>8.13%</t>
  </si>
  <si>
    <t>6.34%</t>
  </si>
  <si>
    <t>4.13%</t>
  </si>
  <si>
    <t>2.15%</t>
  </si>
  <si>
    <t>7.06%</t>
  </si>
  <si>
    <t>6.01%</t>
  </si>
  <si>
    <t>2.92%</t>
  </si>
  <si>
    <t>1.04%</t>
  </si>
  <si>
    <t>7.09%</t>
  </si>
  <si>
    <t>2.32%</t>
  </si>
  <si>
    <t>2.29%</t>
  </si>
  <si>
    <t>1.29%</t>
  </si>
  <si>
    <t>7.31%</t>
  </si>
  <si>
    <t>营业周期(天)</t>
  </si>
  <si>
    <t>存货周转率(次)</t>
  </si>
  <si>
    <t>存货周转天数(天)</t>
  </si>
  <si>
    <t>应收账款周转天数(天)</t>
  </si>
  <si>
    <t>保守速动比率</t>
  </si>
  <si>
    <t>产权比率</t>
  </si>
  <si>
    <t>16.47%</t>
  </si>
  <si>
    <t>17.24%</t>
  </si>
  <si>
    <t>14.25%</t>
  </si>
  <si>
    <t>22.49%</t>
  </si>
  <si>
    <t>19.52%</t>
  </si>
  <si>
    <t>27.56%</t>
  </si>
  <si>
    <t>19.12%</t>
  </si>
  <si>
    <t>26.55%</t>
  </si>
  <si>
    <t>27.86%</t>
  </si>
  <si>
    <t>25.72%</t>
  </si>
  <si>
    <t>21.77%</t>
  </si>
  <si>
    <t>28.67%</t>
  </si>
  <si>
    <t>30.83%</t>
  </si>
  <si>
    <t>34.32%</t>
  </si>
  <si>
    <t>30.70%</t>
  </si>
  <si>
    <t>29.51%</t>
  </si>
  <si>
    <t>21.78%</t>
  </si>
  <si>
    <t>23.25%</t>
  </si>
  <si>
    <t>11.99%</t>
  </si>
  <si>
    <t>12.85%</t>
  </si>
  <si>
    <t>16.03%</t>
  </si>
  <si>
    <t>14.17%</t>
  </si>
  <si>
    <t>15.56%</t>
  </si>
  <si>
    <t>15.31%</t>
  </si>
  <si>
    <t>20.42%</t>
  </si>
  <si>
    <t>19.19%</t>
  </si>
  <si>
    <t>17.98%</t>
  </si>
  <si>
    <t>15.92%</t>
  </si>
  <si>
    <t>21.21%</t>
  </si>
  <si>
    <t>17.62%</t>
  </si>
  <si>
    <t>21.64%</t>
  </si>
  <si>
    <t>27.21%</t>
  </si>
  <si>
    <t>29.82%</t>
  </si>
  <si>
    <t>30.32%</t>
  </si>
  <si>
    <t>29.56%</t>
  </si>
  <si>
    <t>27.51%</t>
  </si>
  <si>
    <t>22.31%</t>
  </si>
  <si>
    <t>21.55%</t>
  </si>
  <si>
    <t>21.70%</t>
  </si>
  <si>
    <t>25.89%</t>
  </si>
  <si>
    <t>15.07%</t>
  </si>
  <si>
    <t>17.57%</t>
  </si>
  <si>
    <t>19.31%</t>
  </si>
  <si>
    <t>26.98%</t>
  </si>
  <si>
    <t>16.80%</t>
  </si>
  <si>
    <t>12.61%</t>
  </si>
  <si>
    <t>19.65%</t>
  </si>
  <si>
    <t>20.16%</t>
  </si>
  <si>
    <t>31.80%</t>
  </si>
  <si>
    <t>39.19%</t>
  </si>
  <si>
    <t>40.42%</t>
  </si>
  <si>
    <t>35.56%</t>
  </si>
  <si>
    <t>38.51%</t>
  </si>
  <si>
    <t>35.15%</t>
  </si>
  <si>
    <t>35.93%</t>
  </si>
  <si>
    <t>32.67%</t>
  </si>
  <si>
    <t>30.27%</t>
  </si>
  <si>
    <t>29.99%</t>
  </si>
  <si>
    <t>33.84%</t>
  </si>
  <si>
    <t>24.28%</t>
  </si>
  <si>
    <t>23.22%</t>
  </si>
  <si>
    <t>29.98%</t>
  </si>
  <si>
    <t>27.65%</t>
  </si>
  <si>
    <t>20.70%</t>
  </si>
  <si>
    <t>20.58%</t>
  </si>
  <si>
    <t>22.69%</t>
  </si>
  <si>
    <t>18.62%</t>
  </si>
  <si>
    <t>20.24%</t>
  </si>
  <si>
    <t>26.73%</t>
  </si>
  <si>
    <t>52.90%</t>
  </si>
  <si>
    <t>64.90%</t>
  </si>
  <si>
    <t>68.81%</t>
  </si>
  <si>
    <t>68.44%</t>
  </si>
  <si>
    <t>12. 按Flip按钮后选中所有蓝色字体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</si>
</sst>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4" tint="-0.249977111117893"/>
      <name val="Calibri"/>
      <family val="2"/>
    </font>
    <font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4" fillId="0" borderId="0" applyFill="0" applyProtection="0"/>
  </cellStyleXfs>
  <cellXfs count="25">
    <xf numFmtId="0" fontId="0" fillId="0" borderId="0" xfId="0"/>
    <xf numFmtId="0" fontId="2" fillId="0" borderId="0" xfId="1"/>
    <xf numFmtId="0" fontId="4" fillId="0" borderId="0" xfId="2" applyFill="1" applyProtection="1"/>
    <xf numFmtId="0" fontId="4" fillId="0" borderId="0" xfId="2" applyFill="1" applyAlignment="1" applyProtection="1">
      <alignment horizontal="left"/>
    </xf>
    <xf numFmtId="2" fontId="4" fillId="0" borderId="0" xfId="2" applyNumberFormat="1" applyFill="1" applyAlignment="1" applyProtection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6" fillId="0" borderId="0" xfId="2" applyFont="1" applyFill="1" applyAlignment="1" applyProtection="1">
      <alignment horizontal="left"/>
    </xf>
    <xf numFmtId="0" fontId="5" fillId="0" borderId="0" xfId="0" applyFont="1" applyAlignment="1">
      <alignment horizontal="right"/>
    </xf>
    <xf numFmtId="2" fontId="0" fillId="0" borderId="0" xfId="0" applyNumberFormat="1" applyFont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0" fontId="5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0" fontId="7" fillId="0" borderId="0" xfId="2" applyFont="1" applyFill="1" applyAlignment="1" applyProtection="1">
      <alignment horizontal="left"/>
    </xf>
    <xf numFmtId="2" fontId="9" fillId="0" borderId="0" xfId="2" applyNumberFormat="1" applyFont="1" applyFill="1" applyAlignment="1" applyProtection="1">
      <alignment horizontal="left"/>
    </xf>
    <xf numFmtId="0" fontId="9" fillId="0" borderId="0" xfId="2" applyFont="1" applyFill="1" applyAlignment="1" applyProtection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2" fontId="4" fillId="0" borderId="0" xfId="2" applyNumberFormat="1" applyFill="1" applyProtection="1"/>
    <xf numFmtId="2" fontId="8" fillId="0" borderId="0" xfId="0" applyNumberFormat="1" applyFont="1" applyAlignment="1">
      <alignment horizontal="right"/>
    </xf>
    <xf numFmtId="0" fontId="8" fillId="0" borderId="0" xfId="0" applyFont="1" applyAlignment="1">
      <alignment horizontal="right"/>
    </xf>
  </cellXfs>
  <cellStyles count="3">
    <cellStyle name="Hyperlink" xfId="1" builtinId="8"/>
    <cellStyle name="Normal" xfId="0" builtinId="0"/>
    <cellStyle name="Normal 2" xfId="2" xr:uid="{9B381AE5-55AE-4A83-9575-F61C1E66FA7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keyData!$A$3</c:f>
              <c:strCache>
                <c:ptCount val="1"/>
                <c:pt idx="0">
                  <c:v>净利润(元)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keyData!$B$2:$AB$2</c:f>
              <c:strCache>
                <c:ptCount val="27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</c:strCache>
            </c:strRef>
          </c:cat>
          <c:val>
            <c:numRef>
              <c:f>keyData!$B$3:$AB$3</c:f>
              <c:numCache>
                <c:formatCode>0.00</c:formatCode>
                <c:ptCount val="27"/>
                <c:pt idx="0">
                  <c:v>112.25448900000001</c:v>
                </c:pt>
                <c:pt idx="1">
                  <c:v>95.078849000000005</c:v>
                </c:pt>
                <c:pt idx="2">
                  <c:v>130.937702</c:v>
                </c:pt>
                <c:pt idx="3">
                  <c:v>107.516156</c:v>
                </c:pt>
                <c:pt idx="4">
                  <c:v>105.038298</c:v>
                </c:pt>
                <c:pt idx="5">
                  <c:v>87.295942999999994</c:v>
                </c:pt>
                <c:pt idx="6">
                  <c:v>112.214313</c:v>
                </c:pt>
                <c:pt idx="7">
                  <c:v>104.70072500000001</c:v>
                </c:pt>
                <c:pt idx="8">
                  <c:v>89.693669</c:v>
                </c:pt>
                <c:pt idx="9">
                  <c:v>72.572790999999995</c:v>
                </c:pt>
                <c:pt idx="10">
                  <c:v>85.069067000000004</c:v>
                </c:pt>
                <c:pt idx="11">
                  <c:v>70.955133000000004</c:v>
                </c:pt>
                <c:pt idx="12">
                  <c:v>87.329860999999994</c:v>
                </c:pt>
                <c:pt idx="13">
                  <c:v>51.277416000000002</c:v>
                </c:pt>
                <c:pt idx="14">
                  <c:v>61.231192999999998</c:v>
                </c:pt>
                <c:pt idx="15">
                  <c:v>42.527850000000001</c:v>
                </c:pt>
                <c:pt idx="16">
                  <c:v>36.629406000000003</c:v>
                </c:pt>
                <c:pt idx="17">
                  <c:v>39.133654999999997</c:v>
                </c:pt>
                <c:pt idx="18">
                  <c:v>48.892716</c:v>
                </c:pt>
                <c:pt idx="19">
                  <c:v>40.784525000000002</c:v>
                </c:pt>
                <c:pt idx="20">
                  <c:v>35.364055</c:v>
                </c:pt>
                <c:pt idx="21">
                  <c:v>35.233305999999999</c:v>
                </c:pt>
                <c:pt idx="22">
                  <c:v>43.649017000000001</c:v>
                </c:pt>
                <c:pt idx="23">
                  <c:v>46.564751000000001</c:v>
                </c:pt>
                <c:pt idx="24">
                  <c:v>34.634754000000001</c:v>
                </c:pt>
                <c:pt idx="25">
                  <c:v>35.304676000000001</c:v>
                </c:pt>
                <c:pt idx="26">
                  <c:v>36.993862999999997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4-43F0-99E7-B8ECD151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294664"/>
        <c:axId val="240951744"/>
      </c:barChart>
      <c:catAx>
        <c:axId val="311294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951744"/>
        <c:crosses val="autoZero"/>
        <c:auto val="1"/>
        <c:lblAlgn val="ctr"/>
        <c:lblOffset val="100"/>
        <c:noMultiLvlLbl val="0"/>
      </c:catAx>
      <c:valAx>
        <c:axId val="240951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9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keyData!$A$3</c:f>
              <c:strCache>
                <c:ptCount val="1"/>
                <c:pt idx="0">
                  <c:v>净利润(元)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keyData!$B$3:$AD$3</c:f>
              <c:numCache>
                <c:formatCode>0.00</c:formatCode>
                <c:ptCount val="29"/>
                <c:pt idx="0">
                  <c:v>112.25448900000001</c:v>
                </c:pt>
                <c:pt idx="1">
                  <c:v>95.078849000000005</c:v>
                </c:pt>
                <c:pt idx="2">
                  <c:v>130.937702</c:v>
                </c:pt>
                <c:pt idx="3">
                  <c:v>107.516156</c:v>
                </c:pt>
                <c:pt idx="4">
                  <c:v>105.038298</c:v>
                </c:pt>
                <c:pt idx="5">
                  <c:v>87.295942999999994</c:v>
                </c:pt>
                <c:pt idx="6">
                  <c:v>112.214313</c:v>
                </c:pt>
                <c:pt idx="7">
                  <c:v>104.70072500000001</c:v>
                </c:pt>
                <c:pt idx="8">
                  <c:v>89.693669</c:v>
                </c:pt>
                <c:pt idx="9">
                  <c:v>72.572790999999995</c:v>
                </c:pt>
                <c:pt idx="10">
                  <c:v>85.069067000000004</c:v>
                </c:pt>
                <c:pt idx="11">
                  <c:v>70.955133000000004</c:v>
                </c:pt>
                <c:pt idx="12">
                  <c:v>87.329860999999994</c:v>
                </c:pt>
                <c:pt idx="13">
                  <c:v>51.277416000000002</c:v>
                </c:pt>
                <c:pt idx="14">
                  <c:v>61.231192999999998</c:v>
                </c:pt>
                <c:pt idx="15">
                  <c:v>42.527850000000001</c:v>
                </c:pt>
                <c:pt idx="16">
                  <c:v>36.629406000000003</c:v>
                </c:pt>
                <c:pt idx="17">
                  <c:v>39.133654999999997</c:v>
                </c:pt>
                <c:pt idx="18">
                  <c:v>48.892716</c:v>
                </c:pt>
                <c:pt idx="19">
                  <c:v>40.784525000000002</c:v>
                </c:pt>
                <c:pt idx="20">
                  <c:v>35.364055</c:v>
                </c:pt>
                <c:pt idx="21">
                  <c:v>35.233305999999999</c:v>
                </c:pt>
                <c:pt idx="22">
                  <c:v>43.649017000000001</c:v>
                </c:pt>
                <c:pt idx="23">
                  <c:v>46.564751000000001</c:v>
                </c:pt>
                <c:pt idx="24">
                  <c:v>34.634754000000001</c:v>
                </c:pt>
                <c:pt idx="25">
                  <c:v>35.304676000000001</c:v>
                </c:pt>
                <c:pt idx="26">
                  <c:v>36.993862999999997</c:v>
                </c:pt>
                <c:pt idx="27">
                  <c:v>40.664453000000002</c:v>
                </c:pt>
                <c:pt idx="28">
                  <c:v>38.222498000000002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1-4141-A47A-3CF66F82DDA8}"/>
            </c:ext>
          </c:extLst>
        </c:ser>
        <c:ser>
          <c:idx val="1"/>
          <c:order val="1"/>
          <c:tx>
            <c:strRef>
              <c:f>keyData!$A$4</c:f>
              <c:strCache>
                <c:ptCount val="1"/>
                <c:pt idx="0">
                  <c:v>扣非净利润(元)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keyData!$B$4:$AD$4</c:f>
              <c:numCache>
                <c:formatCode>0.00</c:formatCode>
                <c:ptCount val="29"/>
                <c:pt idx="0">
                  <c:v>112.293745</c:v>
                </c:pt>
                <c:pt idx="1">
                  <c:v>95.175095999999996</c:v>
                </c:pt>
                <c:pt idx="2">
                  <c:v>131.552167</c:v>
                </c:pt>
                <c:pt idx="3">
                  <c:v>108.72688100000001</c:v>
                </c:pt>
                <c:pt idx="4">
                  <c:v>105.027817</c:v>
                </c:pt>
                <c:pt idx="5">
                  <c:v>87.297173999999998</c:v>
                </c:pt>
                <c:pt idx="6">
                  <c:v>113.017218</c:v>
                </c:pt>
                <c:pt idx="7">
                  <c:v>106.564325</c:v>
                </c:pt>
                <c:pt idx="8">
                  <c:v>90.448425999999998</c:v>
                </c:pt>
                <c:pt idx="9">
                  <c:v>73.733896000000001</c:v>
                </c:pt>
                <c:pt idx="10">
                  <c:v>85.107788999999997</c:v>
                </c:pt>
                <c:pt idx="11">
                  <c:v>71.370748000000006</c:v>
                </c:pt>
                <c:pt idx="12">
                  <c:v>88.071323000000007</c:v>
                </c:pt>
                <c:pt idx="13">
                  <c:v>51.316918999999999</c:v>
                </c:pt>
                <c:pt idx="14">
                  <c:v>61.481847000000002</c:v>
                </c:pt>
                <c:pt idx="15">
                  <c:v>44.094155999999998</c:v>
                </c:pt>
                <c:pt idx="16">
                  <c:v>37.463251999999997</c:v>
                </c:pt>
                <c:pt idx="17">
                  <c:v>39.126609999999999</c:v>
                </c:pt>
                <c:pt idx="18">
                  <c:v>48.862872000000003</c:v>
                </c:pt>
                <c:pt idx="19">
                  <c:v>40.963614999999997</c:v>
                </c:pt>
                <c:pt idx="20">
                  <c:v>36.306091000000002</c:v>
                </c:pt>
                <c:pt idx="21">
                  <c:v>35.232599</c:v>
                </c:pt>
                <c:pt idx="22">
                  <c:v>43.666359999999997</c:v>
                </c:pt>
                <c:pt idx="23">
                  <c:v>47.294159999999998</c:v>
                </c:pt>
                <c:pt idx="24">
                  <c:v>35.414527</c:v>
                </c:pt>
                <c:pt idx="25">
                  <c:v>35.448602000000001</c:v>
                </c:pt>
                <c:pt idx="26">
                  <c:v>37.051045000000002</c:v>
                </c:pt>
                <c:pt idx="27">
                  <c:v>41.351757999999997</c:v>
                </c:pt>
                <c:pt idx="28">
                  <c:v>38.736178000000002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21-4141-A47A-3CF66F82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0401904"/>
        <c:axId val="310424768"/>
      </c:barChart>
      <c:catAx>
        <c:axId val="310401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24768"/>
        <c:crosses val="autoZero"/>
        <c:auto val="1"/>
        <c:lblAlgn val="ctr"/>
        <c:lblOffset val="100"/>
        <c:noMultiLvlLbl val="0"/>
      </c:catAx>
      <c:valAx>
        <c:axId val="310424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0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keyData!$A$5</c:f>
              <c:strCache>
                <c:ptCount val="1"/>
                <c:pt idx="0">
                  <c:v>营业总收入(元)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keyData!$B$5:$AD$5</c:f>
              <c:numCache>
                <c:formatCode>0.00</c:formatCode>
                <c:ptCount val="29"/>
                <c:pt idx="0">
                  <c:v>239.4050558495</c:v>
                </c:pt>
                <c:pt idx="1">
                  <c:v>203.35879249639999</c:v>
                </c:pt>
                <c:pt idx="2">
                  <c:v>252.98492025939998</c:v>
                </c:pt>
                <c:pt idx="3">
                  <c:v>253.45674442060002</c:v>
                </c:pt>
                <c:pt idx="4">
                  <c:v>223.35981736759999</c:v>
                </c:pt>
                <c:pt idx="5">
                  <c:v>186.92156055250001</c:v>
                </c:pt>
                <c:pt idx="6">
                  <c:v>224.80525254689999</c:v>
                </c:pt>
                <c:pt idx="7">
                  <c:v>222.301176588</c:v>
                </c:pt>
                <c:pt idx="8">
                  <c:v>197.17801668090001</c:v>
                </c:pt>
                <c:pt idx="9">
                  <c:v>168.56207937370002</c:v>
                </c:pt>
                <c:pt idx="10">
                  <c:v>183.9525684596</c:v>
                </c:pt>
                <c:pt idx="11">
                  <c:v>165.75382294720001</c:v>
                </c:pt>
                <c:pt idx="12">
                  <c:v>189.9347782641</c:v>
                </c:pt>
                <c:pt idx="13">
                  <c:v>115.80485375729999</c:v>
                </c:pt>
                <c:pt idx="14">
                  <c:v>139.13411369299999</c:v>
                </c:pt>
                <c:pt idx="15">
                  <c:v>126.2234926191</c:v>
                </c:pt>
                <c:pt idx="16">
                  <c:v>87.951180592000014</c:v>
                </c:pt>
                <c:pt idx="17">
                  <c:v>84.867495081300007</c:v>
                </c:pt>
                <c:pt idx="18">
                  <c:v>102.50867583690001</c:v>
                </c:pt>
                <c:pt idx="19">
                  <c:v>97.125397951000011</c:v>
                </c:pt>
                <c:pt idx="20">
                  <c:v>75.486676810100008</c:v>
                </c:pt>
                <c:pt idx="21">
                  <c:v>74.252836412500002</c:v>
                </c:pt>
                <c:pt idx="22">
                  <c:v>87.603679282199991</c:v>
                </c:pt>
                <c:pt idx="23">
                  <c:v>100.43956018760001</c:v>
                </c:pt>
                <c:pt idx="24">
                  <c:v>75.576184642100003</c:v>
                </c:pt>
                <c:pt idx="25">
                  <c:v>70.338996239700009</c:v>
                </c:pt>
                <c:pt idx="26">
                  <c:v>75.817396341399999</c:v>
                </c:pt>
                <c:pt idx="27">
                  <c:v>90.682148510700003</c:v>
                </c:pt>
                <c:pt idx="28">
                  <c:v>78.649496345700001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0-430D-B3E3-6528A64D6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114928"/>
        <c:axId val="385858904"/>
      </c:barChart>
      <c:catAx>
        <c:axId val="311114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58904"/>
        <c:crosses val="autoZero"/>
        <c:auto val="1"/>
        <c:lblAlgn val="ctr"/>
        <c:lblOffset val="100"/>
        <c:noMultiLvlLbl val="0"/>
      </c:catAx>
      <c:valAx>
        <c:axId val="385858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1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keyData!$A$5</c:f>
              <c:strCache>
                <c:ptCount val="1"/>
                <c:pt idx="0">
                  <c:v>营业总收入(元)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keyData!$B$5:$AD$5</c:f>
              <c:numCache>
                <c:formatCode>0.00</c:formatCode>
                <c:ptCount val="29"/>
                <c:pt idx="0">
                  <c:v>239.4050558495</c:v>
                </c:pt>
                <c:pt idx="1">
                  <c:v>203.35879249639999</c:v>
                </c:pt>
                <c:pt idx="2">
                  <c:v>252.98492025939998</c:v>
                </c:pt>
                <c:pt idx="3">
                  <c:v>253.45674442060002</c:v>
                </c:pt>
                <c:pt idx="4">
                  <c:v>223.35981736759999</c:v>
                </c:pt>
                <c:pt idx="5">
                  <c:v>186.92156055250001</c:v>
                </c:pt>
                <c:pt idx="6">
                  <c:v>224.80525254689999</c:v>
                </c:pt>
                <c:pt idx="7">
                  <c:v>222.301176588</c:v>
                </c:pt>
                <c:pt idx="8">
                  <c:v>197.17801668090001</c:v>
                </c:pt>
                <c:pt idx="9">
                  <c:v>168.56207937370002</c:v>
                </c:pt>
                <c:pt idx="10">
                  <c:v>183.9525684596</c:v>
                </c:pt>
                <c:pt idx="11">
                  <c:v>165.75382294720001</c:v>
                </c:pt>
                <c:pt idx="12">
                  <c:v>189.9347782641</c:v>
                </c:pt>
                <c:pt idx="13">
                  <c:v>115.80485375729999</c:v>
                </c:pt>
                <c:pt idx="14">
                  <c:v>139.13411369299999</c:v>
                </c:pt>
                <c:pt idx="15">
                  <c:v>126.2234926191</c:v>
                </c:pt>
                <c:pt idx="16">
                  <c:v>87.951180592000014</c:v>
                </c:pt>
                <c:pt idx="17">
                  <c:v>84.867495081300007</c:v>
                </c:pt>
                <c:pt idx="18">
                  <c:v>102.50867583690001</c:v>
                </c:pt>
                <c:pt idx="19">
                  <c:v>97.125397951000011</c:v>
                </c:pt>
                <c:pt idx="20">
                  <c:v>75.486676810100008</c:v>
                </c:pt>
                <c:pt idx="21">
                  <c:v>74.252836412500002</c:v>
                </c:pt>
                <c:pt idx="22">
                  <c:v>87.603679282199991</c:v>
                </c:pt>
                <c:pt idx="23">
                  <c:v>100.43956018760001</c:v>
                </c:pt>
                <c:pt idx="24">
                  <c:v>75.576184642100003</c:v>
                </c:pt>
                <c:pt idx="25">
                  <c:v>70.338996239700009</c:v>
                </c:pt>
                <c:pt idx="26">
                  <c:v>75.817396341399999</c:v>
                </c:pt>
                <c:pt idx="27">
                  <c:v>90.682148510700003</c:v>
                </c:pt>
                <c:pt idx="28">
                  <c:v>78.649496345700001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CF-4F43-B9DC-9D1D1F580E97}"/>
            </c:ext>
          </c:extLst>
        </c:ser>
        <c:ser>
          <c:idx val="1"/>
          <c:order val="1"/>
          <c:tx>
            <c:strRef>
              <c:f>keyData!$A$16</c:f>
              <c:strCache>
                <c:ptCount val="1"/>
                <c:pt idx="0">
                  <c:v>三、营业利润(元)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keyData!$B$16:$AD$16</c:f>
              <c:numCache>
                <c:formatCode>0.00</c:formatCode>
                <c:ptCount val="29"/>
                <c:pt idx="0">
                  <c:v>159.0490596267</c:v>
                </c:pt>
                <c:pt idx="1">
                  <c:v>135.20293981430001</c:v>
                </c:pt>
                <c:pt idx="2">
                  <c:v>185.60620625580003</c:v>
                </c:pt>
                <c:pt idx="3">
                  <c:v>157.2918192674</c:v>
                </c:pt>
                <c:pt idx="4">
                  <c:v>149.1431101867</c:v>
                </c:pt>
                <c:pt idx="5">
                  <c:v>124.0177405375</c:v>
                </c:pt>
                <c:pt idx="6">
                  <c:v>159.96222276980001</c:v>
                </c:pt>
                <c:pt idx="7">
                  <c:v>155.0506845358</c:v>
                </c:pt>
                <c:pt idx="8">
                  <c:v>129.58023407100001</c:v>
                </c:pt>
                <c:pt idx="9">
                  <c:v>107.0221742754</c:v>
                </c:pt>
                <c:pt idx="10">
                  <c:v>121.77678392959999</c:v>
                </c:pt>
                <c:pt idx="11">
                  <c:v>103.030641481</c:v>
                </c:pt>
                <c:pt idx="12">
                  <c:v>125.1317346908</c:v>
                </c:pt>
                <c:pt idx="13">
                  <c:v>73.3361715371</c:v>
                </c:pt>
                <c:pt idx="14">
                  <c:v>87.901527625599996</c:v>
                </c:pt>
                <c:pt idx="15">
                  <c:v>61.160469659899995</c:v>
                </c:pt>
                <c:pt idx="16">
                  <c:v>53.894547345699998</c:v>
                </c:pt>
                <c:pt idx="17">
                  <c:v>55.575603616499997</c:v>
                </c:pt>
                <c:pt idx="18">
                  <c:v>72.025631072099998</c:v>
                </c:pt>
                <c:pt idx="19">
                  <c:v>58.640127153199998</c:v>
                </c:pt>
                <c:pt idx="20">
                  <c:v>51.433653626499996</c:v>
                </c:pt>
                <c:pt idx="21">
                  <c:v>49.472818651700003</c:v>
                </c:pt>
                <c:pt idx="22">
                  <c:v>62.043320197299998</c:v>
                </c:pt>
                <c:pt idx="23">
                  <c:v>67.865285126000003</c:v>
                </c:pt>
                <c:pt idx="24">
                  <c:v>50.654677541999995</c:v>
                </c:pt>
                <c:pt idx="25">
                  <c:v>49.310574192299995</c:v>
                </c:pt>
                <c:pt idx="26">
                  <c:v>53.199195648699998</c:v>
                </c:pt>
                <c:pt idx="27">
                  <c:v>57.783354091599996</c:v>
                </c:pt>
                <c:pt idx="28">
                  <c:v>56.154631220200002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CF-4F43-B9DC-9D1D1F580E97}"/>
            </c:ext>
          </c:extLst>
        </c:ser>
        <c:ser>
          <c:idx val="2"/>
          <c:order val="2"/>
          <c:tx>
            <c:strRef>
              <c:f>keyData!$A$31</c:f>
              <c:strCache>
                <c:ptCount val="1"/>
                <c:pt idx="0">
                  <c:v>毛利 (营业收入减去营业成本)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keyData!$B$31:$AD$31</c:f>
              <c:numCache>
                <c:formatCode>0.00</c:formatCode>
                <c:ptCount val="29"/>
                <c:pt idx="0">
                  <c:v>218.61935784950001</c:v>
                </c:pt>
                <c:pt idx="1">
                  <c:v>186.1599614964</c:v>
                </c:pt>
                <c:pt idx="2">
                  <c:v>232.66048525939999</c:v>
                </c:pt>
                <c:pt idx="3">
                  <c:v>231.01541842060001</c:v>
                </c:pt>
                <c:pt idx="4">
                  <c:v>203.61720536759998</c:v>
                </c:pt>
                <c:pt idx="5">
                  <c:v>171.8797665525</c:v>
                </c:pt>
                <c:pt idx="6">
                  <c:v>207.73084554689999</c:v>
                </c:pt>
                <c:pt idx="7">
                  <c:v>203.442512588</c:v>
                </c:pt>
                <c:pt idx="8">
                  <c:v>181.05771368090001</c:v>
                </c:pt>
                <c:pt idx="9">
                  <c:v>153.49775737370001</c:v>
                </c:pt>
                <c:pt idx="10">
                  <c:v>168.76663945960001</c:v>
                </c:pt>
                <c:pt idx="11">
                  <c:v>149.0838419472</c:v>
                </c:pt>
                <c:pt idx="12">
                  <c:v>172.31267926410001</c:v>
                </c:pt>
                <c:pt idx="13">
                  <c:v>102.46254675729999</c:v>
                </c:pt>
                <c:pt idx="14">
                  <c:v>127.36413669299999</c:v>
                </c:pt>
                <c:pt idx="15">
                  <c:v>114.3764386191</c:v>
                </c:pt>
                <c:pt idx="16">
                  <c:v>80.451270592000014</c:v>
                </c:pt>
                <c:pt idx="17">
                  <c:v>77.763438081300009</c:v>
                </c:pt>
                <c:pt idx="18">
                  <c:v>94.858655836900013</c:v>
                </c:pt>
                <c:pt idx="19">
                  <c:v>89.212499951000012</c:v>
                </c:pt>
                <c:pt idx="20">
                  <c:v>69.674979810100012</c:v>
                </c:pt>
                <c:pt idx="21">
                  <c:v>68.392025412500004</c:v>
                </c:pt>
                <c:pt idx="22">
                  <c:v>81.805710282199996</c:v>
                </c:pt>
                <c:pt idx="23">
                  <c:v>92.987128187600007</c:v>
                </c:pt>
                <c:pt idx="24">
                  <c:v>69.518544642099997</c:v>
                </c:pt>
                <c:pt idx="25">
                  <c:v>65.532915239700003</c:v>
                </c:pt>
                <c:pt idx="26">
                  <c:v>70.748044341400004</c:v>
                </c:pt>
                <c:pt idx="27">
                  <c:v>83.151595510700005</c:v>
                </c:pt>
                <c:pt idx="28">
                  <c:v>73.566513345700002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CF-4F43-B9DC-9D1D1F580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7834936"/>
        <c:axId val="307835264"/>
      </c:barChart>
      <c:catAx>
        <c:axId val="30783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835264"/>
        <c:crosses val="autoZero"/>
        <c:auto val="1"/>
        <c:lblAlgn val="ctr"/>
        <c:lblOffset val="100"/>
        <c:noMultiLvlLbl val="0"/>
      </c:catAx>
      <c:valAx>
        <c:axId val="307835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83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keyData!$A$32</c:f>
              <c:strCache>
                <c:ptCount val="1"/>
                <c:pt idx="0">
                  <c:v>自由现金流 (Operating Cashflow Method)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keyData!$B$32:$AD$32</c:f>
              <c:numCache>
                <c:formatCode>0.00</c:formatCode>
                <c:ptCount val="29"/>
                <c:pt idx="0">
                  <c:v>118.39153400000001</c:v>
                </c:pt>
                <c:pt idx="1">
                  <c:v>97.680495999999991</c:v>
                </c:pt>
                <c:pt idx="2">
                  <c:v>18.886469999999999</c:v>
                </c:pt>
                <c:pt idx="3">
                  <c:v>167.743854</c:v>
                </c:pt>
                <c:pt idx="4">
                  <c:v>23.252344000000001</c:v>
                </c:pt>
                <c:pt idx="5">
                  <c:v>223.824005</c:v>
                </c:pt>
                <c:pt idx="6">
                  <c:v>5.7972770000000002</c:v>
                </c:pt>
                <c:pt idx="7">
                  <c:v>125.73676200000001</c:v>
                </c:pt>
                <c:pt idx="8">
                  <c:v>101.864169</c:v>
                </c:pt>
                <c:pt idx="9">
                  <c:v>126.575293</c:v>
                </c:pt>
                <c:pt idx="10">
                  <c:v>43.608618</c:v>
                </c:pt>
                <c:pt idx="11">
                  <c:v>-10.017538</c:v>
                </c:pt>
                <c:pt idx="12">
                  <c:v>155.75411600000001</c:v>
                </c:pt>
                <c:pt idx="13">
                  <c:v>6.5275529999999993</c:v>
                </c:pt>
                <c:pt idx="14">
                  <c:v>58.016058000000001</c:v>
                </c:pt>
                <c:pt idx="15">
                  <c:v>46.72025</c:v>
                </c:pt>
                <c:pt idx="16">
                  <c:v>186.527084</c:v>
                </c:pt>
                <c:pt idx="17">
                  <c:v>60.383548999999995</c:v>
                </c:pt>
                <c:pt idx="18">
                  <c:v>70.690750000000008</c:v>
                </c:pt>
                <c:pt idx="19">
                  <c:v>57.710582000000002</c:v>
                </c:pt>
                <c:pt idx="20">
                  <c:v>59.868022000000003</c:v>
                </c:pt>
                <c:pt idx="21">
                  <c:v>23.798777000000001</c:v>
                </c:pt>
                <c:pt idx="22">
                  <c:v>12.459033</c:v>
                </c:pt>
                <c:pt idx="23">
                  <c:v>42.296452000000002</c:v>
                </c:pt>
                <c:pt idx="24">
                  <c:v>25.383632000000002</c:v>
                </c:pt>
                <c:pt idx="25">
                  <c:v>32.945547000000005</c:v>
                </c:pt>
                <c:pt idx="26">
                  <c:v>-18.508788000000003</c:v>
                </c:pt>
                <c:pt idx="27">
                  <c:v>19.488298</c:v>
                </c:pt>
                <c:pt idx="28">
                  <c:v>26.126265000000004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1-43B5-AE9C-3317FE8F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9358256"/>
        <c:axId val="389358584"/>
      </c:barChart>
      <c:catAx>
        <c:axId val="389358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58584"/>
        <c:crosses val="autoZero"/>
        <c:auto val="1"/>
        <c:lblAlgn val="ctr"/>
        <c:lblOffset val="100"/>
        <c:noMultiLvlLbl val="0"/>
      </c:catAx>
      <c:valAx>
        <c:axId val="389358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5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keyData!$A$6</c:f>
              <c:strCache>
                <c:ptCount val="1"/>
                <c:pt idx="0">
                  <c:v>经营活动产生的现金流量净额(元)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keyData!$B$6:$AD$6</c:f>
              <c:numCache>
                <c:formatCode>0.00</c:formatCode>
                <c:ptCount val="29"/>
                <c:pt idx="0">
                  <c:v>124.90039400000001</c:v>
                </c:pt>
                <c:pt idx="1">
                  <c:v>103.178541</c:v>
                </c:pt>
                <c:pt idx="2">
                  <c:v>23.031094</c:v>
                </c:pt>
                <c:pt idx="3">
                  <c:v>178.95210700000001</c:v>
                </c:pt>
                <c:pt idx="4">
                  <c:v>32.284818000000001</c:v>
                </c:pt>
                <c:pt idx="5">
                  <c:v>228.977101</c:v>
                </c:pt>
                <c:pt idx="6">
                  <c:v>11.892101</c:v>
                </c:pt>
                <c:pt idx="7">
                  <c:v>131.63948500000001</c:v>
                </c:pt>
                <c:pt idx="8">
                  <c:v>104.86255</c:v>
                </c:pt>
                <c:pt idx="9">
                  <c:v>127.99530300000001</c:v>
                </c:pt>
                <c:pt idx="10">
                  <c:v>49.355007000000001</c:v>
                </c:pt>
                <c:pt idx="11">
                  <c:v>-6.3373109999999997</c:v>
                </c:pt>
                <c:pt idx="12">
                  <c:v>158.51406800000001</c:v>
                </c:pt>
                <c:pt idx="13">
                  <c:v>8.2638529999999992</c:v>
                </c:pt>
                <c:pt idx="14">
                  <c:v>61.089751</c:v>
                </c:pt>
                <c:pt idx="15">
                  <c:v>49.159170000000003</c:v>
                </c:pt>
                <c:pt idx="16">
                  <c:v>189.313703</c:v>
                </c:pt>
                <c:pt idx="17">
                  <c:v>61.679178999999998</c:v>
                </c:pt>
                <c:pt idx="18">
                  <c:v>74.360443000000004</c:v>
                </c:pt>
                <c:pt idx="19">
                  <c:v>60.129468000000003</c:v>
                </c:pt>
                <c:pt idx="20">
                  <c:v>65.21705</c:v>
                </c:pt>
                <c:pt idx="21">
                  <c:v>27.900547</c:v>
                </c:pt>
                <c:pt idx="22">
                  <c:v>21.116336</c:v>
                </c:pt>
                <c:pt idx="23">
                  <c:v>49.531252000000002</c:v>
                </c:pt>
                <c:pt idx="24">
                  <c:v>33.906539000000002</c:v>
                </c:pt>
                <c:pt idx="25">
                  <c:v>41.148276000000003</c:v>
                </c:pt>
                <c:pt idx="26">
                  <c:v>1.7391570000000001</c:v>
                </c:pt>
                <c:pt idx="27">
                  <c:v>34.099069</c:v>
                </c:pt>
                <c:pt idx="28">
                  <c:v>40.300935000000003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20-450E-B040-99E1B44981E3}"/>
            </c:ext>
          </c:extLst>
        </c:ser>
        <c:ser>
          <c:idx val="1"/>
          <c:order val="1"/>
          <c:tx>
            <c:strRef>
              <c:f>keyData!$A$9</c:f>
              <c:strCache>
                <c:ptCount val="1"/>
                <c:pt idx="0">
                  <c:v>投资活动产生的现金流量净额(元)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keyData!$B$9:$AD$9</c:f>
              <c:numCache>
                <c:formatCode>0.00</c:formatCode>
                <c:ptCount val="29"/>
                <c:pt idx="0">
                  <c:v>-3.4083921352999997</c:v>
                </c:pt>
                <c:pt idx="1">
                  <c:v>-5.5281887601999999</c:v>
                </c:pt>
                <c:pt idx="2">
                  <c:v>-4.2022531575000004</c:v>
                </c:pt>
                <c:pt idx="3">
                  <c:v>-11.2541556535</c:v>
                </c:pt>
                <c:pt idx="4">
                  <c:v>-9.0388656014999995</c:v>
                </c:pt>
                <c:pt idx="5">
                  <c:v>-5.1807983423000001</c:v>
                </c:pt>
                <c:pt idx="6">
                  <c:v>-6.1830378351999995</c:v>
                </c:pt>
                <c:pt idx="7">
                  <c:v>-6.0583888945000002</c:v>
                </c:pt>
                <c:pt idx="8">
                  <c:v>-2.8334213813</c:v>
                </c:pt>
                <c:pt idx="9">
                  <c:v>-1.4787071846000002</c:v>
                </c:pt>
                <c:pt idx="10">
                  <c:v>-5.9191095852000002</c:v>
                </c:pt>
                <c:pt idx="11">
                  <c:v>-3.7287000125</c:v>
                </c:pt>
                <c:pt idx="12">
                  <c:v>-2.7708660018</c:v>
                </c:pt>
                <c:pt idx="13">
                  <c:v>-1.7034892105999999</c:v>
                </c:pt>
                <c:pt idx="14">
                  <c:v>-3.0033969211000002</c:v>
                </c:pt>
                <c:pt idx="15">
                  <c:v>-3.2901341507999997</c:v>
                </c:pt>
                <c:pt idx="16">
                  <c:v>-2.1797954157000001</c:v>
                </c:pt>
                <c:pt idx="17">
                  <c:v>-1.3416253171999999</c:v>
                </c:pt>
                <c:pt idx="18">
                  <c:v>-4.2134531583000001</c:v>
                </c:pt>
                <c:pt idx="19">
                  <c:v>-2.6579574155000003</c:v>
                </c:pt>
                <c:pt idx="20">
                  <c:v>-4.9227911304000003</c:v>
                </c:pt>
                <c:pt idx="21">
                  <c:v>-4.3667012146999999</c:v>
                </c:pt>
                <c:pt idx="22">
                  <c:v>-8.5404528853000006</c:v>
                </c:pt>
                <c:pt idx="23">
                  <c:v>-7.0523973185999997</c:v>
                </c:pt>
                <c:pt idx="24">
                  <c:v>-8.7616471484999998</c:v>
                </c:pt>
                <c:pt idx="25">
                  <c:v>-9.1393642400000008</c:v>
                </c:pt>
                <c:pt idx="26">
                  <c:v>-20.8481870948</c:v>
                </c:pt>
                <c:pt idx="27">
                  <c:v>-15.017912588699998</c:v>
                </c:pt>
                <c:pt idx="28">
                  <c:v>-14.559366685599999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20-450E-B040-99E1B44981E3}"/>
            </c:ext>
          </c:extLst>
        </c:ser>
        <c:ser>
          <c:idx val="2"/>
          <c:order val="2"/>
          <c:tx>
            <c:strRef>
              <c:f>keyData!$A$10</c:f>
              <c:strCache>
                <c:ptCount val="1"/>
                <c:pt idx="0">
                  <c:v>筹资活动产生的现金流量净额(元)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keyData!$B$10:$AD$10</c:f>
              <c:numCache>
                <c:formatCode>0.00</c:formatCode>
                <c:ptCount val="29"/>
                <c:pt idx="0">
                  <c:v>-1.4409020321000001</c:v>
                </c:pt>
                <c:pt idx="1">
                  <c:v>-232.82981133060002</c:v>
                </c:pt>
                <c:pt idx="2">
                  <c:v>-4.5123439999999997</c:v>
                </c:pt>
                <c:pt idx="3">
                  <c:v>3.74542322E-2</c:v>
                </c:pt>
                <c:pt idx="4">
                  <c:v>-2.5591841447999997</c:v>
                </c:pt>
                <c:pt idx="5">
                  <c:v>0</c:v>
                </c:pt>
                <c:pt idx="6">
                  <c:v>0</c:v>
                </c:pt>
                <c:pt idx="7">
                  <c:v>-5.7000000000000002E-2</c:v>
                </c:pt>
                <c:pt idx="8">
                  <c:v>-25.804735492300001</c:v>
                </c:pt>
                <c:pt idx="9">
                  <c:v>0</c:v>
                </c:pt>
                <c:pt idx="10">
                  <c:v>0</c:v>
                </c:pt>
                <c:pt idx="11">
                  <c:v>-0.06</c:v>
                </c:pt>
                <c:pt idx="12">
                  <c:v>-85.291778808000004</c:v>
                </c:pt>
                <c:pt idx="13">
                  <c:v>0</c:v>
                </c:pt>
                <c:pt idx="14">
                  <c:v>0</c:v>
                </c:pt>
                <c:pt idx="15">
                  <c:v>-0.50448341880000003</c:v>
                </c:pt>
                <c:pt idx="16">
                  <c:v>-50.009901293599995</c:v>
                </c:pt>
                <c:pt idx="17">
                  <c:v>-27.7456649445</c:v>
                </c:pt>
                <c:pt idx="18">
                  <c:v>-5.0850728653999999</c:v>
                </c:pt>
                <c:pt idx="19">
                  <c:v>-4.6425709000000003E-3</c:v>
                </c:pt>
                <c:pt idx="20">
                  <c:v>-55.526129248500006</c:v>
                </c:pt>
                <c:pt idx="21">
                  <c:v>-3.0060376000000002E-3</c:v>
                </c:pt>
                <c:pt idx="22">
                  <c:v>-0.34641852909999998</c:v>
                </c:pt>
                <c:pt idx="23">
                  <c:v>0.57965138289999996</c:v>
                </c:pt>
                <c:pt idx="24">
                  <c:v>0.06</c:v>
                </c:pt>
                <c:pt idx="25">
                  <c:v>0</c:v>
                </c:pt>
                <c:pt idx="26">
                  <c:v>0</c:v>
                </c:pt>
                <c:pt idx="27">
                  <c:v>-0.41667355569999998</c:v>
                </c:pt>
                <c:pt idx="28">
                  <c:v>-5.5391006444000004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20-450E-B040-99E1B4498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7899168"/>
        <c:axId val="237899496"/>
      </c:barChart>
      <c:catAx>
        <c:axId val="237899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99496"/>
        <c:crosses val="autoZero"/>
        <c:auto val="1"/>
        <c:lblAlgn val="ctr"/>
        <c:lblOffset val="100"/>
        <c:noMultiLvlLbl val="0"/>
      </c:catAx>
      <c:valAx>
        <c:axId val="237899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9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keyData!$A$24</c:f>
              <c:strCache>
                <c:ptCount val="1"/>
                <c:pt idx="0">
                  <c:v>资产合计(元)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keyData!$B$19:$N$19</c:f>
              <c:numCache>
                <c:formatCode>General</c:formatCode>
                <c:ptCount val="13"/>
                <c:pt idx="0">
                  <c:v>2019</c:v>
                </c:pt>
                <c:pt idx="1">
                  <c:v>2018</c:v>
                </c:pt>
                <c:pt idx="2">
                  <c:v>2017</c:v>
                </c:pt>
                <c:pt idx="3">
                  <c:v>2016</c:v>
                </c:pt>
                <c:pt idx="4">
                  <c:v>2015</c:v>
                </c:pt>
                <c:pt idx="5">
                  <c:v>2014</c:v>
                </c:pt>
                <c:pt idx="6">
                  <c:v>2013</c:v>
                </c:pt>
                <c:pt idx="7">
                  <c:v>2012</c:v>
                </c:pt>
                <c:pt idx="8">
                  <c:v>2011</c:v>
                </c:pt>
                <c:pt idx="9">
                  <c:v>2010</c:v>
                </c:pt>
                <c:pt idx="10">
                  <c:v>2009</c:v>
                </c:pt>
                <c:pt idx="11">
                  <c:v>2008</c:v>
                </c:pt>
                <c:pt idx="12">
                  <c:v>2007</c:v>
                </c:pt>
              </c:numCache>
            </c:numRef>
          </c:cat>
          <c:val>
            <c:numRef>
              <c:f>keyData!$B$24:$N$24</c:f>
              <c:numCache>
                <c:formatCode>0.00</c:formatCode>
                <c:ptCount val="13"/>
                <c:pt idx="0">
                  <c:v>1830.42372</c:v>
                </c:pt>
                <c:pt idx="1">
                  <c:v>1598.4667469999999</c:v>
                </c:pt>
                <c:pt idx="2">
                  <c:v>1346.101169</c:v>
                </c:pt>
                <c:pt idx="3">
                  <c:v>1129.3453830000001</c:v>
                </c:pt>
                <c:pt idx="4">
                  <c:v>863.014634</c:v>
                </c:pt>
                <c:pt idx="5">
                  <c:v>658.73165200000005</c:v>
                </c:pt>
                <c:pt idx="6">
                  <c:v>554.54150700000002</c:v>
                </c:pt>
                <c:pt idx="7">
                  <c:v>449.98209000000003</c:v>
                </c:pt>
                <c:pt idx="8">
                  <c:v>349.00869</c:v>
                </c:pt>
                <c:pt idx="9">
                  <c:v>255.875799</c:v>
                </c:pt>
                <c:pt idx="10">
                  <c:v>197.69623100000001</c:v>
                </c:pt>
                <c:pt idx="11">
                  <c:v>157.541878</c:v>
                </c:pt>
                <c:pt idx="12">
                  <c:v>104.814718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F-4E92-AEA5-CF173A1A1CA1}"/>
            </c:ext>
          </c:extLst>
        </c:ser>
        <c:ser>
          <c:idx val="1"/>
          <c:order val="1"/>
          <c:tx>
            <c:strRef>
              <c:f>keyData!$A$27</c:f>
              <c:strCache>
                <c:ptCount val="1"/>
                <c:pt idx="0">
                  <c:v>负债合计(元)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keyData!$B$27:$N$27</c:f>
              <c:numCache>
                <c:formatCode>0.00</c:formatCode>
                <c:ptCount val="13"/>
                <c:pt idx="0">
                  <c:v>411.659918</c:v>
                </c:pt>
                <c:pt idx="1">
                  <c:v>424.381868</c:v>
                </c:pt>
                <c:pt idx="2">
                  <c:v>385.90489400000001</c:v>
                </c:pt>
                <c:pt idx="3">
                  <c:v>370.35995400000002</c:v>
                </c:pt>
                <c:pt idx="4">
                  <c:v>200.67293000000001</c:v>
                </c:pt>
                <c:pt idx="5">
                  <c:v>105.61614400000001</c:v>
                </c:pt>
                <c:pt idx="6">
                  <c:v>113.250584</c:v>
                </c:pt>
                <c:pt idx="7">
                  <c:v>95.441726000000003</c:v>
                </c:pt>
                <c:pt idx="8">
                  <c:v>94.974894000000006</c:v>
                </c:pt>
                <c:pt idx="9">
                  <c:v>70.381901999999997</c:v>
                </c:pt>
                <c:pt idx="10">
                  <c:v>51.180577999999997</c:v>
                </c:pt>
                <c:pt idx="11">
                  <c:v>42.507694999999998</c:v>
                </c:pt>
                <c:pt idx="12">
                  <c:v>21.126161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EF-4E92-AEA5-CF173A1A1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0824648"/>
        <c:axId val="300824976"/>
      </c:barChart>
      <c:lineChart>
        <c:grouping val="standard"/>
        <c:varyColors val="0"/>
        <c:ser>
          <c:idx val="2"/>
          <c:order val="2"/>
          <c:tx>
            <c:strRef>
              <c:f>keyData!$A$29</c:f>
              <c:strCache>
                <c:ptCount val="1"/>
                <c:pt idx="0">
                  <c:v>所有者权益（或股东权益）合计(元)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keyData!$B$29:$N$29</c:f>
              <c:numCache>
                <c:formatCode>0.00</c:formatCode>
                <c:ptCount val="13"/>
                <c:pt idx="0">
                  <c:v>1418.7638019999999</c:v>
                </c:pt>
                <c:pt idx="1">
                  <c:v>1174.084879</c:v>
                </c:pt>
                <c:pt idx="2">
                  <c:v>960.19627500000001</c:v>
                </c:pt>
                <c:pt idx="3">
                  <c:v>758.98542899999995</c:v>
                </c:pt>
                <c:pt idx="4">
                  <c:v>662.34170400000005</c:v>
                </c:pt>
                <c:pt idx="5">
                  <c:v>553.11550799999998</c:v>
                </c:pt>
                <c:pt idx="6">
                  <c:v>441.29092300000002</c:v>
                </c:pt>
                <c:pt idx="7">
                  <c:v>354.54036400000001</c:v>
                </c:pt>
                <c:pt idx="8">
                  <c:v>254.033796</c:v>
                </c:pt>
                <c:pt idx="9">
                  <c:v>185.493897</c:v>
                </c:pt>
                <c:pt idx="10">
                  <c:v>146.51565400000001</c:v>
                </c:pt>
                <c:pt idx="11">
                  <c:v>115.034183</c:v>
                </c:pt>
                <c:pt idx="12">
                  <c:v>83.688558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EF-4E92-AEA5-CF173A1A1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824648"/>
        <c:axId val="300824976"/>
      </c:lineChart>
      <c:catAx>
        <c:axId val="300824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24976"/>
        <c:crosses val="autoZero"/>
        <c:auto val="1"/>
        <c:lblAlgn val="ctr"/>
        <c:lblOffset val="100"/>
        <c:noMultiLvlLbl val="0"/>
      </c:catAx>
      <c:valAx>
        <c:axId val="300824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24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keyData!$A$12</c:f>
              <c:strCache>
                <c:ptCount val="1"/>
                <c:pt idx="0">
                  <c:v>销售费用(元)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keyData!$B$12:$AD$12</c:f>
              <c:numCache>
                <c:formatCode>0.00</c:formatCode>
                <c:ptCount val="29"/>
                <c:pt idx="0">
                  <c:v>6.1252310000000003</c:v>
                </c:pt>
                <c:pt idx="1">
                  <c:v>5.0202799999999996</c:v>
                </c:pt>
                <c:pt idx="2">
                  <c:v>6.6130560000000003</c:v>
                </c:pt>
                <c:pt idx="3">
                  <c:v>6.6500260000000004</c:v>
                </c:pt>
                <c:pt idx="4">
                  <c:v>6.2702910000000003</c:v>
                </c:pt>
                <c:pt idx="5">
                  <c:v>11.154560999999999</c:v>
                </c:pt>
                <c:pt idx="6">
                  <c:v>8.7150309999999998</c:v>
                </c:pt>
                <c:pt idx="7">
                  <c:v>-2.7349969999999999</c:v>
                </c:pt>
                <c:pt idx="8">
                  <c:v>6.459886</c:v>
                </c:pt>
                <c:pt idx="9">
                  <c:v>12.544975000000001</c:v>
                </c:pt>
                <c:pt idx="10">
                  <c:v>9.4509050000000006</c:v>
                </c:pt>
                <c:pt idx="11">
                  <c:v>10.081576</c:v>
                </c:pt>
                <c:pt idx="12">
                  <c:v>5.9904039999999998</c:v>
                </c:pt>
                <c:pt idx="13">
                  <c:v>5.2643639999999996</c:v>
                </c:pt>
                <c:pt idx="14">
                  <c:v>8.5243409999999997</c:v>
                </c:pt>
                <c:pt idx="15">
                  <c:v>10.259416999999999</c:v>
                </c:pt>
                <c:pt idx="16">
                  <c:v>2.6768860000000001</c:v>
                </c:pt>
                <c:pt idx="17">
                  <c:v>2.1703619999999999</c:v>
                </c:pt>
                <c:pt idx="18">
                  <c:v>1.703854</c:v>
                </c:pt>
                <c:pt idx="19">
                  <c:v>5.4955999999999996</c:v>
                </c:pt>
                <c:pt idx="20">
                  <c:v>3.433875</c:v>
                </c:pt>
                <c:pt idx="21">
                  <c:v>3.4941420000000001</c:v>
                </c:pt>
                <c:pt idx="22">
                  <c:v>2.4259979999999999</c:v>
                </c:pt>
                <c:pt idx="23">
                  <c:v>6.9802210000000002</c:v>
                </c:pt>
                <c:pt idx="24">
                  <c:v>3.2990520000000001</c:v>
                </c:pt>
                <c:pt idx="25">
                  <c:v>3.1766019999999999</c:v>
                </c:pt>
                <c:pt idx="26">
                  <c:v>3.2914590000000001</c:v>
                </c:pt>
                <c:pt idx="27">
                  <c:v>6.9258280000000001</c:v>
                </c:pt>
                <c:pt idx="28">
                  <c:v>3.6575340000000001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26-49E0-BAD0-927C28C47BFA}"/>
            </c:ext>
          </c:extLst>
        </c:ser>
        <c:ser>
          <c:idx val="1"/>
          <c:order val="1"/>
          <c:tx>
            <c:strRef>
              <c:f>keyData!$A$13</c:f>
              <c:strCache>
                <c:ptCount val="1"/>
                <c:pt idx="0">
                  <c:v>管理费用(元)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keyData!$B$13:$AD$13</c:f>
              <c:numCache>
                <c:formatCode>0.00</c:formatCode>
                <c:ptCount val="29"/>
                <c:pt idx="0">
                  <c:v>15.769019</c:v>
                </c:pt>
                <c:pt idx="1">
                  <c:v>14.127605000000001</c:v>
                </c:pt>
                <c:pt idx="2">
                  <c:v>15.598532000000001</c:v>
                </c:pt>
                <c:pt idx="3">
                  <c:v>20.285748999999999</c:v>
                </c:pt>
                <c:pt idx="4">
                  <c:v>14.235493</c:v>
                </c:pt>
                <c:pt idx="5">
                  <c:v>12.590555999999999</c:v>
                </c:pt>
                <c:pt idx="6">
                  <c:v>14.56803</c:v>
                </c:pt>
                <c:pt idx="7">
                  <c:v>16.416501</c:v>
                </c:pt>
                <c:pt idx="8">
                  <c:v>12.311441</c:v>
                </c:pt>
                <c:pt idx="9">
                  <c:v>12.516550000000001</c:v>
                </c:pt>
                <c:pt idx="10">
                  <c:v>12.014915999999999</c:v>
                </c:pt>
                <c:pt idx="11">
                  <c:v>15.980229</c:v>
                </c:pt>
                <c:pt idx="12">
                  <c:v>10.715265</c:v>
                </c:pt>
                <c:pt idx="13">
                  <c:v>9.1001569999999994</c:v>
                </c:pt>
                <c:pt idx="14">
                  <c:v>11.222305</c:v>
                </c:pt>
                <c:pt idx="15">
                  <c:v>14.010856</c:v>
                </c:pt>
                <c:pt idx="16">
                  <c:v>9.2651240000000001</c:v>
                </c:pt>
                <c:pt idx="17">
                  <c:v>9.5457879999999999</c:v>
                </c:pt>
                <c:pt idx="18">
                  <c:v>9.0501299999999993</c:v>
                </c:pt>
                <c:pt idx="19">
                  <c:v>12.202712999999999</c:v>
                </c:pt>
                <c:pt idx="20">
                  <c:v>7.6544910000000002</c:v>
                </c:pt>
                <c:pt idx="21">
                  <c:v>9.0721120000000006</c:v>
                </c:pt>
                <c:pt idx="22">
                  <c:v>9.1992039999999999</c:v>
                </c:pt>
                <c:pt idx="23">
                  <c:v>10.415418000000001</c:v>
                </c:pt>
                <c:pt idx="24">
                  <c:v>8.4414929999999995</c:v>
                </c:pt>
                <c:pt idx="25">
                  <c:v>7.6186119999999997</c:v>
                </c:pt>
                <c:pt idx="26">
                  <c:v>7.3094720000000004</c:v>
                </c:pt>
                <c:pt idx="27">
                  <c:v>10.913073000000001</c:v>
                </c:pt>
                <c:pt idx="28">
                  <c:v>5.9155559999999996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26-49E0-BAD0-927C28C47BFA}"/>
            </c:ext>
          </c:extLst>
        </c:ser>
        <c:ser>
          <c:idx val="2"/>
          <c:order val="2"/>
          <c:tx>
            <c:strRef>
              <c:f>keyData!$A$14</c:f>
              <c:strCache>
                <c:ptCount val="1"/>
                <c:pt idx="0">
                  <c:v>研发费用(元)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keyData!$B$14:$AD$14</c:f>
              <c:numCache>
                <c:formatCode>0.00</c:formatCode>
                <c:ptCount val="29"/>
                <c:pt idx="0">
                  <c:v>0.14303399999999999</c:v>
                </c:pt>
                <c:pt idx="1">
                  <c:v>0.13241900000000001</c:v>
                </c:pt>
                <c:pt idx="2">
                  <c:v>0.103496</c:v>
                </c:pt>
                <c:pt idx="3">
                  <c:v>-0.16462299999999999</c:v>
                </c:pt>
                <c:pt idx="4">
                  <c:v>0.12554999999999999</c:v>
                </c:pt>
                <c:pt idx="5">
                  <c:v>0.436921</c:v>
                </c:pt>
                <c:pt idx="6">
                  <c:v>8.9040999999999995E-2</c:v>
                </c:pt>
                <c:pt idx="7">
                  <c:v>6.7511000000000002E-2</c:v>
                </c:pt>
                <c:pt idx="8">
                  <c:v>7.9336000000000004E-2</c:v>
                </c:pt>
                <c:pt idx="9">
                  <c:v>4.5557E-2</c:v>
                </c:pt>
                <c:pt idx="10">
                  <c:v>2.7132E-2</c:v>
                </c:pt>
                <c:pt idx="11">
                  <c:v>7.4810000000000001E-2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26-49E0-BAD0-927C28C47BFA}"/>
            </c:ext>
          </c:extLst>
        </c:ser>
        <c:ser>
          <c:idx val="3"/>
          <c:order val="3"/>
          <c:tx>
            <c:strRef>
              <c:f>keyData!$A$15</c:f>
              <c:strCache>
                <c:ptCount val="1"/>
                <c:pt idx="0">
                  <c:v>财务费用(元)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keyData!$B$2:$AD$2</c:f>
              <c:strCache>
                <c:ptCount val="29"/>
                <c:pt idx="0">
                  <c:v>2020-09-30</c:v>
                </c:pt>
                <c:pt idx="1">
                  <c:v>2020-06-30</c:v>
                </c:pt>
                <c:pt idx="2">
                  <c:v>2020-03-31</c:v>
                </c:pt>
                <c:pt idx="3">
                  <c:v>2019-12-31</c:v>
                </c:pt>
                <c:pt idx="4">
                  <c:v>2019-09-30</c:v>
                </c:pt>
                <c:pt idx="5">
                  <c:v>2019-06-30</c:v>
                </c:pt>
                <c:pt idx="6">
                  <c:v>2019-03-31</c:v>
                </c:pt>
                <c:pt idx="7">
                  <c:v>2018-12-31</c:v>
                </c:pt>
                <c:pt idx="8">
                  <c:v>2018-09-30</c:v>
                </c:pt>
                <c:pt idx="9">
                  <c:v>2018-06-30</c:v>
                </c:pt>
                <c:pt idx="10">
                  <c:v>2018-03-31</c:v>
                </c:pt>
                <c:pt idx="11">
                  <c:v>2017-12-31</c:v>
                </c:pt>
                <c:pt idx="12">
                  <c:v>2017-09-30</c:v>
                </c:pt>
                <c:pt idx="13">
                  <c:v>2017-06-30</c:v>
                </c:pt>
                <c:pt idx="14">
                  <c:v>2017-03-31</c:v>
                </c:pt>
                <c:pt idx="15">
                  <c:v>2016-12-31</c:v>
                </c:pt>
                <c:pt idx="16">
                  <c:v>2016-09-30</c:v>
                </c:pt>
                <c:pt idx="17">
                  <c:v>2016-06-30</c:v>
                </c:pt>
                <c:pt idx="18">
                  <c:v>2016-03-31</c:v>
                </c:pt>
                <c:pt idx="19">
                  <c:v>2015-12-31</c:v>
                </c:pt>
                <c:pt idx="20">
                  <c:v>2015-09-30</c:v>
                </c:pt>
                <c:pt idx="21">
                  <c:v>2015-06-30</c:v>
                </c:pt>
                <c:pt idx="22">
                  <c:v>2015-03-31</c:v>
                </c:pt>
                <c:pt idx="23">
                  <c:v>2014-12-31</c:v>
                </c:pt>
                <c:pt idx="24">
                  <c:v>2014-09-30</c:v>
                </c:pt>
                <c:pt idx="25">
                  <c:v>2014-06-30</c:v>
                </c:pt>
                <c:pt idx="26">
                  <c:v>2014-03-31</c:v>
                </c:pt>
                <c:pt idx="27">
                  <c:v>2013-12-31</c:v>
                </c:pt>
                <c:pt idx="28">
                  <c:v>2013-09-30</c:v>
                </c:pt>
              </c:strCache>
            </c:strRef>
          </c:cat>
          <c:val>
            <c:numRef>
              <c:f>keyData!$B$15:$AD$15</c:f>
              <c:numCache>
                <c:formatCode>0.00</c:formatCode>
                <c:ptCount val="29"/>
                <c:pt idx="0">
                  <c:v>-0.82458699999999996</c:v>
                </c:pt>
                <c:pt idx="1">
                  <c:v>-0.67709900000000001</c:v>
                </c:pt>
                <c:pt idx="2">
                  <c:v>-5.1351000000000001E-2</c:v>
                </c:pt>
                <c:pt idx="3">
                  <c:v>0.08</c:v>
                </c:pt>
                <c:pt idx="4">
                  <c:v>1.3708E-2</c:v>
                </c:pt>
                <c:pt idx="5">
                  <c:v>-1.5753E-2</c:v>
                </c:pt>
                <c:pt idx="6">
                  <c:v>-3.375E-3</c:v>
                </c:pt>
                <c:pt idx="7">
                  <c:v>8.6289999999999995E-3</c:v>
                </c:pt>
                <c:pt idx="8">
                  <c:v>-1.5950000000000001E-3</c:v>
                </c:pt>
                <c:pt idx="9">
                  <c:v>-7.6400000000000001E-3</c:v>
                </c:pt>
                <c:pt idx="10">
                  <c:v>-3.4605999999999998E-2</c:v>
                </c:pt>
                <c:pt idx="11">
                  <c:v>-0.164491</c:v>
                </c:pt>
                <c:pt idx="12">
                  <c:v>-1.7680000000000001E-2</c:v>
                </c:pt>
                <c:pt idx="13">
                  <c:v>-8.0109E-2</c:v>
                </c:pt>
                <c:pt idx="14">
                  <c:v>-0.29494300000000001</c:v>
                </c:pt>
                <c:pt idx="15">
                  <c:v>-0.31873200000000002</c:v>
                </c:pt>
                <c:pt idx="16">
                  <c:v>0.109241</c:v>
                </c:pt>
                <c:pt idx="17">
                  <c:v>-9.1947000000000001E-2</c:v>
                </c:pt>
                <c:pt idx="18">
                  <c:v>-3.0314000000000001E-2</c:v>
                </c:pt>
                <c:pt idx="19">
                  <c:v>-0.15134700000000001</c:v>
                </c:pt>
                <c:pt idx="20">
                  <c:v>-0.33136500000000002</c:v>
                </c:pt>
                <c:pt idx="21">
                  <c:v>-0.125226</c:v>
                </c:pt>
                <c:pt idx="22">
                  <c:v>-6.4729999999999996E-2</c:v>
                </c:pt>
                <c:pt idx="23">
                  <c:v>-0.27396700000000002</c:v>
                </c:pt>
                <c:pt idx="24">
                  <c:v>-0.41882900000000001</c:v>
                </c:pt>
                <c:pt idx="25">
                  <c:v>-0.29765999999999998</c:v>
                </c:pt>
                <c:pt idx="26">
                  <c:v>-0.241232</c:v>
                </c:pt>
                <c:pt idx="27">
                  <c:v>-0.85247499999999998</c:v>
                </c:pt>
                <c:pt idx="28">
                  <c:v>-1.0503629999999999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26-49E0-BAD0-927C28C47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3591912"/>
        <c:axId val="393590600"/>
      </c:barChart>
      <c:catAx>
        <c:axId val="393591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90600"/>
        <c:crosses val="autoZero"/>
        <c:auto val="1"/>
        <c:lblAlgn val="ctr"/>
        <c:lblOffset val="100"/>
        <c:noMultiLvlLbl val="0"/>
      </c:catAx>
      <c:valAx>
        <c:axId val="393590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9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4C-45B8-965A-A9FF23166C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4C-45B8-965A-A9FF23166CD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34C-45B8-965A-A9FF23166CD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34C-45B8-965A-A9FF23166CD4}"/>
              </c:ext>
            </c:extLst>
          </c:dPt>
          <c:cat>
            <c:strRef>
              <c:f>(keyData!$A$21,keyData!$A$23,keyData!$A$25,keyData!$A$26)</c:f>
              <c:strCache>
                <c:ptCount val="4"/>
                <c:pt idx="0">
                  <c:v>流动资产合计(元)</c:v>
                </c:pt>
                <c:pt idx="1">
                  <c:v>非流动资产合计(元)</c:v>
                </c:pt>
                <c:pt idx="2">
                  <c:v>流动负债合计(元)</c:v>
                </c:pt>
                <c:pt idx="3">
                  <c:v>非流动负债合计(元)</c:v>
                </c:pt>
              </c:strCache>
            </c:strRef>
          </c:cat>
          <c:val>
            <c:numRef>
              <c:f>(keyData!$B$21,keyData!$B$23,keyData!$B$25,keyData!$B$26)</c:f>
              <c:numCache>
                <c:formatCode>0.00</c:formatCode>
                <c:ptCount val="4"/>
                <c:pt idx="0">
                  <c:v>1590.2447199999999</c:v>
                </c:pt>
                <c:pt idx="1">
                  <c:v>240.179</c:v>
                </c:pt>
                <c:pt idx="2">
                  <c:v>410.93299200000001</c:v>
                </c:pt>
                <c:pt idx="3">
                  <c:v>0.72692599999999996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4C-45B8-965A-A9FF23166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23</xdr:col>
      <xdr:colOff>304800</xdr:colOff>
      <xdr:row>14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7</xdr:col>
      <xdr:colOff>304800</xdr:colOff>
      <xdr:row>30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15</xdr:col>
      <xdr:colOff>304800</xdr:colOff>
      <xdr:row>30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23</xdr:col>
      <xdr:colOff>304800</xdr:colOff>
      <xdr:row>30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32</xdr:row>
      <xdr:rowOff>0</xdr:rowOff>
    </xdr:from>
    <xdr:to>
      <xdr:col>15</xdr:col>
      <xdr:colOff>304800</xdr:colOff>
      <xdr:row>46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7</xdr:col>
      <xdr:colOff>304800</xdr:colOff>
      <xdr:row>46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32</xdr:row>
      <xdr:rowOff>0</xdr:rowOff>
    </xdr:from>
    <xdr:to>
      <xdr:col>23</xdr:col>
      <xdr:colOff>304800</xdr:colOff>
      <xdr:row>46</xdr:row>
      <xdr:rowOff>76200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16</xdr:row>
          <xdr:rowOff>66675</xdr:rowOff>
        </xdr:from>
        <xdr:to>
          <xdr:col>8</xdr:col>
          <xdr:colOff>457200</xdr:colOff>
          <xdr:row>20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导入Excel表格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28575</xdr:rowOff>
        </xdr:from>
        <xdr:to>
          <xdr:col>8</xdr:col>
          <xdr:colOff>371475</xdr:colOff>
          <xdr:row>27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B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改单位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24</xdr:row>
          <xdr:rowOff>38100</xdr:rowOff>
        </xdr:from>
        <xdr:to>
          <xdr:col>13</xdr:col>
          <xdr:colOff>66675</xdr:colOff>
          <xdr:row>27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B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改单位 #2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31</xdr:row>
          <xdr:rowOff>47625</xdr:rowOff>
        </xdr:from>
        <xdr:to>
          <xdr:col>8</xdr:col>
          <xdr:colOff>361950</xdr:colOff>
          <xdr:row>35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B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提取关键数据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39</xdr:row>
          <xdr:rowOff>47625</xdr:rowOff>
        </xdr:from>
        <xdr:to>
          <xdr:col>8</xdr:col>
          <xdr:colOff>304800</xdr:colOff>
          <xdr:row>43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B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制作图表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39</xdr:row>
          <xdr:rowOff>76200</xdr:rowOff>
        </xdr:from>
        <xdr:to>
          <xdr:col>12</xdr:col>
          <xdr:colOff>142875</xdr:colOff>
          <xdr:row>43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B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制作图表2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39</xdr:row>
          <xdr:rowOff>133350</xdr:rowOff>
        </xdr:from>
        <xdr:to>
          <xdr:col>16</xdr:col>
          <xdr:colOff>228600</xdr:colOff>
          <xdr:row>42</xdr:row>
          <xdr:rowOff>180975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B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Reverse_order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161925</xdr:rowOff>
        </xdr:from>
        <xdr:to>
          <xdr:col>20</xdr:col>
          <xdr:colOff>533400</xdr:colOff>
          <xdr:row>42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B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制作图表3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45</xdr:row>
          <xdr:rowOff>152400</xdr:rowOff>
        </xdr:from>
        <xdr:to>
          <xdr:col>8</xdr:col>
          <xdr:colOff>276225</xdr:colOff>
          <xdr:row>49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B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导出比率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31</xdr:row>
          <xdr:rowOff>123825</xdr:rowOff>
        </xdr:from>
        <xdr:to>
          <xdr:col>13</xdr:col>
          <xdr:colOff>76200</xdr:colOff>
          <xdr:row>35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B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patch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52</xdr:row>
          <xdr:rowOff>95250</xdr:rowOff>
        </xdr:from>
        <xdr:to>
          <xdr:col>8</xdr:col>
          <xdr:colOff>285750</xdr:colOff>
          <xdr:row>56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B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制作方便复制到Js里的数据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60</xdr:row>
          <xdr:rowOff>47625</xdr:rowOff>
        </xdr:from>
        <xdr:to>
          <xdr:col>7</xdr:col>
          <xdr:colOff>0</xdr:colOff>
          <xdr:row>63</xdr:row>
          <xdr:rowOff>152400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B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60</xdr:row>
          <xdr:rowOff>76200</xdr:rowOff>
        </xdr:from>
        <xdr:to>
          <xdr:col>10</xdr:col>
          <xdr:colOff>600075</xdr:colOff>
          <xdr:row>63</xdr:row>
          <xdr:rowOff>161925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B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Patch #1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1" Type="http://schemas.openxmlformats.org/officeDocument/2006/relationships/hyperlink" Target="http://stockpage.10jqka.com.cn/601012/finance/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859D-B9EB-4575-839C-13FB366B0C38}">
  <sheetPr codeName="Sheet2"/>
  <dimension ref="A2:CC26"/>
  <sheetViews>
    <sheetView workbookViewId="0">
      <selection activeCell="D33" sqref="D33"/>
    </sheetView>
  </sheetViews>
  <sheetFormatPr defaultRowHeight="15" x14ac:dyDescent="0.25"/>
  <cols>
    <col min="1" max="1" width="25" style="2" customWidth="1"/>
    <col min="2" max="81" width="10" style="2" customWidth="1"/>
    <col min="82" max="256" width="9.140625" style="2"/>
    <col min="257" max="257" width="25" style="2" customWidth="1"/>
    <col min="258" max="337" width="10" style="2" customWidth="1"/>
    <col min="338" max="512" width="9.140625" style="2"/>
    <col min="513" max="513" width="25" style="2" customWidth="1"/>
    <col min="514" max="593" width="10" style="2" customWidth="1"/>
    <col min="594" max="768" width="9.140625" style="2"/>
    <col min="769" max="769" width="25" style="2" customWidth="1"/>
    <col min="770" max="849" width="10" style="2" customWidth="1"/>
    <col min="850" max="1024" width="9.140625" style="2"/>
    <col min="1025" max="1025" width="25" style="2" customWidth="1"/>
    <col min="1026" max="1105" width="10" style="2" customWidth="1"/>
    <col min="1106" max="1280" width="9.140625" style="2"/>
    <col min="1281" max="1281" width="25" style="2" customWidth="1"/>
    <col min="1282" max="1361" width="10" style="2" customWidth="1"/>
    <col min="1362" max="1536" width="9.140625" style="2"/>
    <col min="1537" max="1537" width="25" style="2" customWidth="1"/>
    <col min="1538" max="1617" width="10" style="2" customWidth="1"/>
    <col min="1618" max="1792" width="9.140625" style="2"/>
    <col min="1793" max="1793" width="25" style="2" customWidth="1"/>
    <col min="1794" max="1873" width="10" style="2" customWidth="1"/>
    <col min="1874" max="2048" width="9.140625" style="2"/>
    <col min="2049" max="2049" width="25" style="2" customWidth="1"/>
    <col min="2050" max="2129" width="10" style="2" customWidth="1"/>
    <col min="2130" max="2304" width="9.140625" style="2"/>
    <col min="2305" max="2305" width="25" style="2" customWidth="1"/>
    <col min="2306" max="2385" width="10" style="2" customWidth="1"/>
    <col min="2386" max="2560" width="9.140625" style="2"/>
    <col min="2561" max="2561" width="25" style="2" customWidth="1"/>
    <col min="2562" max="2641" width="10" style="2" customWidth="1"/>
    <col min="2642" max="2816" width="9.140625" style="2"/>
    <col min="2817" max="2817" width="25" style="2" customWidth="1"/>
    <col min="2818" max="2897" width="10" style="2" customWidth="1"/>
    <col min="2898" max="3072" width="9.140625" style="2"/>
    <col min="3073" max="3073" width="25" style="2" customWidth="1"/>
    <col min="3074" max="3153" width="10" style="2" customWidth="1"/>
    <col min="3154" max="3328" width="9.140625" style="2"/>
    <col min="3329" max="3329" width="25" style="2" customWidth="1"/>
    <col min="3330" max="3409" width="10" style="2" customWidth="1"/>
    <col min="3410" max="3584" width="9.140625" style="2"/>
    <col min="3585" max="3585" width="25" style="2" customWidth="1"/>
    <col min="3586" max="3665" width="10" style="2" customWidth="1"/>
    <col min="3666" max="3840" width="9.140625" style="2"/>
    <col min="3841" max="3841" width="25" style="2" customWidth="1"/>
    <col min="3842" max="3921" width="10" style="2" customWidth="1"/>
    <col min="3922" max="4096" width="9.140625" style="2"/>
    <col min="4097" max="4097" width="25" style="2" customWidth="1"/>
    <col min="4098" max="4177" width="10" style="2" customWidth="1"/>
    <col min="4178" max="4352" width="9.140625" style="2"/>
    <col min="4353" max="4353" width="25" style="2" customWidth="1"/>
    <col min="4354" max="4433" width="10" style="2" customWidth="1"/>
    <col min="4434" max="4608" width="9.140625" style="2"/>
    <col min="4609" max="4609" width="25" style="2" customWidth="1"/>
    <col min="4610" max="4689" width="10" style="2" customWidth="1"/>
    <col min="4690" max="4864" width="9.140625" style="2"/>
    <col min="4865" max="4865" width="25" style="2" customWidth="1"/>
    <col min="4866" max="4945" width="10" style="2" customWidth="1"/>
    <col min="4946" max="5120" width="9.140625" style="2"/>
    <col min="5121" max="5121" width="25" style="2" customWidth="1"/>
    <col min="5122" max="5201" width="10" style="2" customWidth="1"/>
    <col min="5202" max="5376" width="9.140625" style="2"/>
    <col min="5377" max="5377" width="25" style="2" customWidth="1"/>
    <col min="5378" max="5457" width="10" style="2" customWidth="1"/>
    <col min="5458" max="5632" width="9.140625" style="2"/>
    <col min="5633" max="5633" width="25" style="2" customWidth="1"/>
    <col min="5634" max="5713" width="10" style="2" customWidth="1"/>
    <col min="5714" max="5888" width="9.140625" style="2"/>
    <col min="5889" max="5889" width="25" style="2" customWidth="1"/>
    <col min="5890" max="5969" width="10" style="2" customWidth="1"/>
    <col min="5970" max="6144" width="9.140625" style="2"/>
    <col min="6145" max="6145" width="25" style="2" customWidth="1"/>
    <col min="6146" max="6225" width="10" style="2" customWidth="1"/>
    <col min="6226" max="6400" width="9.140625" style="2"/>
    <col min="6401" max="6401" width="25" style="2" customWidth="1"/>
    <col min="6402" max="6481" width="10" style="2" customWidth="1"/>
    <col min="6482" max="6656" width="9.140625" style="2"/>
    <col min="6657" max="6657" width="25" style="2" customWidth="1"/>
    <col min="6658" max="6737" width="10" style="2" customWidth="1"/>
    <col min="6738" max="6912" width="9.140625" style="2"/>
    <col min="6913" max="6913" width="25" style="2" customWidth="1"/>
    <col min="6914" max="6993" width="10" style="2" customWidth="1"/>
    <col min="6994" max="7168" width="9.140625" style="2"/>
    <col min="7169" max="7169" width="25" style="2" customWidth="1"/>
    <col min="7170" max="7249" width="10" style="2" customWidth="1"/>
    <col min="7250" max="7424" width="9.140625" style="2"/>
    <col min="7425" max="7425" width="25" style="2" customWidth="1"/>
    <col min="7426" max="7505" width="10" style="2" customWidth="1"/>
    <col min="7506" max="7680" width="9.140625" style="2"/>
    <col min="7681" max="7681" width="25" style="2" customWidth="1"/>
    <col min="7682" max="7761" width="10" style="2" customWidth="1"/>
    <col min="7762" max="7936" width="9.140625" style="2"/>
    <col min="7937" max="7937" width="25" style="2" customWidth="1"/>
    <col min="7938" max="8017" width="10" style="2" customWidth="1"/>
    <col min="8018" max="8192" width="9.140625" style="2"/>
    <col min="8193" max="8193" width="25" style="2" customWidth="1"/>
    <col min="8194" max="8273" width="10" style="2" customWidth="1"/>
    <col min="8274" max="8448" width="9.140625" style="2"/>
    <col min="8449" max="8449" width="25" style="2" customWidth="1"/>
    <col min="8450" max="8529" width="10" style="2" customWidth="1"/>
    <col min="8530" max="8704" width="9.140625" style="2"/>
    <col min="8705" max="8705" width="25" style="2" customWidth="1"/>
    <col min="8706" max="8785" width="10" style="2" customWidth="1"/>
    <col min="8786" max="8960" width="9.140625" style="2"/>
    <col min="8961" max="8961" width="25" style="2" customWidth="1"/>
    <col min="8962" max="9041" width="10" style="2" customWidth="1"/>
    <col min="9042" max="9216" width="9.140625" style="2"/>
    <col min="9217" max="9217" width="25" style="2" customWidth="1"/>
    <col min="9218" max="9297" width="10" style="2" customWidth="1"/>
    <col min="9298" max="9472" width="9.140625" style="2"/>
    <col min="9473" max="9473" width="25" style="2" customWidth="1"/>
    <col min="9474" max="9553" width="10" style="2" customWidth="1"/>
    <col min="9554" max="9728" width="9.140625" style="2"/>
    <col min="9729" max="9729" width="25" style="2" customWidth="1"/>
    <col min="9730" max="9809" width="10" style="2" customWidth="1"/>
    <col min="9810" max="9984" width="9.140625" style="2"/>
    <col min="9985" max="9985" width="25" style="2" customWidth="1"/>
    <col min="9986" max="10065" width="10" style="2" customWidth="1"/>
    <col min="10066" max="10240" width="9.140625" style="2"/>
    <col min="10241" max="10241" width="25" style="2" customWidth="1"/>
    <col min="10242" max="10321" width="10" style="2" customWidth="1"/>
    <col min="10322" max="10496" width="9.140625" style="2"/>
    <col min="10497" max="10497" width="25" style="2" customWidth="1"/>
    <col min="10498" max="10577" width="10" style="2" customWidth="1"/>
    <col min="10578" max="10752" width="9.140625" style="2"/>
    <col min="10753" max="10753" width="25" style="2" customWidth="1"/>
    <col min="10754" max="10833" width="10" style="2" customWidth="1"/>
    <col min="10834" max="11008" width="9.140625" style="2"/>
    <col min="11009" max="11009" width="25" style="2" customWidth="1"/>
    <col min="11010" max="11089" width="10" style="2" customWidth="1"/>
    <col min="11090" max="11264" width="9.140625" style="2"/>
    <col min="11265" max="11265" width="25" style="2" customWidth="1"/>
    <col min="11266" max="11345" width="10" style="2" customWidth="1"/>
    <col min="11346" max="11520" width="9.140625" style="2"/>
    <col min="11521" max="11521" width="25" style="2" customWidth="1"/>
    <col min="11522" max="11601" width="10" style="2" customWidth="1"/>
    <col min="11602" max="11776" width="9.140625" style="2"/>
    <col min="11777" max="11777" width="25" style="2" customWidth="1"/>
    <col min="11778" max="11857" width="10" style="2" customWidth="1"/>
    <col min="11858" max="12032" width="9.140625" style="2"/>
    <col min="12033" max="12033" width="25" style="2" customWidth="1"/>
    <col min="12034" max="12113" width="10" style="2" customWidth="1"/>
    <col min="12114" max="12288" width="9.140625" style="2"/>
    <col min="12289" max="12289" width="25" style="2" customWidth="1"/>
    <col min="12290" max="12369" width="10" style="2" customWidth="1"/>
    <col min="12370" max="12544" width="9.140625" style="2"/>
    <col min="12545" max="12545" width="25" style="2" customWidth="1"/>
    <col min="12546" max="12625" width="10" style="2" customWidth="1"/>
    <col min="12626" max="12800" width="9.140625" style="2"/>
    <col min="12801" max="12801" width="25" style="2" customWidth="1"/>
    <col min="12802" max="12881" width="10" style="2" customWidth="1"/>
    <col min="12882" max="13056" width="9.140625" style="2"/>
    <col min="13057" max="13057" width="25" style="2" customWidth="1"/>
    <col min="13058" max="13137" width="10" style="2" customWidth="1"/>
    <col min="13138" max="13312" width="9.140625" style="2"/>
    <col min="13313" max="13313" width="25" style="2" customWidth="1"/>
    <col min="13314" max="13393" width="10" style="2" customWidth="1"/>
    <col min="13394" max="13568" width="9.140625" style="2"/>
    <col min="13569" max="13569" width="25" style="2" customWidth="1"/>
    <col min="13570" max="13649" width="10" style="2" customWidth="1"/>
    <col min="13650" max="13824" width="9.140625" style="2"/>
    <col min="13825" max="13825" width="25" style="2" customWidth="1"/>
    <col min="13826" max="13905" width="10" style="2" customWidth="1"/>
    <col min="13906" max="14080" width="9.140625" style="2"/>
    <col min="14081" max="14081" width="25" style="2" customWidth="1"/>
    <col min="14082" max="14161" width="10" style="2" customWidth="1"/>
    <col min="14162" max="14336" width="9.140625" style="2"/>
    <col min="14337" max="14337" width="25" style="2" customWidth="1"/>
    <col min="14338" max="14417" width="10" style="2" customWidth="1"/>
    <col min="14418" max="14592" width="9.140625" style="2"/>
    <col min="14593" max="14593" width="25" style="2" customWidth="1"/>
    <col min="14594" max="14673" width="10" style="2" customWidth="1"/>
    <col min="14674" max="14848" width="9.140625" style="2"/>
    <col min="14849" max="14849" width="25" style="2" customWidth="1"/>
    <col min="14850" max="14929" width="10" style="2" customWidth="1"/>
    <col min="14930" max="15104" width="9.140625" style="2"/>
    <col min="15105" max="15105" width="25" style="2" customWidth="1"/>
    <col min="15106" max="15185" width="10" style="2" customWidth="1"/>
    <col min="15186" max="15360" width="9.140625" style="2"/>
    <col min="15361" max="15361" width="25" style="2" customWidth="1"/>
    <col min="15362" max="15441" width="10" style="2" customWidth="1"/>
    <col min="15442" max="15616" width="9.140625" style="2"/>
    <col min="15617" max="15617" width="25" style="2" customWidth="1"/>
    <col min="15618" max="15697" width="10" style="2" customWidth="1"/>
    <col min="15698" max="15872" width="9.140625" style="2"/>
    <col min="15873" max="15873" width="25" style="2" customWidth="1"/>
    <col min="15874" max="15953" width="10" style="2" customWidth="1"/>
    <col min="15954" max="16128" width="9.140625" style="2"/>
    <col min="16129" max="16129" width="25" style="2" customWidth="1"/>
    <col min="16130" max="16209" width="10" style="2" customWidth="1"/>
    <col min="16210" max="16384" width="9.140625" style="2"/>
  </cols>
  <sheetData>
    <row r="2" spans="1:81" x14ac:dyDescent="0.25">
      <c r="A2" s="2" t="s">
        <v>10</v>
      </c>
      <c r="B2" s="2" t="s">
        <v>56</v>
      </c>
      <c r="C2" s="2" t="s">
        <v>57</v>
      </c>
      <c r="D2" s="2" t="s">
        <v>58</v>
      </c>
      <c r="E2" s="2" t="s">
        <v>59</v>
      </c>
      <c r="F2" s="2" t="s">
        <v>60</v>
      </c>
      <c r="G2" s="2" t="s">
        <v>61</v>
      </c>
      <c r="H2" s="2" t="s">
        <v>62</v>
      </c>
      <c r="I2" s="2" t="s">
        <v>63</v>
      </c>
      <c r="J2" s="2" t="s">
        <v>64</v>
      </c>
      <c r="K2" s="2" t="s">
        <v>65</v>
      </c>
      <c r="L2" s="2" t="s">
        <v>66</v>
      </c>
      <c r="M2" s="2" t="s">
        <v>67</v>
      </c>
      <c r="N2" s="2" t="s">
        <v>68</v>
      </c>
      <c r="O2" s="2" t="s">
        <v>69</v>
      </c>
      <c r="P2" s="2" t="s">
        <v>70</v>
      </c>
      <c r="Q2" s="2" t="s">
        <v>71</v>
      </c>
      <c r="R2" s="2" t="s">
        <v>72</v>
      </c>
      <c r="S2" s="2" t="s">
        <v>73</v>
      </c>
      <c r="T2" s="2" t="s">
        <v>74</v>
      </c>
      <c r="U2" s="2" t="s">
        <v>75</v>
      </c>
      <c r="V2" s="2" t="s">
        <v>76</v>
      </c>
      <c r="W2" s="2" t="s">
        <v>77</v>
      </c>
      <c r="X2" s="2" t="s">
        <v>78</v>
      </c>
      <c r="Y2" s="2" t="s">
        <v>79</v>
      </c>
      <c r="Z2" s="2" t="s">
        <v>80</v>
      </c>
      <c r="AA2" s="2" t="s">
        <v>81</v>
      </c>
      <c r="AB2" s="2" t="s">
        <v>82</v>
      </c>
      <c r="AC2" s="2" t="s">
        <v>83</v>
      </c>
      <c r="AD2" s="2" t="s">
        <v>84</v>
      </c>
      <c r="AE2" s="2" t="s">
        <v>85</v>
      </c>
      <c r="AF2" s="2" t="s">
        <v>86</v>
      </c>
      <c r="AG2" s="2" t="s">
        <v>87</v>
      </c>
      <c r="AH2" s="2" t="s">
        <v>88</v>
      </c>
      <c r="AI2" s="2" t="s">
        <v>89</v>
      </c>
      <c r="AJ2" s="2" t="s">
        <v>90</v>
      </c>
      <c r="AK2" s="2" t="s">
        <v>91</v>
      </c>
      <c r="AL2" s="2" t="s">
        <v>92</v>
      </c>
      <c r="AM2" s="2" t="s">
        <v>93</v>
      </c>
      <c r="AN2" s="2" t="s">
        <v>94</v>
      </c>
      <c r="AO2" s="2" t="s">
        <v>95</v>
      </c>
      <c r="AP2" s="2" t="s">
        <v>96</v>
      </c>
      <c r="AQ2" s="2" t="s">
        <v>97</v>
      </c>
      <c r="AR2" s="2" t="s">
        <v>98</v>
      </c>
      <c r="AS2" s="2" t="s">
        <v>99</v>
      </c>
      <c r="AT2" s="2" t="s">
        <v>100</v>
      </c>
      <c r="AU2" s="2" t="s">
        <v>101</v>
      </c>
      <c r="AV2" s="2" t="s">
        <v>102</v>
      </c>
      <c r="AW2" s="2" t="s">
        <v>103</v>
      </c>
      <c r="AX2" s="2" t="s">
        <v>104</v>
      </c>
      <c r="AY2" s="2" t="s">
        <v>105</v>
      </c>
      <c r="AZ2" s="2" t="s">
        <v>106</v>
      </c>
      <c r="BA2" s="2" t="s">
        <v>107</v>
      </c>
      <c r="BB2" s="2" t="s">
        <v>108</v>
      </c>
      <c r="BC2" s="2" t="s">
        <v>109</v>
      </c>
      <c r="BD2" s="2" t="s">
        <v>110</v>
      </c>
      <c r="BE2" s="2" t="s">
        <v>111</v>
      </c>
      <c r="BF2" s="2" t="s">
        <v>112</v>
      </c>
      <c r="BG2" s="2" t="s">
        <v>113</v>
      </c>
      <c r="BH2" s="2" t="s">
        <v>114</v>
      </c>
      <c r="BI2" s="2" t="s">
        <v>115</v>
      </c>
      <c r="BJ2" s="2" t="s">
        <v>116</v>
      </c>
      <c r="BK2" s="2" t="s">
        <v>117</v>
      </c>
      <c r="BL2" s="2" t="s">
        <v>118</v>
      </c>
      <c r="BM2" s="2" t="s">
        <v>119</v>
      </c>
      <c r="BN2" s="2" t="s">
        <v>120</v>
      </c>
      <c r="BO2" s="2" t="s">
        <v>121</v>
      </c>
      <c r="BP2" s="2" t="s">
        <v>122</v>
      </c>
      <c r="BQ2" s="2" t="s">
        <v>123</v>
      </c>
      <c r="BR2" s="2" t="s">
        <v>124</v>
      </c>
      <c r="BS2" s="2" t="s">
        <v>125</v>
      </c>
      <c r="BT2" s="2" t="s">
        <v>126</v>
      </c>
      <c r="BU2" s="2" t="s">
        <v>127</v>
      </c>
      <c r="BV2" s="2" t="s">
        <v>128</v>
      </c>
      <c r="BW2" s="2" t="s">
        <v>129</v>
      </c>
      <c r="BX2" s="2" t="s">
        <v>130</v>
      </c>
      <c r="BY2" s="2" t="s">
        <v>131</v>
      </c>
      <c r="BZ2" s="2" t="s">
        <v>274</v>
      </c>
      <c r="CA2" s="2" t="s">
        <v>275</v>
      </c>
      <c r="CB2" s="2" t="s">
        <v>276</v>
      </c>
      <c r="CC2" s="2" t="s">
        <v>277</v>
      </c>
    </row>
    <row r="3" spans="1:81" x14ac:dyDescent="0.25">
      <c r="A3" s="3" t="s">
        <v>22</v>
      </c>
      <c r="B3" s="3">
        <v>11225448900</v>
      </c>
      <c r="C3" s="3">
        <v>9507884900</v>
      </c>
      <c r="D3" s="3">
        <v>13093770200</v>
      </c>
      <c r="E3" s="3">
        <v>10751615600</v>
      </c>
      <c r="F3" s="3">
        <v>10503829800</v>
      </c>
      <c r="G3" s="3">
        <v>8729594300</v>
      </c>
      <c r="H3" s="3">
        <v>11221431300</v>
      </c>
      <c r="I3" s="3">
        <v>10470072500</v>
      </c>
      <c r="J3" s="3">
        <v>8969366900</v>
      </c>
      <c r="K3" s="3">
        <v>7257279100</v>
      </c>
      <c r="L3" s="3">
        <v>8506906700</v>
      </c>
      <c r="M3" s="3">
        <v>7095513300</v>
      </c>
      <c r="N3" s="3">
        <v>8732986100</v>
      </c>
      <c r="O3" s="3">
        <v>5127741600</v>
      </c>
      <c r="P3" s="3">
        <v>6123119300</v>
      </c>
      <c r="Q3" s="3">
        <v>4252785000</v>
      </c>
      <c r="R3" s="3">
        <v>3662940600</v>
      </c>
      <c r="S3" s="3">
        <v>3913365500</v>
      </c>
      <c r="T3" s="3">
        <v>4889271600</v>
      </c>
      <c r="U3" s="3">
        <v>4078452500</v>
      </c>
      <c r="V3" s="3">
        <v>3536405500</v>
      </c>
      <c r="W3" s="3">
        <v>3523330600</v>
      </c>
      <c r="X3" s="3">
        <v>4364901700</v>
      </c>
      <c r="Y3" s="3">
        <v>4656475100</v>
      </c>
      <c r="Z3" s="3">
        <v>3463475400</v>
      </c>
      <c r="AA3" s="3">
        <v>3530467600</v>
      </c>
      <c r="AB3" s="3">
        <v>3699386300</v>
      </c>
      <c r="AC3" s="3">
        <v>4066445300</v>
      </c>
      <c r="AD3" s="3">
        <v>3822249800</v>
      </c>
      <c r="AE3" s="3">
        <v>3654846600</v>
      </c>
      <c r="AF3" s="3">
        <v>3593098100</v>
      </c>
      <c r="AG3" s="3">
        <v>2888020400</v>
      </c>
      <c r="AH3" s="3">
        <v>3424337600</v>
      </c>
      <c r="AI3" s="3">
        <v>4026505800</v>
      </c>
      <c r="AJ3" s="3">
        <v>2969215800</v>
      </c>
      <c r="AK3" s="3">
        <v>2194061300</v>
      </c>
      <c r="AL3" s="3">
        <v>1661907500</v>
      </c>
      <c r="AM3" s="3">
        <v>3023182200</v>
      </c>
      <c r="AN3" s="3">
        <v>1883995000</v>
      </c>
      <c r="AO3" s="3">
        <v>877020200</v>
      </c>
      <c r="AP3" s="3">
        <v>1074416700</v>
      </c>
      <c r="AQ3" s="3">
        <v>1834094700</v>
      </c>
      <c r="AR3" s="3">
        <v>1265662600</v>
      </c>
      <c r="AS3" s="3">
        <v>525494700</v>
      </c>
      <c r="AT3" s="3">
        <v>996674900</v>
      </c>
      <c r="AU3" s="3">
        <v>1573267000</v>
      </c>
      <c r="AV3" s="3">
        <v>1217009500</v>
      </c>
      <c r="AW3" s="3">
        <v>654721700</v>
      </c>
      <c r="AX3" s="3">
        <v>905197800</v>
      </c>
      <c r="AY3" s="3">
        <v>1366207000</v>
      </c>
      <c r="AZ3" s="3">
        <v>873354100</v>
      </c>
      <c r="BA3" s="3">
        <v>1240337000</v>
      </c>
      <c r="BB3" s="3">
        <v>740770900</v>
      </c>
      <c r="BC3" s="3">
        <v>313646200</v>
      </c>
      <c r="BD3" s="3">
        <v>536077500</v>
      </c>
      <c r="BE3" s="3">
        <v>535805100</v>
      </c>
      <c r="BF3" s="3">
        <v>434938100</v>
      </c>
      <c r="BG3" s="3">
        <v>141619600</v>
      </c>
      <c r="BH3" s="3">
        <v>432449600</v>
      </c>
      <c r="BI3" s="3">
        <v>416056000</v>
      </c>
      <c r="BJ3" s="3">
        <v>221698700</v>
      </c>
      <c r="BK3" s="3">
        <v>111647500</v>
      </c>
      <c r="BL3" s="3">
        <v>369139400</v>
      </c>
      <c r="BM3" s="3">
        <v>304984800</v>
      </c>
      <c r="BN3" s="3">
        <v>166485000</v>
      </c>
      <c r="BO3" s="3">
        <v>87580400</v>
      </c>
      <c r="BP3" s="3">
        <v>261503800</v>
      </c>
      <c r="BQ3" s="3">
        <v>232248100</v>
      </c>
      <c r="BR3" s="3">
        <v>101978900</v>
      </c>
      <c r="BS3" s="3">
        <v>34911800</v>
      </c>
      <c r="BT3" s="3">
        <v>217609000</v>
      </c>
      <c r="BU3" s="3">
        <v>66932900</v>
      </c>
      <c r="BV3" s="3">
        <v>70974600</v>
      </c>
      <c r="BW3" s="3">
        <v>31827700</v>
      </c>
      <c r="BX3" s="3">
        <v>206448300</v>
      </c>
      <c r="BY3" s="3" t="s">
        <v>133</v>
      </c>
      <c r="BZ3" s="3" t="s">
        <v>133</v>
      </c>
      <c r="CA3" s="3" t="s">
        <v>133</v>
      </c>
      <c r="CB3" s="3" t="s">
        <v>133</v>
      </c>
      <c r="CC3" s="3" t="s">
        <v>133</v>
      </c>
    </row>
    <row r="4" spans="1:81" x14ac:dyDescent="0.25">
      <c r="A4" s="3" t="s">
        <v>39</v>
      </c>
      <c r="B4" s="3" t="s">
        <v>278</v>
      </c>
      <c r="C4" s="3" t="s">
        <v>279</v>
      </c>
      <c r="D4" s="3" t="s">
        <v>280</v>
      </c>
      <c r="E4" s="3" t="s">
        <v>281</v>
      </c>
      <c r="F4" s="3" t="s">
        <v>282</v>
      </c>
      <c r="G4" s="3" t="s">
        <v>283</v>
      </c>
      <c r="H4" s="3" t="s">
        <v>284</v>
      </c>
      <c r="I4" s="3" t="s">
        <v>285</v>
      </c>
      <c r="J4" s="3" t="s">
        <v>286</v>
      </c>
      <c r="K4" s="3" t="s">
        <v>287</v>
      </c>
      <c r="L4" s="3" t="s">
        <v>288</v>
      </c>
      <c r="M4" s="3" t="s">
        <v>289</v>
      </c>
      <c r="N4" s="3" t="s">
        <v>290</v>
      </c>
      <c r="O4" s="3" t="s">
        <v>291</v>
      </c>
      <c r="P4" s="3" t="s">
        <v>292</v>
      </c>
      <c r="Q4" s="3" t="s">
        <v>293</v>
      </c>
      <c r="R4" s="3" t="s">
        <v>294</v>
      </c>
      <c r="S4" s="3" t="s">
        <v>295</v>
      </c>
      <c r="T4" s="3" t="s">
        <v>296</v>
      </c>
      <c r="U4" s="3" t="s">
        <v>297</v>
      </c>
      <c r="V4" s="3" t="s">
        <v>298</v>
      </c>
      <c r="W4" s="3" t="s">
        <v>299</v>
      </c>
      <c r="X4" s="3" t="s">
        <v>300</v>
      </c>
      <c r="Y4" s="3" t="s">
        <v>301</v>
      </c>
      <c r="Z4" s="3" t="s">
        <v>302</v>
      </c>
      <c r="AA4" s="3" t="s">
        <v>303</v>
      </c>
      <c r="AB4" s="3" t="s">
        <v>304</v>
      </c>
      <c r="AC4" s="3" t="s">
        <v>305</v>
      </c>
      <c r="AD4" s="3" t="s">
        <v>306</v>
      </c>
      <c r="AE4" s="3" t="s">
        <v>307</v>
      </c>
      <c r="AF4" s="3" t="s">
        <v>308</v>
      </c>
      <c r="AG4" s="3" t="s">
        <v>309</v>
      </c>
      <c r="AH4" s="3" t="s">
        <v>310</v>
      </c>
      <c r="AI4" s="3" t="s">
        <v>311</v>
      </c>
      <c r="AJ4" s="3" t="s">
        <v>312</v>
      </c>
      <c r="AK4" s="3" t="s">
        <v>313</v>
      </c>
      <c r="AL4" s="3" t="s">
        <v>314</v>
      </c>
      <c r="AM4" s="3" t="s">
        <v>315</v>
      </c>
      <c r="AN4" s="3" t="s">
        <v>316</v>
      </c>
      <c r="AO4" s="3" t="s">
        <v>317</v>
      </c>
      <c r="AP4" s="3" t="s">
        <v>318</v>
      </c>
      <c r="AQ4" s="3" t="s">
        <v>319</v>
      </c>
      <c r="AR4" s="3" t="s">
        <v>320</v>
      </c>
      <c r="AS4" s="3" t="s">
        <v>321</v>
      </c>
      <c r="AT4" s="3" t="s">
        <v>322</v>
      </c>
      <c r="AU4" s="3" t="s">
        <v>323</v>
      </c>
      <c r="AV4" s="3" t="s">
        <v>324</v>
      </c>
      <c r="AW4" s="3" t="s">
        <v>325</v>
      </c>
      <c r="AX4" s="3" t="s">
        <v>326</v>
      </c>
      <c r="AY4" s="3" t="s">
        <v>327</v>
      </c>
      <c r="AZ4" s="3" t="s">
        <v>328</v>
      </c>
      <c r="BA4" s="3" t="s">
        <v>329</v>
      </c>
      <c r="BB4" s="3" t="s">
        <v>330</v>
      </c>
      <c r="BC4" s="3" t="s">
        <v>331</v>
      </c>
      <c r="BD4" s="3" t="s">
        <v>332</v>
      </c>
      <c r="BE4" s="3" t="s">
        <v>333</v>
      </c>
      <c r="BF4" s="3" t="s">
        <v>334</v>
      </c>
      <c r="BG4" s="3" t="s">
        <v>335</v>
      </c>
      <c r="BH4" s="3" t="s">
        <v>336</v>
      </c>
      <c r="BI4" s="3" t="s">
        <v>337</v>
      </c>
      <c r="BJ4" s="3" t="s">
        <v>338</v>
      </c>
      <c r="BK4" s="3" t="s">
        <v>339</v>
      </c>
      <c r="BL4" s="3" t="s">
        <v>340</v>
      </c>
      <c r="BM4" s="3" t="s">
        <v>341</v>
      </c>
      <c r="BN4" s="3" t="s">
        <v>342</v>
      </c>
      <c r="BO4" s="3" t="s">
        <v>343</v>
      </c>
      <c r="BP4" s="3" t="s">
        <v>344</v>
      </c>
      <c r="BQ4" s="3" t="s">
        <v>345</v>
      </c>
      <c r="BR4" s="3" t="s">
        <v>346</v>
      </c>
      <c r="BS4" s="3" t="s">
        <v>347</v>
      </c>
      <c r="BT4" s="3" t="s">
        <v>348</v>
      </c>
      <c r="BU4" s="3" t="s">
        <v>133</v>
      </c>
      <c r="BV4" s="3" t="s">
        <v>133</v>
      </c>
      <c r="BW4" s="3" t="s">
        <v>133</v>
      </c>
      <c r="BX4" s="3" t="s">
        <v>133</v>
      </c>
      <c r="BY4" s="3" t="s">
        <v>133</v>
      </c>
      <c r="BZ4" s="3" t="s">
        <v>133</v>
      </c>
      <c r="CA4" s="3" t="s">
        <v>133</v>
      </c>
      <c r="CB4" s="3" t="s">
        <v>133</v>
      </c>
      <c r="CC4" s="3" t="s">
        <v>133</v>
      </c>
    </row>
    <row r="5" spans="1:81" x14ac:dyDescent="0.25">
      <c r="A5" s="3" t="s">
        <v>33</v>
      </c>
      <c r="B5" s="3">
        <v>11229374500</v>
      </c>
      <c r="C5" s="3">
        <v>9517509600</v>
      </c>
      <c r="D5" s="3">
        <v>13155216700</v>
      </c>
      <c r="E5" s="3">
        <v>10872688100</v>
      </c>
      <c r="F5" s="3">
        <v>10502781700</v>
      </c>
      <c r="G5" s="3">
        <v>8729717400</v>
      </c>
      <c r="H5" s="3">
        <v>11301721800</v>
      </c>
      <c r="I5" s="3">
        <v>10656432500</v>
      </c>
      <c r="J5" s="3">
        <v>9044842600</v>
      </c>
      <c r="K5" s="3">
        <v>7373389600</v>
      </c>
      <c r="L5" s="3">
        <v>8510778900</v>
      </c>
      <c r="M5" s="3">
        <v>7137074800</v>
      </c>
      <c r="N5" s="3">
        <v>8807132300</v>
      </c>
      <c r="O5" s="3">
        <v>5131691900</v>
      </c>
      <c r="P5" s="3">
        <v>6148184700</v>
      </c>
      <c r="Q5" s="3">
        <v>4409415600</v>
      </c>
      <c r="R5" s="3">
        <v>3746325200</v>
      </c>
      <c r="S5" s="3">
        <v>3912661000</v>
      </c>
      <c r="T5" s="3">
        <v>4886287200</v>
      </c>
      <c r="U5" s="3">
        <v>4096361500</v>
      </c>
      <c r="V5" s="3">
        <v>3630609100</v>
      </c>
      <c r="W5" s="3">
        <v>3523259900</v>
      </c>
      <c r="X5" s="3">
        <v>4366636000</v>
      </c>
      <c r="Y5" s="3">
        <v>4729416000</v>
      </c>
      <c r="Z5" s="3">
        <v>3541452700</v>
      </c>
      <c r="AA5" s="3">
        <v>3544860200</v>
      </c>
      <c r="AB5" s="3">
        <v>3705104500</v>
      </c>
      <c r="AC5" s="3">
        <v>4135175800</v>
      </c>
      <c r="AD5" s="3">
        <v>3873617800</v>
      </c>
      <c r="AE5" s="3">
        <v>3669879900</v>
      </c>
      <c r="AF5" s="3">
        <v>3772853900</v>
      </c>
      <c r="AG5" s="3">
        <v>2908242800</v>
      </c>
      <c r="AH5" s="3">
        <v>3497684100</v>
      </c>
      <c r="AI5" s="3">
        <v>4027608800</v>
      </c>
      <c r="AJ5" s="3">
        <v>2967835800</v>
      </c>
      <c r="AK5" s="3">
        <v>2193167600</v>
      </c>
      <c r="AL5" s="3">
        <v>1662529200</v>
      </c>
      <c r="AM5" s="3">
        <v>3026320700</v>
      </c>
      <c r="AN5" s="3">
        <v>1882675900</v>
      </c>
      <c r="AO5" s="3">
        <v>875586500</v>
      </c>
      <c r="AP5" s="3">
        <v>1073269800</v>
      </c>
      <c r="AQ5" s="3">
        <v>1833615100</v>
      </c>
      <c r="AR5" s="3">
        <v>1267754800</v>
      </c>
      <c r="AS5" s="3">
        <v>520783500</v>
      </c>
      <c r="AT5" s="3">
        <v>997802400</v>
      </c>
      <c r="AU5" s="3">
        <v>1572637200</v>
      </c>
      <c r="AV5" s="3">
        <v>1216891500</v>
      </c>
      <c r="AW5" s="3">
        <v>652288900</v>
      </c>
      <c r="AX5" s="3">
        <v>904340100</v>
      </c>
      <c r="AY5" s="3">
        <v>1373083600</v>
      </c>
      <c r="AZ5" s="3">
        <v>872926200</v>
      </c>
      <c r="BA5" s="3">
        <v>1244115600</v>
      </c>
      <c r="BB5" s="3">
        <v>740665500</v>
      </c>
      <c r="BC5" s="3">
        <v>312936700</v>
      </c>
      <c r="BD5" s="3">
        <v>535335500</v>
      </c>
      <c r="BE5" s="3">
        <v>547180400</v>
      </c>
      <c r="BF5" s="3">
        <v>345679200</v>
      </c>
      <c r="BG5" s="3">
        <v>155266300</v>
      </c>
      <c r="BH5" s="3">
        <v>449371300</v>
      </c>
      <c r="BI5" s="3">
        <v>416280100</v>
      </c>
      <c r="BJ5" s="3">
        <v>221621500</v>
      </c>
      <c r="BK5" s="3">
        <v>110852800</v>
      </c>
      <c r="BL5" s="3">
        <v>369131700</v>
      </c>
      <c r="BM5" s="3">
        <v>303345800</v>
      </c>
      <c r="BN5" s="3">
        <v>166400000</v>
      </c>
      <c r="BO5" s="3">
        <v>87567200</v>
      </c>
      <c r="BP5" s="3">
        <v>261494800</v>
      </c>
      <c r="BQ5" s="3">
        <v>231937000</v>
      </c>
      <c r="BR5" s="3">
        <v>101429800</v>
      </c>
      <c r="BS5" s="3">
        <v>252137300</v>
      </c>
      <c r="BT5" s="3" t="s">
        <v>133</v>
      </c>
      <c r="BU5" s="3">
        <v>68780600</v>
      </c>
      <c r="BV5" s="3">
        <v>71154600</v>
      </c>
      <c r="BW5" s="3">
        <v>238253300</v>
      </c>
      <c r="BX5" s="3" t="s">
        <v>133</v>
      </c>
      <c r="BY5" s="3" t="s">
        <v>133</v>
      </c>
      <c r="BZ5" s="3" t="s">
        <v>133</v>
      </c>
      <c r="CA5" s="3" t="s">
        <v>133</v>
      </c>
      <c r="CB5" s="3" t="s">
        <v>133</v>
      </c>
      <c r="CC5" s="3" t="s">
        <v>133</v>
      </c>
    </row>
    <row r="6" spans="1:81" x14ac:dyDescent="0.25">
      <c r="A6" s="3" t="s">
        <v>349</v>
      </c>
      <c r="B6" s="3" t="s">
        <v>350</v>
      </c>
      <c r="C6" s="3" t="s">
        <v>351</v>
      </c>
      <c r="D6" s="3" t="s">
        <v>352</v>
      </c>
      <c r="E6" s="3" t="s">
        <v>353</v>
      </c>
      <c r="F6" s="3" t="s">
        <v>354</v>
      </c>
      <c r="G6" s="3" t="s">
        <v>355</v>
      </c>
      <c r="H6" s="3" t="s">
        <v>356</v>
      </c>
      <c r="I6" s="3" t="s">
        <v>357</v>
      </c>
      <c r="J6" s="3" t="s">
        <v>358</v>
      </c>
      <c r="K6" s="3" t="s">
        <v>346</v>
      </c>
      <c r="L6" s="3" t="s">
        <v>359</v>
      </c>
      <c r="M6" s="3" t="s">
        <v>360</v>
      </c>
      <c r="N6" s="3" t="s">
        <v>361</v>
      </c>
      <c r="O6" s="3" t="s">
        <v>362</v>
      </c>
      <c r="P6" s="3" t="s">
        <v>363</v>
      </c>
      <c r="Q6" s="3" t="s">
        <v>364</v>
      </c>
      <c r="R6" s="3" t="s">
        <v>365</v>
      </c>
      <c r="S6" s="3" t="s">
        <v>366</v>
      </c>
      <c r="T6" s="3" t="s">
        <v>367</v>
      </c>
      <c r="U6" s="3" t="s">
        <v>368</v>
      </c>
      <c r="V6" s="3" t="s">
        <v>369</v>
      </c>
      <c r="W6" s="3" t="s">
        <v>370</v>
      </c>
      <c r="X6" s="3" t="s">
        <v>371</v>
      </c>
      <c r="Y6" s="3" t="s">
        <v>372</v>
      </c>
      <c r="Z6" s="3" t="s">
        <v>373</v>
      </c>
      <c r="AA6" s="3" t="s">
        <v>374</v>
      </c>
      <c r="AB6" s="3" t="s">
        <v>375</v>
      </c>
      <c r="AC6" s="3" t="s">
        <v>376</v>
      </c>
      <c r="AD6" s="3" t="s">
        <v>377</v>
      </c>
      <c r="AE6" s="3" t="s">
        <v>378</v>
      </c>
      <c r="AF6" s="3" t="s">
        <v>379</v>
      </c>
      <c r="AG6" s="3" t="s">
        <v>380</v>
      </c>
      <c r="AH6" s="3" t="s">
        <v>381</v>
      </c>
      <c r="AI6" s="3" t="s">
        <v>382</v>
      </c>
      <c r="AJ6" s="3" t="s">
        <v>383</v>
      </c>
      <c r="AK6" s="3" t="s">
        <v>384</v>
      </c>
      <c r="AL6" s="3" t="s">
        <v>385</v>
      </c>
      <c r="AM6" s="3" t="s">
        <v>386</v>
      </c>
      <c r="AN6" s="3" t="s">
        <v>387</v>
      </c>
      <c r="AO6" s="3" t="s">
        <v>388</v>
      </c>
      <c r="AP6" s="3" t="s">
        <v>389</v>
      </c>
      <c r="AQ6" s="3" t="s">
        <v>390</v>
      </c>
      <c r="AR6" s="3" t="s">
        <v>391</v>
      </c>
      <c r="AS6" s="3" t="s">
        <v>392</v>
      </c>
      <c r="AT6" s="3" t="s">
        <v>393</v>
      </c>
      <c r="AU6" s="3" t="s">
        <v>394</v>
      </c>
      <c r="AV6" s="3" t="s">
        <v>395</v>
      </c>
      <c r="AW6" s="3" t="s">
        <v>396</v>
      </c>
      <c r="AX6" s="3" t="s">
        <v>397</v>
      </c>
      <c r="AY6" s="3" t="s">
        <v>398</v>
      </c>
      <c r="AZ6" s="3" t="s">
        <v>399</v>
      </c>
      <c r="BA6" s="3" t="s">
        <v>400</v>
      </c>
      <c r="BB6" s="3" t="s">
        <v>401</v>
      </c>
      <c r="BC6" s="3" t="s">
        <v>402</v>
      </c>
      <c r="BD6" s="3" t="s">
        <v>403</v>
      </c>
      <c r="BE6" s="3" t="s">
        <v>404</v>
      </c>
      <c r="BF6" s="3" t="s">
        <v>405</v>
      </c>
      <c r="BG6" s="3" t="s">
        <v>406</v>
      </c>
      <c r="BH6" s="3" t="s">
        <v>407</v>
      </c>
      <c r="BI6" s="3" t="s">
        <v>408</v>
      </c>
      <c r="BJ6" s="3" t="s">
        <v>311</v>
      </c>
      <c r="BK6" s="3" t="s">
        <v>409</v>
      </c>
      <c r="BL6" s="3" t="s">
        <v>340</v>
      </c>
      <c r="BM6" s="3" t="s">
        <v>410</v>
      </c>
      <c r="BN6" s="3" t="s">
        <v>411</v>
      </c>
      <c r="BO6" s="3" t="s">
        <v>412</v>
      </c>
      <c r="BP6" s="3" t="s">
        <v>133</v>
      </c>
      <c r="BQ6" s="3" t="s">
        <v>413</v>
      </c>
      <c r="BR6" s="3" t="s">
        <v>414</v>
      </c>
      <c r="BS6" s="3" t="s">
        <v>415</v>
      </c>
      <c r="BT6" s="3" t="s">
        <v>133</v>
      </c>
      <c r="BU6" s="3" t="s">
        <v>133</v>
      </c>
      <c r="BV6" s="3" t="s">
        <v>133</v>
      </c>
      <c r="BW6" s="3" t="s">
        <v>133</v>
      </c>
      <c r="BX6" s="3" t="s">
        <v>133</v>
      </c>
      <c r="BY6" s="3" t="s">
        <v>133</v>
      </c>
      <c r="BZ6" s="3" t="s">
        <v>133</v>
      </c>
      <c r="CA6" s="3" t="s">
        <v>133</v>
      </c>
      <c r="CB6" s="3" t="s">
        <v>133</v>
      </c>
      <c r="CC6" s="3" t="s">
        <v>133</v>
      </c>
    </row>
    <row r="7" spans="1:81" x14ac:dyDescent="0.25">
      <c r="A7" s="3" t="s">
        <v>34</v>
      </c>
      <c r="B7" s="3">
        <v>23940505584.950001</v>
      </c>
      <c r="C7" s="3">
        <v>20335879249.639999</v>
      </c>
      <c r="D7" s="3">
        <v>25298492025.939999</v>
      </c>
      <c r="E7" s="3">
        <v>25345674442.060001</v>
      </c>
      <c r="F7" s="3">
        <v>22335981736.759998</v>
      </c>
      <c r="G7" s="3">
        <v>18692156055.25</v>
      </c>
      <c r="H7" s="3">
        <v>22480525254.689999</v>
      </c>
      <c r="I7" s="3">
        <v>22230117658.799999</v>
      </c>
      <c r="J7" s="3">
        <v>19717801668.09</v>
      </c>
      <c r="K7" s="3">
        <v>16856207937.370001</v>
      </c>
      <c r="L7" s="3">
        <v>18395256845.959999</v>
      </c>
      <c r="M7" s="3">
        <v>16575382294.719999</v>
      </c>
      <c r="N7" s="3">
        <v>18993477826.41</v>
      </c>
      <c r="O7" s="3">
        <v>11580485375.73</v>
      </c>
      <c r="P7" s="3">
        <v>13913411369.299999</v>
      </c>
      <c r="Q7" s="3">
        <v>12622349261.91</v>
      </c>
      <c r="R7" s="3">
        <v>8795118059.2000008</v>
      </c>
      <c r="S7" s="3">
        <v>8486749508.1300001</v>
      </c>
      <c r="T7" s="3">
        <v>10250867583.690001</v>
      </c>
      <c r="U7" s="3">
        <v>9712539795.1000004</v>
      </c>
      <c r="V7" s="3">
        <v>7548667681.0100002</v>
      </c>
      <c r="W7" s="3">
        <v>7425283641.25</v>
      </c>
      <c r="X7" s="3">
        <v>8760367928.2199993</v>
      </c>
      <c r="Y7" s="3">
        <v>10043956018.76</v>
      </c>
      <c r="Z7" s="3">
        <v>7557618464.21</v>
      </c>
      <c r="AA7" s="3">
        <v>7033899623.9700003</v>
      </c>
      <c r="AB7" s="3">
        <v>7581739634.1400003</v>
      </c>
      <c r="AC7" s="3">
        <v>9068214851.0699997</v>
      </c>
      <c r="AD7" s="3">
        <v>7864949634.5699997</v>
      </c>
      <c r="AE7" s="3">
        <v>6971645884.9799995</v>
      </c>
      <c r="AF7" s="3">
        <v>7165785851.6099997</v>
      </c>
      <c r="AG7" s="3">
        <v>6523896552.5100002</v>
      </c>
      <c r="AH7" s="3">
        <v>6667000764.0699997</v>
      </c>
      <c r="AI7" s="3">
        <v>7248470094.79</v>
      </c>
      <c r="AJ7" s="3">
        <v>6015967741.6199999</v>
      </c>
      <c r="AK7" s="3">
        <v>4760279727.2299995</v>
      </c>
      <c r="AL7" s="3">
        <v>3816252052.9899998</v>
      </c>
      <c r="AM7" s="3">
        <v>5605234329.1400003</v>
      </c>
      <c r="AN7" s="3">
        <v>4220589097.9400001</v>
      </c>
      <c r="AO7" s="3">
        <v>2305705956.0599999</v>
      </c>
      <c r="AP7" s="3">
        <v>2740311421.3400002</v>
      </c>
      <c r="AQ7" s="3">
        <v>3547360262.3699999</v>
      </c>
      <c r="AR7" s="3">
        <v>3039906100.4099998</v>
      </c>
      <c r="AS7" s="3">
        <v>1862796679.6099999</v>
      </c>
      <c r="AT7" s="3">
        <v>2261196354.4899998</v>
      </c>
      <c r="AU7" s="3">
        <v>3033468864.0900002</v>
      </c>
      <c r="AV7" s="3">
        <v>2512537167.1999998</v>
      </c>
      <c r="AW7" s="3">
        <v>1755168283.0999999</v>
      </c>
      <c r="AX7" s="3">
        <v>1866799971.4100001</v>
      </c>
      <c r="AY7" s="3">
        <v>2626220914.1399999</v>
      </c>
      <c r="AZ7" s="3">
        <v>1993496395.46</v>
      </c>
      <c r="BA7" s="3">
        <v>2779048497.8600001</v>
      </c>
      <c r="BB7" s="3">
        <v>1829293372.8399999</v>
      </c>
      <c r="BC7" s="3">
        <v>1041550780.74</v>
      </c>
      <c r="BD7" s="3">
        <v>1587538095.6800001</v>
      </c>
      <c r="BE7" s="3">
        <v>1650991953.6600001</v>
      </c>
      <c r="BF7" s="3">
        <v>1238891283.6900001</v>
      </c>
      <c r="BG7" s="3">
        <v>660486658.28999996</v>
      </c>
      <c r="BH7" s="3">
        <v>1353005869.77</v>
      </c>
      <c r="BI7" s="3">
        <v>1350196364.3599999</v>
      </c>
      <c r="BJ7" s="3">
        <v>894174531.34000003</v>
      </c>
      <c r="BK7" s="3">
        <v>542127021.28999996</v>
      </c>
      <c r="BL7" s="3">
        <v>1144017320.6199999</v>
      </c>
      <c r="BM7" s="3">
        <v>939355347.26999998</v>
      </c>
      <c r="BN7" s="3">
        <v>756328963.59000003</v>
      </c>
      <c r="BO7" s="3">
        <v>460677303.19999999</v>
      </c>
      <c r="BP7" s="3">
        <v>853431905.86000001</v>
      </c>
      <c r="BQ7" s="3">
        <v>848273574.83000004</v>
      </c>
      <c r="BR7" s="3">
        <v>543696794.62</v>
      </c>
      <c r="BS7" s="3">
        <v>275158309.58999997</v>
      </c>
      <c r="BT7" s="3">
        <v>733889255.88999999</v>
      </c>
      <c r="BU7" s="3">
        <v>471012070.57999998</v>
      </c>
      <c r="BV7" s="3">
        <v>408232011.69999999</v>
      </c>
      <c r="BW7" s="3">
        <v>237639354.09</v>
      </c>
      <c r="BX7" s="3">
        <v>718014858.52999997</v>
      </c>
      <c r="BY7" s="3" t="s">
        <v>133</v>
      </c>
      <c r="BZ7" s="3" t="s">
        <v>133</v>
      </c>
      <c r="CA7" s="3" t="s">
        <v>133</v>
      </c>
      <c r="CB7" s="3" t="s">
        <v>133</v>
      </c>
      <c r="CC7" s="3" t="s">
        <v>133</v>
      </c>
    </row>
    <row r="8" spans="1:81" x14ac:dyDescent="0.25">
      <c r="A8" s="3" t="s">
        <v>40</v>
      </c>
      <c r="B8" s="3" t="s">
        <v>416</v>
      </c>
      <c r="C8" s="3" t="s">
        <v>417</v>
      </c>
      <c r="D8" s="3" t="s">
        <v>418</v>
      </c>
      <c r="E8" s="3" t="s">
        <v>419</v>
      </c>
      <c r="F8" s="3" t="s">
        <v>420</v>
      </c>
      <c r="G8" s="3" t="s">
        <v>421</v>
      </c>
      <c r="H8" s="3" t="s">
        <v>422</v>
      </c>
      <c r="I8" s="3" t="s">
        <v>423</v>
      </c>
      <c r="J8" s="3" t="s">
        <v>424</v>
      </c>
      <c r="K8" s="3" t="s">
        <v>425</v>
      </c>
      <c r="L8" s="3" t="s">
        <v>426</v>
      </c>
      <c r="M8" s="3" t="s">
        <v>341</v>
      </c>
      <c r="N8" s="3" t="s">
        <v>427</v>
      </c>
      <c r="O8" s="3" t="s">
        <v>428</v>
      </c>
      <c r="P8" s="3" t="s">
        <v>429</v>
      </c>
      <c r="Q8" s="3" t="s">
        <v>430</v>
      </c>
      <c r="R8" s="3" t="s">
        <v>431</v>
      </c>
      <c r="S8" s="3" t="s">
        <v>432</v>
      </c>
      <c r="T8" s="3" t="s">
        <v>433</v>
      </c>
      <c r="U8" s="3" t="s">
        <v>434</v>
      </c>
      <c r="V8" s="3" t="s">
        <v>435</v>
      </c>
      <c r="W8" s="3" t="s">
        <v>436</v>
      </c>
      <c r="X8" s="3" t="s">
        <v>437</v>
      </c>
      <c r="Y8" s="3" t="s">
        <v>438</v>
      </c>
      <c r="Z8" s="3" t="s">
        <v>439</v>
      </c>
      <c r="AA8" s="3" t="s">
        <v>440</v>
      </c>
      <c r="AB8" s="3" t="s">
        <v>441</v>
      </c>
      <c r="AC8" s="3" t="s">
        <v>442</v>
      </c>
      <c r="AD8" s="3" t="s">
        <v>443</v>
      </c>
      <c r="AE8" s="3" t="s">
        <v>444</v>
      </c>
      <c r="AF8" s="3" t="s">
        <v>445</v>
      </c>
      <c r="AG8" s="3" t="s">
        <v>446</v>
      </c>
      <c r="AH8" s="3" t="s">
        <v>447</v>
      </c>
      <c r="AI8" s="3" t="s">
        <v>448</v>
      </c>
      <c r="AJ8" s="3" t="s">
        <v>449</v>
      </c>
      <c r="AK8" s="3" t="s">
        <v>450</v>
      </c>
      <c r="AL8" s="3" t="s">
        <v>451</v>
      </c>
      <c r="AM8" s="3" t="s">
        <v>452</v>
      </c>
      <c r="AN8" s="3" t="s">
        <v>453</v>
      </c>
      <c r="AO8" s="3" t="s">
        <v>454</v>
      </c>
      <c r="AP8" s="3" t="s">
        <v>455</v>
      </c>
      <c r="AQ8" s="3" t="s">
        <v>456</v>
      </c>
      <c r="AR8" s="3" t="s">
        <v>457</v>
      </c>
      <c r="AS8" s="3" t="s">
        <v>458</v>
      </c>
      <c r="AT8" s="3" t="s">
        <v>459</v>
      </c>
      <c r="AU8" s="3" t="s">
        <v>460</v>
      </c>
      <c r="AV8" s="3" t="s">
        <v>461</v>
      </c>
      <c r="AW8" s="3" t="s">
        <v>462</v>
      </c>
      <c r="AX8" s="3" t="s">
        <v>463</v>
      </c>
      <c r="AY8" s="3" t="s">
        <v>464</v>
      </c>
      <c r="AZ8" s="3" t="s">
        <v>465</v>
      </c>
      <c r="BA8" s="3" t="s">
        <v>466</v>
      </c>
      <c r="BB8" s="3" t="s">
        <v>467</v>
      </c>
      <c r="BC8" s="3" t="s">
        <v>468</v>
      </c>
      <c r="BD8" s="3" t="s">
        <v>469</v>
      </c>
      <c r="BE8" s="3" t="s">
        <v>470</v>
      </c>
      <c r="BF8" s="3" t="s">
        <v>471</v>
      </c>
      <c r="BG8" s="3" t="s">
        <v>472</v>
      </c>
      <c r="BH8" s="3" t="s">
        <v>473</v>
      </c>
      <c r="BI8" s="3" t="s">
        <v>474</v>
      </c>
      <c r="BJ8" s="3" t="s">
        <v>475</v>
      </c>
      <c r="BK8" s="3" t="s">
        <v>476</v>
      </c>
      <c r="BL8" s="3" t="s">
        <v>477</v>
      </c>
      <c r="BM8" s="3" t="s">
        <v>478</v>
      </c>
      <c r="BN8" s="3" t="s">
        <v>479</v>
      </c>
      <c r="BO8" s="3" t="s">
        <v>480</v>
      </c>
      <c r="BP8" s="3" t="s">
        <v>481</v>
      </c>
      <c r="BQ8" s="3" t="s">
        <v>482</v>
      </c>
      <c r="BR8" s="3" t="s">
        <v>483</v>
      </c>
      <c r="BS8" s="3" t="s">
        <v>484</v>
      </c>
      <c r="BT8" s="3" t="s">
        <v>485</v>
      </c>
      <c r="BU8" s="3" t="s">
        <v>133</v>
      </c>
      <c r="BV8" s="3" t="s">
        <v>133</v>
      </c>
      <c r="BW8" s="3" t="s">
        <v>133</v>
      </c>
      <c r="BX8" s="3" t="s">
        <v>133</v>
      </c>
      <c r="BY8" s="3" t="s">
        <v>133</v>
      </c>
      <c r="BZ8" s="3" t="s">
        <v>133</v>
      </c>
      <c r="CA8" s="3" t="s">
        <v>133</v>
      </c>
      <c r="CB8" s="3" t="s">
        <v>133</v>
      </c>
      <c r="CC8" s="3" t="s">
        <v>133</v>
      </c>
    </row>
    <row r="9" spans="1:81" x14ac:dyDescent="0.25">
      <c r="A9" s="3" t="s">
        <v>41</v>
      </c>
      <c r="B9" s="3">
        <v>8.94</v>
      </c>
      <c r="C9" s="3">
        <v>7.57</v>
      </c>
      <c r="D9" s="3">
        <v>10.42</v>
      </c>
      <c r="E9" s="3">
        <v>8.56</v>
      </c>
      <c r="F9" s="3">
        <v>8.36</v>
      </c>
      <c r="G9" s="3">
        <v>6.95</v>
      </c>
      <c r="H9" s="3">
        <v>8.93</v>
      </c>
      <c r="I9" s="3">
        <v>8.33</v>
      </c>
      <c r="J9" s="3">
        <v>7.14</v>
      </c>
      <c r="K9" s="3">
        <v>5.78</v>
      </c>
      <c r="L9" s="3">
        <v>6.77</v>
      </c>
      <c r="M9" s="3">
        <v>5.65</v>
      </c>
      <c r="N9" s="3">
        <v>6.95</v>
      </c>
      <c r="O9" s="3">
        <v>4.09</v>
      </c>
      <c r="P9" s="3">
        <v>4.87</v>
      </c>
      <c r="Q9" s="3">
        <v>3.39</v>
      </c>
      <c r="R9" s="3">
        <v>2.91</v>
      </c>
      <c r="S9" s="3">
        <v>3.12</v>
      </c>
      <c r="T9" s="3">
        <v>3.89</v>
      </c>
      <c r="U9" s="3">
        <v>3.25</v>
      </c>
      <c r="V9" s="3">
        <v>2.81</v>
      </c>
      <c r="W9" s="3">
        <v>2.81</v>
      </c>
      <c r="X9" s="3">
        <v>3.47</v>
      </c>
      <c r="Y9" s="3">
        <v>3.71</v>
      </c>
      <c r="Z9" s="3">
        <v>2.1800000000000002</v>
      </c>
      <c r="AA9" s="3">
        <v>3.09</v>
      </c>
      <c r="AB9" s="3">
        <v>3.24</v>
      </c>
      <c r="AC9" s="3">
        <v>3.56</v>
      </c>
      <c r="AD9" s="3">
        <v>3.34</v>
      </c>
      <c r="AE9" s="3">
        <v>2.89</v>
      </c>
      <c r="AF9" s="3">
        <v>3.46</v>
      </c>
      <c r="AG9" s="3">
        <v>2.78</v>
      </c>
      <c r="AH9" s="3">
        <v>3.3</v>
      </c>
      <c r="AI9" s="3">
        <v>3.88</v>
      </c>
      <c r="AJ9" s="3">
        <v>2.86</v>
      </c>
      <c r="AK9" s="3">
        <v>2.11</v>
      </c>
      <c r="AL9" s="3">
        <v>1.6</v>
      </c>
      <c r="AM9" s="3">
        <v>2.92</v>
      </c>
      <c r="AN9" s="3">
        <v>1.81</v>
      </c>
      <c r="AO9" s="3">
        <v>0.85</v>
      </c>
      <c r="AP9" s="3">
        <v>0.74</v>
      </c>
      <c r="AQ9" s="3">
        <v>1.94</v>
      </c>
      <c r="AR9" s="3">
        <v>1.34</v>
      </c>
      <c r="AS9" s="3">
        <v>0.56000000000000005</v>
      </c>
      <c r="AT9" s="3">
        <v>1.05</v>
      </c>
      <c r="AU9" s="3">
        <v>1.67</v>
      </c>
      <c r="AV9" s="3">
        <v>1.29</v>
      </c>
      <c r="AW9" s="3">
        <v>0.7</v>
      </c>
      <c r="AX9" s="3">
        <v>0.96</v>
      </c>
      <c r="AY9" s="3">
        <v>1.44</v>
      </c>
      <c r="AZ9" s="3">
        <v>0.93</v>
      </c>
      <c r="BA9" s="3">
        <v>1.31</v>
      </c>
      <c r="BB9" s="3">
        <v>0.79</v>
      </c>
      <c r="BC9" s="3">
        <v>0.33</v>
      </c>
      <c r="BD9" s="3">
        <v>0.56999999999999995</v>
      </c>
      <c r="BE9" s="3">
        <v>0.56999999999999995</v>
      </c>
      <c r="BF9" s="3">
        <v>0.46</v>
      </c>
      <c r="BG9" s="3">
        <v>-0.31</v>
      </c>
      <c r="BH9" s="3">
        <v>0.92</v>
      </c>
      <c r="BI9" s="3" t="s">
        <v>133</v>
      </c>
      <c r="BJ9" s="3" t="s">
        <v>133</v>
      </c>
      <c r="BK9" s="3" t="s">
        <v>133</v>
      </c>
      <c r="BL9" s="3" t="s">
        <v>133</v>
      </c>
      <c r="BM9" s="3" t="s">
        <v>133</v>
      </c>
      <c r="BN9" s="3" t="s">
        <v>133</v>
      </c>
      <c r="BO9" s="3" t="s">
        <v>133</v>
      </c>
      <c r="BP9" s="3" t="s">
        <v>133</v>
      </c>
      <c r="BQ9" s="3" t="s">
        <v>133</v>
      </c>
      <c r="BR9" s="3" t="s">
        <v>133</v>
      </c>
      <c r="BS9" s="3" t="s">
        <v>133</v>
      </c>
      <c r="BT9" s="3" t="s">
        <v>133</v>
      </c>
      <c r="BU9" s="3" t="s">
        <v>133</v>
      </c>
      <c r="BV9" s="3" t="s">
        <v>133</v>
      </c>
      <c r="BW9" s="3" t="s">
        <v>133</v>
      </c>
      <c r="BX9" s="3" t="s">
        <v>133</v>
      </c>
      <c r="BY9" s="3">
        <v>0.38</v>
      </c>
      <c r="BZ9" s="3" t="s">
        <v>133</v>
      </c>
      <c r="CA9" s="3" t="s">
        <v>133</v>
      </c>
      <c r="CB9" s="3" t="s">
        <v>133</v>
      </c>
      <c r="CC9" s="3" t="s">
        <v>133</v>
      </c>
    </row>
    <row r="10" spans="1:81" x14ac:dyDescent="0.25">
      <c r="A10" s="3" t="s">
        <v>486</v>
      </c>
      <c r="B10" s="3">
        <v>118.18</v>
      </c>
      <c r="C10" s="3">
        <v>109.24</v>
      </c>
      <c r="D10" s="3">
        <v>118.69</v>
      </c>
      <c r="E10" s="3">
        <v>108.27</v>
      </c>
      <c r="F10" s="3">
        <v>99.71</v>
      </c>
      <c r="G10" s="3">
        <v>91.35</v>
      </c>
      <c r="H10" s="3">
        <v>98.76</v>
      </c>
      <c r="I10" s="3">
        <v>89.83</v>
      </c>
      <c r="J10" s="3">
        <v>81.489999999999995</v>
      </c>
      <c r="K10" s="3">
        <v>74.349999999999994</v>
      </c>
      <c r="L10" s="3">
        <v>79.569999999999993</v>
      </c>
      <c r="M10" s="3">
        <v>72.8</v>
      </c>
      <c r="N10" s="3">
        <v>67.150000000000006</v>
      </c>
      <c r="O10" s="3">
        <v>60.2</v>
      </c>
      <c r="P10" s="3">
        <v>62.9</v>
      </c>
      <c r="Q10" s="3">
        <v>58.03</v>
      </c>
      <c r="R10" s="3">
        <v>54.64</v>
      </c>
      <c r="S10" s="3">
        <v>51.73</v>
      </c>
      <c r="T10" s="3">
        <v>54.78</v>
      </c>
      <c r="U10" s="3">
        <v>50.89</v>
      </c>
      <c r="V10" s="3">
        <v>47.64</v>
      </c>
      <c r="W10" s="3">
        <v>53.68</v>
      </c>
      <c r="X10" s="3">
        <v>50.6</v>
      </c>
      <c r="Y10" s="3">
        <v>46.79</v>
      </c>
      <c r="Z10" s="3">
        <v>42.68</v>
      </c>
      <c r="AA10" s="3">
        <v>39.65</v>
      </c>
      <c r="AB10" s="3">
        <v>44.59</v>
      </c>
      <c r="AC10" s="3">
        <v>41.05</v>
      </c>
      <c r="AD10" s="3">
        <v>37.130000000000003</v>
      </c>
      <c r="AE10" s="3">
        <v>33.46</v>
      </c>
      <c r="AF10" s="3">
        <v>36.35</v>
      </c>
      <c r="AG10" s="3">
        <v>32.89</v>
      </c>
      <c r="AH10" s="3">
        <v>30.11</v>
      </c>
      <c r="AI10" s="3">
        <v>26.81</v>
      </c>
      <c r="AJ10" s="3">
        <v>26.93</v>
      </c>
      <c r="AK10" s="3">
        <v>24.07</v>
      </c>
      <c r="AL10" s="3">
        <v>21.96</v>
      </c>
      <c r="AM10" s="3">
        <v>22.39</v>
      </c>
      <c r="AN10" s="3">
        <v>21.49</v>
      </c>
      <c r="AO10" s="3">
        <v>19.489999999999998</v>
      </c>
      <c r="AP10" s="3">
        <v>18.57</v>
      </c>
      <c r="AQ10" s="3">
        <v>17.43</v>
      </c>
      <c r="AR10" s="3">
        <v>16.670000000000002</v>
      </c>
      <c r="AS10" s="3">
        <v>15.33</v>
      </c>
      <c r="AT10" s="3">
        <v>14.77</v>
      </c>
      <c r="AU10" s="3">
        <v>13.71</v>
      </c>
      <c r="AV10" s="3">
        <v>13.2</v>
      </c>
      <c r="AW10" s="3">
        <v>11.91</v>
      </c>
      <c r="AX10" s="3">
        <v>11.22</v>
      </c>
      <c r="AY10" s="3">
        <v>10.26</v>
      </c>
      <c r="AZ10" s="3">
        <v>9.65</v>
      </c>
      <c r="BA10" s="3">
        <v>8.7200000000000006</v>
      </c>
      <c r="BB10" s="3">
        <v>7.28</v>
      </c>
      <c r="BC10" s="3">
        <v>6.5</v>
      </c>
      <c r="BD10" s="3">
        <v>6.17</v>
      </c>
      <c r="BE10" s="3">
        <v>6.25</v>
      </c>
      <c r="BF10" s="3">
        <v>5.66</v>
      </c>
      <c r="BG10" s="3">
        <v>5.3</v>
      </c>
      <c r="BH10" s="3">
        <v>11.74</v>
      </c>
      <c r="BI10" s="3">
        <v>10.79</v>
      </c>
      <c r="BJ10" s="3">
        <v>9.99</v>
      </c>
      <c r="BK10" s="3">
        <v>11.82</v>
      </c>
      <c r="BL10" s="3">
        <v>11.54</v>
      </c>
      <c r="BM10" s="3">
        <v>10.6</v>
      </c>
      <c r="BN10" s="3">
        <v>9.83</v>
      </c>
      <c r="BO10" s="3">
        <v>9.6300000000000008</v>
      </c>
      <c r="BP10" s="3">
        <v>12.24</v>
      </c>
      <c r="BQ10" s="3">
        <v>11.37</v>
      </c>
      <c r="BR10" s="3">
        <v>10.6</v>
      </c>
      <c r="BS10" s="3">
        <v>11.29</v>
      </c>
      <c r="BT10" s="3">
        <v>11.17</v>
      </c>
      <c r="BU10" s="3">
        <v>10.37</v>
      </c>
      <c r="BV10" s="3">
        <v>10.33</v>
      </c>
      <c r="BW10" s="3">
        <v>11.08</v>
      </c>
      <c r="BX10" s="3">
        <v>10.89</v>
      </c>
      <c r="BY10" s="3">
        <v>10.119999999999999</v>
      </c>
      <c r="BZ10" s="3">
        <v>3.04</v>
      </c>
      <c r="CA10" s="3">
        <v>2.39</v>
      </c>
      <c r="CB10" s="3">
        <v>1.54</v>
      </c>
      <c r="CC10" s="3" t="s">
        <v>133</v>
      </c>
    </row>
    <row r="11" spans="1:81" x14ac:dyDescent="0.25">
      <c r="A11" s="3" t="s">
        <v>487</v>
      </c>
      <c r="B11" s="3">
        <v>1.0900000000000001</v>
      </c>
      <c r="C11" s="3">
        <v>1.0900000000000001</v>
      </c>
      <c r="D11" s="3">
        <v>1.0900000000000001</v>
      </c>
      <c r="E11" s="3">
        <v>1.0900000000000001</v>
      </c>
      <c r="F11" s="3">
        <v>1.0900000000000001</v>
      </c>
      <c r="G11" s="3">
        <v>1.0900000000000001</v>
      </c>
      <c r="H11" s="3">
        <v>1.0900000000000001</v>
      </c>
      <c r="I11" s="3">
        <v>1.0900000000000001</v>
      </c>
      <c r="J11" s="3">
        <v>1.0900000000000001</v>
      </c>
      <c r="K11" s="3">
        <v>1.0900000000000001</v>
      </c>
      <c r="L11" s="3">
        <v>1.0900000000000001</v>
      </c>
      <c r="M11" s="3">
        <v>1.0900000000000001</v>
      </c>
      <c r="N11" s="3">
        <v>1.0900000000000001</v>
      </c>
      <c r="O11" s="3">
        <v>1.0900000000000001</v>
      </c>
      <c r="P11" s="3">
        <v>1.0900000000000001</v>
      </c>
      <c r="Q11" s="3">
        <v>1.0900000000000001</v>
      </c>
      <c r="R11" s="3">
        <v>1.0900000000000001</v>
      </c>
      <c r="S11" s="3">
        <v>1.0900000000000001</v>
      </c>
      <c r="T11" s="3">
        <v>1.0900000000000001</v>
      </c>
      <c r="U11" s="3">
        <v>1.0900000000000001</v>
      </c>
      <c r="V11" s="3">
        <v>1.0900000000000001</v>
      </c>
      <c r="W11" s="3">
        <v>1.2</v>
      </c>
      <c r="X11" s="3">
        <v>1.2</v>
      </c>
      <c r="Y11" s="3">
        <v>1.2</v>
      </c>
      <c r="Z11" s="3">
        <v>1.2</v>
      </c>
      <c r="AA11" s="3">
        <v>1.2</v>
      </c>
      <c r="AB11" s="3">
        <v>1.32</v>
      </c>
      <c r="AC11" s="3">
        <v>1.32</v>
      </c>
      <c r="AD11" s="3">
        <v>1.32</v>
      </c>
      <c r="AE11" s="3">
        <v>1.32</v>
      </c>
      <c r="AF11" s="3">
        <v>1.32</v>
      </c>
      <c r="AG11" s="3">
        <v>1.32</v>
      </c>
      <c r="AH11" s="3">
        <v>1.32</v>
      </c>
      <c r="AI11" s="3">
        <v>1.32</v>
      </c>
      <c r="AJ11" s="3">
        <v>1.32</v>
      </c>
      <c r="AK11" s="3">
        <v>1.32</v>
      </c>
      <c r="AL11" s="3">
        <v>1.32</v>
      </c>
      <c r="AM11" s="3">
        <v>1.46</v>
      </c>
      <c r="AN11" s="3">
        <v>1.46</v>
      </c>
      <c r="AO11" s="3">
        <v>1.46</v>
      </c>
      <c r="AP11" s="3">
        <v>1.46</v>
      </c>
      <c r="AQ11" s="3">
        <v>1.46</v>
      </c>
      <c r="AR11" s="3">
        <v>1.46</v>
      </c>
      <c r="AS11" s="3">
        <v>1.46</v>
      </c>
      <c r="AT11" s="3">
        <v>1.46</v>
      </c>
      <c r="AU11" s="3">
        <v>1.46</v>
      </c>
      <c r="AV11" s="3">
        <v>1.46</v>
      </c>
      <c r="AW11" s="3">
        <v>1.46</v>
      </c>
      <c r="AX11" s="3">
        <v>1.46</v>
      </c>
      <c r="AY11" s="3">
        <v>1.46</v>
      </c>
      <c r="AZ11" s="3">
        <v>1.46</v>
      </c>
      <c r="BA11" s="3">
        <v>1.46</v>
      </c>
      <c r="BB11" s="3">
        <v>1.46</v>
      </c>
      <c r="BC11" s="3">
        <v>1.46</v>
      </c>
      <c r="BD11" s="3">
        <v>1.46</v>
      </c>
      <c r="BE11" s="3">
        <v>1.46</v>
      </c>
      <c r="BF11" s="3">
        <v>1.46</v>
      </c>
      <c r="BG11" s="3">
        <v>1.46</v>
      </c>
      <c r="BH11" s="3">
        <v>3.91</v>
      </c>
      <c r="BI11" s="3">
        <v>3.91</v>
      </c>
      <c r="BJ11" s="3">
        <v>3.91</v>
      </c>
      <c r="BK11" s="3">
        <v>4.8899999999999997</v>
      </c>
      <c r="BL11" s="3">
        <v>4.8899999999999997</v>
      </c>
      <c r="BM11" s="3">
        <v>4.8899999999999997</v>
      </c>
      <c r="BN11" s="3">
        <v>4.8899999999999997</v>
      </c>
      <c r="BO11" s="3">
        <v>7.33</v>
      </c>
      <c r="BP11" s="3">
        <v>7.33</v>
      </c>
      <c r="BQ11" s="3">
        <v>7.33</v>
      </c>
      <c r="BR11" s="3">
        <v>7.33</v>
      </c>
      <c r="BS11" s="3">
        <v>7.33</v>
      </c>
      <c r="BT11" s="3">
        <v>7.32</v>
      </c>
      <c r="BU11" s="3">
        <v>7.32</v>
      </c>
      <c r="BV11" s="3">
        <v>8.16</v>
      </c>
      <c r="BW11" s="3">
        <v>8.16</v>
      </c>
      <c r="BX11" s="3">
        <v>8.16</v>
      </c>
      <c r="BY11" s="3">
        <v>8.16</v>
      </c>
      <c r="BZ11" s="3">
        <v>0.5</v>
      </c>
      <c r="CA11" s="3">
        <v>0.48</v>
      </c>
      <c r="CB11" s="3">
        <v>0.48</v>
      </c>
      <c r="CC11" s="3" t="s">
        <v>133</v>
      </c>
    </row>
    <row r="12" spans="1:81" x14ac:dyDescent="0.25">
      <c r="A12" s="3" t="s">
        <v>488</v>
      </c>
      <c r="B12" s="3">
        <v>99.32</v>
      </c>
      <c r="C12" s="3">
        <v>90.39</v>
      </c>
      <c r="D12" s="3">
        <v>102.68</v>
      </c>
      <c r="E12" s="3">
        <v>92.26</v>
      </c>
      <c r="F12" s="3">
        <v>83.93</v>
      </c>
      <c r="G12" s="3">
        <v>75.569999999999993</v>
      </c>
      <c r="H12" s="3">
        <v>85.34</v>
      </c>
      <c r="I12" s="3">
        <v>76.41</v>
      </c>
      <c r="J12" s="3">
        <v>68.34</v>
      </c>
      <c r="K12" s="3">
        <v>61.2</v>
      </c>
      <c r="L12" s="3">
        <v>70.47</v>
      </c>
      <c r="M12" s="3">
        <v>63.69</v>
      </c>
      <c r="N12" s="3">
        <v>58.33</v>
      </c>
      <c r="O12" s="3">
        <v>51.38</v>
      </c>
      <c r="P12" s="3">
        <v>54.8</v>
      </c>
      <c r="Q12" s="3">
        <v>49.93</v>
      </c>
      <c r="R12" s="3">
        <v>46.74</v>
      </c>
      <c r="S12" s="3">
        <v>43.83</v>
      </c>
      <c r="T12" s="3">
        <v>47.58</v>
      </c>
      <c r="U12" s="3">
        <v>43.69</v>
      </c>
      <c r="V12" s="3">
        <v>41.27</v>
      </c>
      <c r="W12" s="3">
        <v>46.78</v>
      </c>
      <c r="X12" s="3">
        <v>43.72</v>
      </c>
      <c r="Y12" s="3">
        <v>39.9</v>
      </c>
      <c r="Z12" s="3">
        <v>35.83</v>
      </c>
      <c r="AA12" s="3">
        <v>32.799999999999997</v>
      </c>
      <c r="AB12" s="3">
        <v>38.18</v>
      </c>
      <c r="AC12" s="3">
        <v>34.65</v>
      </c>
      <c r="AD12" s="3">
        <v>30.74</v>
      </c>
      <c r="AE12" s="3">
        <v>27.07</v>
      </c>
      <c r="AF12" s="3">
        <v>31.11</v>
      </c>
      <c r="AG12" s="3">
        <v>27.64</v>
      </c>
      <c r="AH12" s="3">
        <v>24.86</v>
      </c>
      <c r="AI12" s="3">
        <v>21.56</v>
      </c>
      <c r="AJ12" s="3">
        <v>22.06</v>
      </c>
      <c r="AK12" s="3">
        <v>19.2</v>
      </c>
      <c r="AL12" s="3">
        <v>17.510000000000002</v>
      </c>
      <c r="AM12" s="3">
        <v>17.600000000000001</v>
      </c>
      <c r="AN12" s="3">
        <v>16.73</v>
      </c>
      <c r="AO12" s="3">
        <v>14.73</v>
      </c>
      <c r="AP12" s="3">
        <v>14.3</v>
      </c>
      <c r="AQ12" s="3">
        <v>13.17</v>
      </c>
      <c r="AR12" s="3">
        <v>12.53</v>
      </c>
      <c r="AS12" s="3">
        <v>11.19</v>
      </c>
      <c r="AT12" s="3">
        <v>10.89</v>
      </c>
      <c r="AU12" s="3">
        <v>9.83</v>
      </c>
      <c r="AV12" s="3">
        <v>9.69</v>
      </c>
      <c r="AW12" s="3">
        <v>8.4</v>
      </c>
      <c r="AX12" s="3">
        <v>7.71</v>
      </c>
      <c r="AY12" s="3">
        <v>6.75</v>
      </c>
      <c r="AZ12" s="3">
        <v>6.3</v>
      </c>
      <c r="BA12" s="3">
        <v>5.38</v>
      </c>
      <c r="BB12" s="3">
        <v>3.49</v>
      </c>
      <c r="BC12" s="3">
        <v>2.7</v>
      </c>
      <c r="BD12" s="3">
        <v>2.38</v>
      </c>
      <c r="BE12" s="3">
        <v>3.31</v>
      </c>
      <c r="BF12" s="3">
        <v>2.1800000000000002</v>
      </c>
      <c r="BG12" s="3">
        <v>1.81</v>
      </c>
      <c r="BH12" s="3">
        <v>4.4800000000000004</v>
      </c>
      <c r="BI12" s="3">
        <v>3.53</v>
      </c>
      <c r="BJ12" s="3">
        <v>3.62</v>
      </c>
      <c r="BK12" s="3">
        <v>3.78</v>
      </c>
      <c r="BL12" s="3">
        <v>3.5</v>
      </c>
      <c r="BM12" s="3">
        <v>2.56</v>
      </c>
      <c r="BN12" s="3">
        <v>2.85</v>
      </c>
      <c r="BO12" s="3">
        <v>3.58</v>
      </c>
      <c r="BP12" s="3">
        <v>3.27</v>
      </c>
      <c r="BQ12" s="3">
        <v>2.31</v>
      </c>
      <c r="BR12" s="3">
        <v>2.09</v>
      </c>
      <c r="BS12" s="3">
        <v>1.73</v>
      </c>
      <c r="BT12" s="3">
        <v>1.84</v>
      </c>
      <c r="BU12" s="3">
        <v>1.05</v>
      </c>
      <c r="BV12" s="3">
        <v>1.29</v>
      </c>
      <c r="BW12" s="3">
        <v>1.01</v>
      </c>
      <c r="BX12" s="3">
        <v>1.1399999999999999</v>
      </c>
      <c r="BY12" s="3">
        <v>0.31</v>
      </c>
      <c r="BZ12" s="3">
        <v>0.97</v>
      </c>
      <c r="CA12" s="3">
        <v>0.57999999999999996</v>
      </c>
      <c r="CB12" s="3">
        <v>0.03</v>
      </c>
      <c r="CC12" s="3" t="s">
        <v>133</v>
      </c>
    </row>
    <row r="13" spans="1:81" x14ac:dyDescent="0.25">
      <c r="A13" s="3" t="s">
        <v>489</v>
      </c>
      <c r="B13" s="3">
        <v>9.94</v>
      </c>
      <c r="C13" s="3">
        <v>8.2100000000000009</v>
      </c>
      <c r="D13" s="3">
        <v>1.83</v>
      </c>
      <c r="E13" s="3">
        <v>14.25</v>
      </c>
      <c r="F13" s="3">
        <v>2.57</v>
      </c>
      <c r="G13" s="3">
        <v>18.23</v>
      </c>
      <c r="H13" s="3">
        <v>0.95</v>
      </c>
      <c r="I13" s="3">
        <v>10.48</v>
      </c>
      <c r="J13" s="3">
        <v>8.35</v>
      </c>
      <c r="K13" s="3">
        <v>10.19</v>
      </c>
      <c r="L13" s="3">
        <v>3.93</v>
      </c>
      <c r="M13" s="3">
        <v>-0.5</v>
      </c>
      <c r="N13" s="3">
        <v>12.62</v>
      </c>
      <c r="O13" s="3">
        <v>0.66</v>
      </c>
      <c r="P13" s="3">
        <v>4.8600000000000003</v>
      </c>
      <c r="Q13" s="3">
        <v>3.91</v>
      </c>
      <c r="R13" s="3">
        <v>15.07</v>
      </c>
      <c r="S13" s="3">
        <v>4.91</v>
      </c>
      <c r="T13" s="3">
        <v>5.92</v>
      </c>
      <c r="U13" s="3">
        <v>4.79</v>
      </c>
      <c r="V13" s="3">
        <v>4.8</v>
      </c>
      <c r="W13" s="3">
        <v>2.44</v>
      </c>
      <c r="X13" s="3">
        <v>1.85</v>
      </c>
      <c r="Y13" s="3">
        <v>4.34</v>
      </c>
      <c r="Z13" s="3">
        <v>2.97</v>
      </c>
      <c r="AA13" s="3">
        <v>3.59</v>
      </c>
      <c r="AB13" s="3">
        <v>0.17</v>
      </c>
      <c r="AC13" s="3">
        <v>3.28</v>
      </c>
      <c r="AD13" s="3">
        <v>3.88</v>
      </c>
      <c r="AE13" s="3">
        <v>4.26</v>
      </c>
      <c r="AF13" s="3">
        <v>0.76</v>
      </c>
      <c r="AG13" s="3">
        <v>4.2</v>
      </c>
      <c r="AH13" s="3">
        <v>2.98</v>
      </c>
      <c r="AI13" s="3">
        <v>3.01</v>
      </c>
      <c r="AJ13" s="3">
        <v>1.29</v>
      </c>
      <c r="AK13" s="3">
        <v>1.0900000000000001</v>
      </c>
      <c r="AL13" s="3">
        <v>3.04</v>
      </c>
      <c r="AM13" s="3">
        <v>2.04</v>
      </c>
      <c r="AN13" s="3">
        <v>3.61</v>
      </c>
      <c r="AO13" s="3">
        <v>2.37</v>
      </c>
      <c r="AP13" s="3">
        <v>2.33</v>
      </c>
      <c r="AQ13" s="3">
        <v>1</v>
      </c>
      <c r="AR13" s="3">
        <v>0.87</v>
      </c>
      <c r="AS13" s="3">
        <v>2.2799999999999998</v>
      </c>
      <c r="AT13" s="3">
        <v>1.62</v>
      </c>
      <c r="AU13" s="3">
        <v>0.72</v>
      </c>
      <c r="AV13" s="3">
        <v>-0.14000000000000001</v>
      </c>
      <c r="AW13" s="3">
        <v>2.31</v>
      </c>
      <c r="AX13" s="3">
        <v>1.67</v>
      </c>
      <c r="AY13" s="3">
        <v>0.53</v>
      </c>
      <c r="AZ13" s="3">
        <v>1.05</v>
      </c>
      <c r="BA13" s="3">
        <v>0.21</v>
      </c>
      <c r="BB13" s="3">
        <v>0.91</v>
      </c>
      <c r="BC13" s="3">
        <v>0.33</v>
      </c>
      <c r="BD13" s="3">
        <v>0.4</v>
      </c>
      <c r="BE13" s="3">
        <v>0.65</v>
      </c>
      <c r="BF13" s="3">
        <v>0.95</v>
      </c>
      <c r="BG13" s="3">
        <v>0.15</v>
      </c>
      <c r="BH13" s="3">
        <v>0.48</v>
      </c>
      <c r="BI13" s="3">
        <v>1.72</v>
      </c>
      <c r="BJ13" s="3">
        <v>0.76</v>
      </c>
      <c r="BK13" s="3">
        <v>0.49</v>
      </c>
      <c r="BL13" s="3">
        <v>0.62</v>
      </c>
      <c r="BM13" s="3">
        <v>1.53</v>
      </c>
      <c r="BN13" s="3">
        <v>1.0900000000000001</v>
      </c>
      <c r="BO13" s="3">
        <v>0.52</v>
      </c>
      <c r="BP13" s="3">
        <v>-0.66</v>
      </c>
      <c r="BQ13" s="3">
        <v>1.66</v>
      </c>
      <c r="BR13" s="3">
        <v>1.58</v>
      </c>
      <c r="BS13" s="3">
        <v>-0.16</v>
      </c>
      <c r="BT13" s="3">
        <v>0.03</v>
      </c>
      <c r="BU13" s="3" t="s">
        <v>133</v>
      </c>
      <c r="BV13" s="3" t="s">
        <v>133</v>
      </c>
      <c r="BW13" s="3" t="s">
        <v>133</v>
      </c>
      <c r="BX13" s="3" t="s">
        <v>133</v>
      </c>
      <c r="BY13" s="3" t="s">
        <v>133</v>
      </c>
      <c r="BZ13" s="3" t="s">
        <v>133</v>
      </c>
      <c r="CA13" s="3" t="s">
        <v>133</v>
      </c>
      <c r="CB13" s="3" t="s">
        <v>133</v>
      </c>
      <c r="CC13" s="3" t="s">
        <v>133</v>
      </c>
    </row>
    <row r="14" spans="1:81" x14ac:dyDescent="0.25">
      <c r="A14" s="3" t="s">
        <v>42</v>
      </c>
      <c r="B14" s="3" t="s">
        <v>490</v>
      </c>
      <c r="C14" s="3" t="s">
        <v>491</v>
      </c>
      <c r="D14" s="3" t="s">
        <v>492</v>
      </c>
      <c r="E14" s="3" t="s">
        <v>493</v>
      </c>
      <c r="F14" s="3" t="s">
        <v>494</v>
      </c>
      <c r="G14" s="3" t="s">
        <v>495</v>
      </c>
      <c r="H14" s="3" t="s">
        <v>496</v>
      </c>
      <c r="I14" s="3" t="s">
        <v>497</v>
      </c>
      <c r="J14" s="3" t="s">
        <v>498</v>
      </c>
      <c r="K14" s="3" t="s">
        <v>499</v>
      </c>
      <c r="L14" s="3" t="s">
        <v>500</v>
      </c>
      <c r="M14" s="3" t="s">
        <v>501</v>
      </c>
      <c r="N14" s="3" t="s">
        <v>502</v>
      </c>
      <c r="O14" s="3" t="s">
        <v>503</v>
      </c>
      <c r="P14" s="3" t="s">
        <v>504</v>
      </c>
      <c r="Q14" s="3" t="s">
        <v>505</v>
      </c>
      <c r="R14" s="3" t="s">
        <v>506</v>
      </c>
      <c r="S14" s="3" t="s">
        <v>507</v>
      </c>
      <c r="T14" s="3" t="s">
        <v>508</v>
      </c>
      <c r="U14" s="3" t="s">
        <v>509</v>
      </c>
      <c r="V14" s="3" t="s">
        <v>510</v>
      </c>
      <c r="W14" s="3" t="s">
        <v>511</v>
      </c>
      <c r="X14" s="3" t="s">
        <v>512</v>
      </c>
      <c r="Y14" s="3" t="s">
        <v>513</v>
      </c>
      <c r="Z14" s="3" t="s">
        <v>514</v>
      </c>
      <c r="AA14" s="3" t="s">
        <v>515</v>
      </c>
      <c r="AB14" s="3" t="s">
        <v>516</v>
      </c>
      <c r="AC14" s="3" t="s">
        <v>517</v>
      </c>
      <c r="AD14" s="3" t="s">
        <v>518</v>
      </c>
      <c r="AE14" s="3" t="s">
        <v>519</v>
      </c>
      <c r="AF14" s="3" t="s">
        <v>520</v>
      </c>
      <c r="AG14" s="3" t="s">
        <v>521</v>
      </c>
      <c r="AH14" s="3" t="s">
        <v>522</v>
      </c>
      <c r="AI14" s="3" t="s">
        <v>523</v>
      </c>
      <c r="AJ14" s="3" t="s">
        <v>524</v>
      </c>
      <c r="AK14" s="3" t="s">
        <v>525</v>
      </c>
      <c r="AL14" s="3" t="s">
        <v>526</v>
      </c>
      <c r="AM14" s="3" t="s">
        <v>527</v>
      </c>
      <c r="AN14" s="3" t="s">
        <v>528</v>
      </c>
      <c r="AO14" s="3" t="s">
        <v>529</v>
      </c>
      <c r="AP14" s="3" t="s">
        <v>530</v>
      </c>
      <c r="AQ14" s="3" t="s">
        <v>531</v>
      </c>
      <c r="AR14" s="3" t="s">
        <v>532</v>
      </c>
      <c r="AS14" s="3" t="s">
        <v>533</v>
      </c>
      <c r="AT14" s="3" t="s">
        <v>534</v>
      </c>
      <c r="AU14" s="3" t="s">
        <v>535</v>
      </c>
      <c r="AV14" s="3" t="s">
        <v>536</v>
      </c>
      <c r="AW14" s="3" t="s">
        <v>537</v>
      </c>
      <c r="AX14" s="3" t="s">
        <v>538</v>
      </c>
      <c r="AY14" s="3" t="s">
        <v>539</v>
      </c>
      <c r="AZ14" s="3" t="s">
        <v>540</v>
      </c>
      <c r="BA14" s="3" t="s">
        <v>541</v>
      </c>
      <c r="BB14" s="3" t="s">
        <v>542</v>
      </c>
      <c r="BC14" s="3" t="s">
        <v>543</v>
      </c>
      <c r="BD14" s="3" t="s">
        <v>544</v>
      </c>
      <c r="BE14" s="3" t="s">
        <v>545</v>
      </c>
      <c r="BF14" s="3" t="s">
        <v>546</v>
      </c>
      <c r="BG14" s="3" t="s">
        <v>547</v>
      </c>
      <c r="BH14" s="3" t="s">
        <v>548</v>
      </c>
      <c r="BI14" s="3" t="s">
        <v>549</v>
      </c>
      <c r="BJ14" s="3" t="s">
        <v>550</v>
      </c>
      <c r="BK14" s="3" t="s">
        <v>551</v>
      </c>
      <c r="BL14" s="3" t="s">
        <v>552</v>
      </c>
      <c r="BM14" s="3" t="s">
        <v>553</v>
      </c>
      <c r="BN14" s="3" t="s">
        <v>554</v>
      </c>
      <c r="BO14" s="3" t="s">
        <v>555</v>
      </c>
      <c r="BP14" s="3" t="s">
        <v>556</v>
      </c>
      <c r="BQ14" s="3" t="s">
        <v>557</v>
      </c>
      <c r="BR14" s="3" t="s">
        <v>558</v>
      </c>
      <c r="BS14" s="3" t="s">
        <v>559</v>
      </c>
      <c r="BT14" s="3" t="s">
        <v>560</v>
      </c>
      <c r="BU14" s="3" t="s">
        <v>561</v>
      </c>
      <c r="BV14" s="3" t="s">
        <v>562</v>
      </c>
      <c r="BW14" s="3" t="s">
        <v>563</v>
      </c>
      <c r="BX14" s="3" t="s">
        <v>564</v>
      </c>
      <c r="BY14" s="3" t="s">
        <v>565</v>
      </c>
      <c r="BZ14" s="3" t="s">
        <v>566</v>
      </c>
      <c r="CA14" s="3" t="s">
        <v>567</v>
      </c>
      <c r="CB14" s="3" t="s">
        <v>568</v>
      </c>
      <c r="CC14" s="3" t="s">
        <v>569</v>
      </c>
    </row>
    <row r="15" spans="1:81" x14ac:dyDescent="0.25">
      <c r="A15" s="3" t="s">
        <v>43</v>
      </c>
      <c r="B15" s="3" t="s">
        <v>570</v>
      </c>
      <c r="C15" s="3" t="s">
        <v>571</v>
      </c>
      <c r="D15" s="3" t="s">
        <v>572</v>
      </c>
      <c r="E15" s="3" t="s">
        <v>573</v>
      </c>
      <c r="F15" s="3" t="s">
        <v>133</v>
      </c>
      <c r="G15" s="3" t="s">
        <v>574</v>
      </c>
      <c r="H15" s="3" t="s">
        <v>575</v>
      </c>
      <c r="I15" s="3" t="s">
        <v>576</v>
      </c>
      <c r="J15" s="3" t="s">
        <v>577</v>
      </c>
      <c r="K15" s="3" t="s">
        <v>578</v>
      </c>
      <c r="L15" s="3" t="s">
        <v>579</v>
      </c>
      <c r="M15" s="3" t="s">
        <v>580</v>
      </c>
      <c r="N15" s="3" t="s">
        <v>581</v>
      </c>
      <c r="O15" s="3" t="s">
        <v>582</v>
      </c>
      <c r="P15" s="3" t="s">
        <v>583</v>
      </c>
      <c r="Q15" s="3" t="s">
        <v>584</v>
      </c>
      <c r="R15" s="3" t="s">
        <v>585</v>
      </c>
      <c r="S15" s="3" t="s">
        <v>586</v>
      </c>
      <c r="T15" s="3" t="s">
        <v>587</v>
      </c>
      <c r="U15" s="3" t="s">
        <v>588</v>
      </c>
      <c r="V15" s="3" t="s">
        <v>575</v>
      </c>
      <c r="W15" s="3" t="s">
        <v>589</v>
      </c>
      <c r="X15" s="3" t="s">
        <v>590</v>
      </c>
      <c r="Y15" s="3" t="s">
        <v>591</v>
      </c>
      <c r="Z15" s="3" t="s">
        <v>592</v>
      </c>
      <c r="AA15" s="3" t="s">
        <v>593</v>
      </c>
      <c r="AB15" s="3" t="s">
        <v>594</v>
      </c>
      <c r="AC15" s="3" t="s">
        <v>595</v>
      </c>
      <c r="AD15" s="3" t="s">
        <v>596</v>
      </c>
      <c r="AE15" s="3" t="s">
        <v>597</v>
      </c>
      <c r="AF15" s="3" t="s">
        <v>598</v>
      </c>
      <c r="AG15" s="3" t="s">
        <v>599</v>
      </c>
      <c r="AH15" s="3" t="s">
        <v>600</v>
      </c>
      <c r="AI15" s="3" t="s">
        <v>601</v>
      </c>
      <c r="AJ15" s="3" t="s">
        <v>602</v>
      </c>
      <c r="AK15" s="3" t="s">
        <v>603</v>
      </c>
      <c r="AL15" s="3" t="s">
        <v>604</v>
      </c>
      <c r="AM15" s="3" t="s">
        <v>605</v>
      </c>
      <c r="AN15" s="3" t="s">
        <v>606</v>
      </c>
      <c r="AO15" s="3" t="s">
        <v>607</v>
      </c>
      <c r="AP15" s="3" t="s">
        <v>608</v>
      </c>
      <c r="AQ15" s="3" t="s">
        <v>609</v>
      </c>
      <c r="AR15" s="3" t="s">
        <v>610</v>
      </c>
      <c r="AS15" s="3" t="s">
        <v>611</v>
      </c>
      <c r="AT15" s="3" t="s">
        <v>612</v>
      </c>
      <c r="AU15" s="3" t="s">
        <v>613</v>
      </c>
      <c r="AV15" s="3" t="s">
        <v>614</v>
      </c>
      <c r="AW15" s="3" t="s">
        <v>615</v>
      </c>
      <c r="AX15" s="3" t="s">
        <v>616</v>
      </c>
      <c r="AY15" s="3" t="s">
        <v>617</v>
      </c>
      <c r="AZ15" s="3" t="s">
        <v>618</v>
      </c>
      <c r="BA15" s="3" t="s">
        <v>619</v>
      </c>
      <c r="BB15" s="3" t="s">
        <v>620</v>
      </c>
      <c r="BC15" s="3" t="s">
        <v>621</v>
      </c>
      <c r="BD15" s="3" t="s">
        <v>622</v>
      </c>
      <c r="BE15" s="3" t="s">
        <v>623</v>
      </c>
      <c r="BF15" s="3" t="s">
        <v>624</v>
      </c>
      <c r="BG15" s="3" t="s">
        <v>625</v>
      </c>
      <c r="BH15" s="3" t="s">
        <v>626</v>
      </c>
      <c r="BI15" s="3" t="s">
        <v>627</v>
      </c>
      <c r="BJ15" s="3" t="s">
        <v>628</v>
      </c>
      <c r="BK15" s="3" t="s">
        <v>629</v>
      </c>
      <c r="BL15" s="3" t="s">
        <v>630</v>
      </c>
      <c r="BM15" s="3" t="s">
        <v>631</v>
      </c>
      <c r="BN15" s="3" t="s">
        <v>632</v>
      </c>
      <c r="BO15" s="3" t="s">
        <v>633</v>
      </c>
      <c r="BP15" s="3" t="s">
        <v>634</v>
      </c>
      <c r="BQ15" s="3" t="s">
        <v>635</v>
      </c>
      <c r="BR15" s="3" t="s">
        <v>636</v>
      </c>
      <c r="BS15" s="3" t="s">
        <v>637</v>
      </c>
      <c r="BT15" s="3" t="s">
        <v>638</v>
      </c>
      <c r="BU15" s="3" t="s">
        <v>639</v>
      </c>
      <c r="BV15" s="3" t="s">
        <v>640</v>
      </c>
      <c r="BW15" s="3" t="s">
        <v>641</v>
      </c>
      <c r="BX15" s="3" t="s">
        <v>642</v>
      </c>
      <c r="BY15" s="3" t="s">
        <v>133</v>
      </c>
      <c r="BZ15" s="3" t="s">
        <v>133</v>
      </c>
      <c r="CA15" s="3" t="s">
        <v>133</v>
      </c>
      <c r="CB15" s="3" t="s">
        <v>133</v>
      </c>
      <c r="CC15" s="3" t="s">
        <v>133</v>
      </c>
    </row>
    <row r="16" spans="1:81" x14ac:dyDescent="0.25">
      <c r="A16" s="3" t="s">
        <v>44</v>
      </c>
      <c r="B16" s="3" t="s">
        <v>643</v>
      </c>
      <c r="C16" s="3" t="s">
        <v>644</v>
      </c>
      <c r="D16" s="3" t="s">
        <v>645</v>
      </c>
      <c r="E16" s="3" t="s">
        <v>646</v>
      </c>
      <c r="F16" s="3" t="s">
        <v>647</v>
      </c>
      <c r="G16" s="3" t="s">
        <v>648</v>
      </c>
      <c r="H16" s="3" t="s">
        <v>649</v>
      </c>
      <c r="I16" s="3" t="s">
        <v>650</v>
      </c>
      <c r="J16" s="3" t="s">
        <v>651</v>
      </c>
      <c r="K16" s="3" t="s">
        <v>652</v>
      </c>
      <c r="L16" s="3" t="s">
        <v>653</v>
      </c>
      <c r="M16" s="3" t="s">
        <v>654</v>
      </c>
      <c r="N16" s="3" t="s">
        <v>655</v>
      </c>
      <c r="O16" s="3" t="s">
        <v>656</v>
      </c>
      <c r="P16" s="3" t="s">
        <v>657</v>
      </c>
      <c r="Q16" s="3" t="s">
        <v>658</v>
      </c>
      <c r="R16" s="3" t="s">
        <v>659</v>
      </c>
      <c r="S16" s="3" t="s">
        <v>660</v>
      </c>
      <c r="T16" s="3" t="s">
        <v>661</v>
      </c>
      <c r="U16" s="3" t="s">
        <v>662</v>
      </c>
      <c r="V16" s="3" t="s">
        <v>663</v>
      </c>
      <c r="W16" s="3" t="s">
        <v>664</v>
      </c>
      <c r="X16" s="3" t="s">
        <v>665</v>
      </c>
      <c r="Y16" s="3" t="s">
        <v>666</v>
      </c>
      <c r="Z16" s="3" t="s">
        <v>667</v>
      </c>
      <c r="AA16" s="3" t="s">
        <v>668</v>
      </c>
      <c r="AB16" s="3" t="s">
        <v>669</v>
      </c>
      <c r="AC16" s="3" t="s">
        <v>670</v>
      </c>
      <c r="AD16" s="3" t="s">
        <v>671</v>
      </c>
      <c r="AE16" s="3" t="s">
        <v>672</v>
      </c>
      <c r="AF16" s="3" t="s">
        <v>673</v>
      </c>
      <c r="AG16" s="3" t="s">
        <v>674</v>
      </c>
      <c r="AH16" s="3" t="s">
        <v>675</v>
      </c>
      <c r="AI16" s="3" t="s">
        <v>676</v>
      </c>
      <c r="AJ16" s="3" t="s">
        <v>677</v>
      </c>
      <c r="AK16" s="3" t="s">
        <v>678</v>
      </c>
      <c r="AL16" s="3" t="s">
        <v>679</v>
      </c>
      <c r="AM16" s="3" t="s">
        <v>680</v>
      </c>
      <c r="AN16" s="3" t="s">
        <v>681</v>
      </c>
      <c r="AO16" s="3" t="s">
        <v>682</v>
      </c>
      <c r="AP16" s="3" t="s">
        <v>683</v>
      </c>
      <c r="AQ16" s="3" t="s">
        <v>684</v>
      </c>
      <c r="AR16" s="3" t="s">
        <v>685</v>
      </c>
      <c r="AS16" s="3" t="s">
        <v>686</v>
      </c>
      <c r="AT16" s="3" t="s">
        <v>687</v>
      </c>
      <c r="AU16" s="3" t="s">
        <v>688</v>
      </c>
      <c r="AV16" s="3" t="s">
        <v>689</v>
      </c>
      <c r="AW16" s="3" t="s">
        <v>690</v>
      </c>
      <c r="AX16" s="3" t="s">
        <v>691</v>
      </c>
      <c r="AY16" s="3" t="s">
        <v>133</v>
      </c>
      <c r="AZ16" s="3" t="s">
        <v>133</v>
      </c>
      <c r="BA16" s="3" t="s">
        <v>133</v>
      </c>
      <c r="BB16" s="3" t="s">
        <v>133</v>
      </c>
      <c r="BC16" s="3" t="s">
        <v>133</v>
      </c>
      <c r="BD16" s="3" t="s">
        <v>133</v>
      </c>
      <c r="BE16" s="3" t="s">
        <v>133</v>
      </c>
      <c r="BF16" s="3" t="s">
        <v>133</v>
      </c>
      <c r="BG16" s="3" t="s">
        <v>133</v>
      </c>
      <c r="BH16" s="3" t="s">
        <v>133</v>
      </c>
      <c r="BI16" s="3" t="s">
        <v>133</v>
      </c>
      <c r="BJ16" s="3" t="s">
        <v>133</v>
      </c>
      <c r="BK16" s="3" t="s">
        <v>133</v>
      </c>
      <c r="BL16" s="3" t="s">
        <v>133</v>
      </c>
      <c r="BM16" s="3" t="s">
        <v>133</v>
      </c>
      <c r="BN16" s="3" t="s">
        <v>133</v>
      </c>
      <c r="BO16" s="3" t="s">
        <v>133</v>
      </c>
      <c r="BP16" s="3" t="s">
        <v>133</v>
      </c>
      <c r="BQ16" s="3" t="s">
        <v>133</v>
      </c>
      <c r="BR16" s="3" t="s">
        <v>133</v>
      </c>
      <c r="BS16" s="3" t="s">
        <v>133</v>
      </c>
      <c r="BT16" s="3" t="s">
        <v>133</v>
      </c>
      <c r="BU16" s="3" t="s">
        <v>133</v>
      </c>
      <c r="BV16" s="3" t="s">
        <v>133</v>
      </c>
      <c r="BW16" s="3" t="s">
        <v>133</v>
      </c>
      <c r="BX16" s="3" t="s">
        <v>133</v>
      </c>
      <c r="BY16" s="3" t="s">
        <v>133</v>
      </c>
      <c r="BZ16" s="3" t="s">
        <v>133</v>
      </c>
      <c r="CA16" s="3" t="s">
        <v>133</v>
      </c>
      <c r="CB16" s="3" t="s">
        <v>133</v>
      </c>
      <c r="CC16" s="3" t="s">
        <v>133</v>
      </c>
    </row>
    <row r="17" spans="1:81" x14ac:dyDescent="0.25">
      <c r="A17" s="3" t="s">
        <v>692</v>
      </c>
      <c r="B17" s="3" t="s">
        <v>693</v>
      </c>
      <c r="C17" s="3" t="s">
        <v>694</v>
      </c>
      <c r="D17" s="3" t="s">
        <v>695</v>
      </c>
      <c r="E17" s="3" t="s">
        <v>696</v>
      </c>
      <c r="F17" s="3" t="s">
        <v>697</v>
      </c>
      <c r="G17" s="3" t="s">
        <v>698</v>
      </c>
      <c r="H17" s="3" t="s">
        <v>678</v>
      </c>
      <c r="I17" s="3" t="s">
        <v>699</v>
      </c>
      <c r="J17" s="3" t="s">
        <v>700</v>
      </c>
      <c r="K17" s="3" t="s">
        <v>701</v>
      </c>
      <c r="L17" s="3" t="s">
        <v>702</v>
      </c>
      <c r="M17" s="3" t="s">
        <v>703</v>
      </c>
      <c r="N17" s="3" t="s">
        <v>704</v>
      </c>
      <c r="O17" s="3" t="s">
        <v>705</v>
      </c>
      <c r="P17" s="3" t="s">
        <v>706</v>
      </c>
      <c r="Q17" s="3" t="s">
        <v>707</v>
      </c>
      <c r="R17" s="3" t="s">
        <v>708</v>
      </c>
      <c r="S17" s="3" t="s">
        <v>709</v>
      </c>
      <c r="T17" s="3" t="s">
        <v>710</v>
      </c>
      <c r="U17" s="3" t="s">
        <v>711</v>
      </c>
      <c r="V17" s="3" t="s">
        <v>712</v>
      </c>
      <c r="W17" s="3" t="s">
        <v>713</v>
      </c>
      <c r="X17" s="3" t="s">
        <v>714</v>
      </c>
      <c r="Y17" s="3" t="s">
        <v>715</v>
      </c>
      <c r="Z17" s="3" t="s">
        <v>716</v>
      </c>
      <c r="AA17" s="3" t="s">
        <v>654</v>
      </c>
      <c r="AB17" s="3" t="s">
        <v>717</v>
      </c>
      <c r="AC17" s="3" t="s">
        <v>718</v>
      </c>
      <c r="AD17" s="3" t="s">
        <v>665</v>
      </c>
      <c r="AE17" s="3" t="s">
        <v>719</v>
      </c>
      <c r="AF17" s="3" t="s">
        <v>720</v>
      </c>
      <c r="AG17" s="3" t="s">
        <v>721</v>
      </c>
      <c r="AH17" s="3" t="s">
        <v>722</v>
      </c>
      <c r="AI17" s="3" t="s">
        <v>301</v>
      </c>
      <c r="AJ17" s="3" t="s">
        <v>723</v>
      </c>
      <c r="AK17" s="3" t="s">
        <v>724</v>
      </c>
      <c r="AL17" s="3" t="s">
        <v>725</v>
      </c>
      <c r="AM17" s="3" t="s">
        <v>726</v>
      </c>
      <c r="AN17" s="3" t="s">
        <v>727</v>
      </c>
      <c r="AO17" s="3" t="s">
        <v>728</v>
      </c>
      <c r="AP17" s="3" t="s">
        <v>729</v>
      </c>
      <c r="AQ17" s="3" t="s">
        <v>730</v>
      </c>
      <c r="AR17" s="3" t="s">
        <v>731</v>
      </c>
      <c r="AS17" s="3" t="s">
        <v>732</v>
      </c>
      <c r="AT17" s="3" t="s">
        <v>733</v>
      </c>
      <c r="AU17" s="3" t="s">
        <v>734</v>
      </c>
      <c r="AV17" s="3" t="s">
        <v>735</v>
      </c>
      <c r="AW17" s="3" t="s">
        <v>736</v>
      </c>
      <c r="AX17" s="3" t="s">
        <v>737</v>
      </c>
      <c r="AY17" s="3" t="s">
        <v>738</v>
      </c>
      <c r="AZ17" s="3" t="s">
        <v>739</v>
      </c>
      <c r="BA17" s="3" t="s">
        <v>740</v>
      </c>
      <c r="BB17" s="3" t="s">
        <v>727</v>
      </c>
      <c r="BC17" s="3" t="s">
        <v>741</v>
      </c>
      <c r="BD17" s="3" t="s">
        <v>742</v>
      </c>
      <c r="BE17" s="3" t="s">
        <v>743</v>
      </c>
      <c r="BF17" s="3" t="s">
        <v>744</v>
      </c>
      <c r="BG17" s="3" t="s">
        <v>745</v>
      </c>
      <c r="BH17" s="3" t="s">
        <v>746</v>
      </c>
      <c r="BI17" s="3" t="s">
        <v>747</v>
      </c>
      <c r="BJ17" s="3" t="s">
        <v>748</v>
      </c>
      <c r="BK17" s="3" t="s">
        <v>485</v>
      </c>
      <c r="BL17" s="3" t="s">
        <v>749</v>
      </c>
      <c r="BM17" s="3" t="s">
        <v>750</v>
      </c>
      <c r="BN17" s="3" t="s">
        <v>751</v>
      </c>
      <c r="BO17" s="3" t="s">
        <v>752</v>
      </c>
      <c r="BP17" s="3" t="s">
        <v>753</v>
      </c>
      <c r="BQ17" s="3" t="s">
        <v>754</v>
      </c>
      <c r="BR17" s="3" t="s">
        <v>755</v>
      </c>
      <c r="BS17" s="3" t="s">
        <v>756</v>
      </c>
      <c r="BT17" s="3" t="s">
        <v>757</v>
      </c>
      <c r="BU17" s="3" t="s">
        <v>758</v>
      </c>
      <c r="BV17" s="3" t="s">
        <v>759</v>
      </c>
      <c r="BW17" s="3" t="s">
        <v>760</v>
      </c>
      <c r="BX17" s="3" t="s">
        <v>761</v>
      </c>
      <c r="BY17" s="3" t="s">
        <v>133</v>
      </c>
      <c r="BZ17" s="3" t="s">
        <v>133</v>
      </c>
      <c r="CA17" s="3" t="s">
        <v>133</v>
      </c>
      <c r="CB17" s="3" t="s">
        <v>133</v>
      </c>
      <c r="CC17" s="3" t="s">
        <v>133</v>
      </c>
    </row>
    <row r="18" spans="1:81" x14ac:dyDescent="0.25">
      <c r="A18" s="3" t="s">
        <v>762</v>
      </c>
      <c r="B18" s="3">
        <v>1210.22</v>
      </c>
      <c r="C18" s="3">
        <v>1237.1099999999999</v>
      </c>
      <c r="D18" s="3">
        <v>1119.4000000000001</v>
      </c>
      <c r="E18" s="3">
        <v>1181.8800000000001</v>
      </c>
      <c r="F18" s="3">
        <v>1230.07</v>
      </c>
      <c r="G18" s="3">
        <v>1331.36</v>
      </c>
      <c r="H18" s="3">
        <v>1253.48</v>
      </c>
      <c r="I18" s="3">
        <v>1257.42</v>
      </c>
      <c r="J18" s="3">
        <v>1278.4100000000001</v>
      </c>
      <c r="K18" s="3">
        <v>1312.91</v>
      </c>
      <c r="L18" s="3">
        <v>1306.24</v>
      </c>
      <c r="M18" s="3">
        <v>1293.0999999999999</v>
      </c>
      <c r="N18" s="3">
        <v>1310.68</v>
      </c>
      <c r="O18" s="3">
        <v>1486.37</v>
      </c>
      <c r="P18" s="3">
        <v>1581.72</v>
      </c>
      <c r="Q18" s="3">
        <v>2039.66</v>
      </c>
      <c r="R18" s="3">
        <v>2231.4499999999998</v>
      </c>
      <c r="S18" s="3">
        <v>2224.98</v>
      </c>
      <c r="T18" s="3">
        <v>2147.9699999999998</v>
      </c>
      <c r="U18" s="3">
        <v>2339.21</v>
      </c>
      <c r="V18" s="3">
        <v>2423.75</v>
      </c>
      <c r="W18" s="3">
        <v>2412.9</v>
      </c>
      <c r="X18" s="3">
        <v>2374.6999999999998</v>
      </c>
      <c r="Y18" s="3">
        <v>2064.25</v>
      </c>
      <c r="Z18" s="3">
        <v>2142.88</v>
      </c>
      <c r="AA18" s="3">
        <v>2284.2800000000002</v>
      </c>
      <c r="AB18" s="3">
        <v>2179.1999999999998</v>
      </c>
      <c r="AC18" s="3">
        <v>1763.95</v>
      </c>
      <c r="AD18" s="3">
        <v>1906.9</v>
      </c>
      <c r="AE18" s="3">
        <v>1931.45</v>
      </c>
      <c r="AF18" s="3">
        <v>1848.17</v>
      </c>
      <c r="AG18" s="3">
        <v>1484.06</v>
      </c>
      <c r="AH18" s="3">
        <v>1249.45</v>
      </c>
      <c r="AI18" s="3">
        <v>1270.32</v>
      </c>
      <c r="AJ18" s="3">
        <v>1378.29</v>
      </c>
      <c r="AK18" s="3">
        <v>1480.91</v>
      </c>
      <c r="AL18" s="3">
        <v>1378.99</v>
      </c>
      <c r="AM18" s="3">
        <v>1223.69</v>
      </c>
      <c r="AN18" s="3">
        <v>1310.07</v>
      </c>
      <c r="AO18" s="3">
        <v>1670.11</v>
      </c>
      <c r="AP18" s="3">
        <v>1477.74</v>
      </c>
      <c r="AQ18" s="3">
        <v>1374.73</v>
      </c>
      <c r="AR18" s="3">
        <v>1301.3499999999999</v>
      </c>
      <c r="AS18" s="3">
        <v>1384.6</v>
      </c>
      <c r="AT18" s="3">
        <v>1185.53</v>
      </c>
      <c r="AU18" s="3">
        <v>1079.7</v>
      </c>
      <c r="AV18" s="3">
        <v>1135.1300000000001</v>
      </c>
      <c r="AW18" s="3">
        <v>1221.7</v>
      </c>
      <c r="AX18" s="3">
        <v>1075.94</v>
      </c>
      <c r="AY18" s="3">
        <v>968.54</v>
      </c>
      <c r="AZ18" s="3">
        <v>1054.21</v>
      </c>
      <c r="BA18" s="3">
        <v>887.81</v>
      </c>
      <c r="BB18" s="3">
        <v>835.69</v>
      </c>
      <c r="BC18" s="3">
        <v>952.94</v>
      </c>
      <c r="BD18" s="3">
        <v>759.91</v>
      </c>
      <c r="BE18" s="3">
        <v>883.23</v>
      </c>
      <c r="BF18" s="3">
        <v>949.8</v>
      </c>
      <c r="BG18" s="3">
        <v>1003.92</v>
      </c>
      <c r="BH18" s="3">
        <v>735.79</v>
      </c>
      <c r="BI18" s="3">
        <v>934.63</v>
      </c>
      <c r="BJ18" s="3">
        <v>1016.14</v>
      </c>
      <c r="BK18" s="3">
        <v>1032.6500000000001</v>
      </c>
      <c r="BL18" s="3">
        <v>765.07</v>
      </c>
      <c r="BM18" s="3">
        <v>982.04</v>
      </c>
      <c r="BN18" s="3">
        <v>1006.82</v>
      </c>
      <c r="BO18" s="3">
        <v>995.61</v>
      </c>
      <c r="BP18" s="3">
        <v>744.62</v>
      </c>
      <c r="BQ18" s="3">
        <v>869.4</v>
      </c>
      <c r="BR18" s="3">
        <v>1028.67</v>
      </c>
      <c r="BS18" s="3">
        <v>1048.4100000000001</v>
      </c>
      <c r="BT18" s="3">
        <v>708.31</v>
      </c>
      <c r="BU18" s="3">
        <v>993.46</v>
      </c>
      <c r="BV18" s="3">
        <v>1068.6400000000001</v>
      </c>
      <c r="BW18" s="3">
        <v>1029.9100000000001</v>
      </c>
      <c r="BX18" s="3">
        <v>632.62</v>
      </c>
      <c r="BY18" s="3">
        <v>823.4</v>
      </c>
      <c r="BZ18" s="3">
        <v>677.03</v>
      </c>
      <c r="CA18" s="3">
        <v>855.51</v>
      </c>
      <c r="CB18" s="3">
        <v>1031.52</v>
      </c>
      <c r="CC18" s="3">
        <v>1485.76</v>
      </c>
    </row>
    <row r="19" spans="1:81" x14ac:dyDescent="0.25">
      <c r="A19" s="3" t="s">
        <v>763</v>
      </c>
      <c r="B19" s="3">
        <v>0.08</v>
      </c>
      <c r="C19" s="3">
        <v>7.0000000000000007E-2</v>
      </c>
      <c r="D19" s="3">
        <v>0.08</v>
      </c>
      <c r="E19" s="3">
        <v>0.09</v>
      </c>
      <c r="F19" s="3">
        <v>0.08</v>
      </c>
      <c r="G19" s="3">
        <v>0.06</v>
      </c>
      <c r="H19" s="3">
        <v>7.0000000000000007E-2</v>
      </c>
      <c r="I19" s="3">
        <v>0.08</v>
      </c>
      <c r="J19" s="3">
        <v>7.0000000000000007E-2</v>
      </c>
      <c r="K19" s="3">
        <v>7.0000000000000007E-2</v>
      </c>
      <c r="L19" s="3">
        <v>7.0000000000000007E-2</v>
      </c>
      <c r="M19" s="3">
        <v>7.0000000000000007E-2</v>
      </c>
      <c r="N19" s="3">
        <v>0.08</v>
      </c>
      <c r="O19" s="3">
        <v>0.06</v>
      </c>
      <c r="P19" s="3">
        <v>0.06</v>
      </c>
      <c r="Q19" s="3">
        <v>0.06</v>
      </c>
      <c r="R19" s="3">
        <v>0.04</v>
      </c>
      <c r="S19" s="3">
        <v>0.04</v>
      </c>
      <c r="T19" s="3">
        <v>0.04</v>
      </c>
      <c r="U19" s="3">
        <v>0.04</v>
      </c>
      <c r="V19" s="3">
        <v>0.04</v>
      </c>
      <c r="W19" s="3">
        <v>0.04</v>
      </c>
      <c r="X19" s="3">
        <v>0.04</v>
      </c>
      <c r="Y19" s="3">
        <v>0.05</v>
      </c>
      <c r="Z19" s="3">
        <v>0.05</v>
      </c>
      <c r="AA19" s="3">
        <v>0.04</v>
      </c>
      <c r="AB19" s="3">
        <v>0.04</v>
      </c>
      <c r="AC19" s="3">
        <v>0.06</v>
      </c>
      <c r="AD19" s="3">
        <v>0.05</v>
      </c>
      <c r="AE19" s="3">
        <v>0.04</v>
      </c>
      <c r="AF19" s="3">
        <v>0.05</v>
      </c>
      <c r="AG19" s="3">
        <v>0.03</v>
      </c>
      <c r="AH19" s="3">
        <v>7.0000000000000007E-2</v>
      </c>
      <c r="AI19" s="3">
        <v>0.08</v>
      </c>
      <c r="AJ19" s="3">
        <v>7.0000000000000007E-2</v>
      </c>
      <c r="AK19" s="3">
        <v>0.05</v>
      </c>
      <c r="AL19" s="3">
        <v>0.05</v>
      </c>
      <c r="AM19" s="3">
        <v>0.08</v>
      </c>
      <c r="AN19" s="3">
        <v>7.0000000000000007E-2</v>
      </c>
      <c r="AO19" s="3">
        <v>0.03</v>
      </c>
      <c r="AP19" s="3">
        <v>0.05</v>
      </c>
      <c r="AQ19" s="3">
        <v>0.06</v>
      </c>
      <c r="AR19" s="3">
        <v>7.0000000000000007E-2</v>
      </c>
      <c r="AS19" s="3">
        <v>0.03</v>
      </c>
      <c r="AT19" s="3">
        <v>0.06</v>
      </c>
      <c r="AU19" s="3">
        <v>0.09</v>
      </c>
      <c r="AV19" s="3">
        <v>0.08</v>
      </c>
      <c r="AW19" s="3">
        <v>0.04</v>
      </c>
      <c r="AX19" s="3">
        <v>7.0000000000000007E-2</v>
      </c>
      <c r="AY19" s="3">
        <v>0.1</v>
      </c>
      <c r="AZ19" s="3">
        <v>0.09</v>
      </c>
      <c r="BA19" s="3">
        <v>0.08</v>
      </c>
      <c r="BB19" s="3">
        <v>0.13</v>
      </c>
      <c r="BC19" s="3">
        <v>7.0000000000000007E-2</v>
      </c>
      <c r="BD19" s="3">
        <v>0.12</v>
      </c>
      <c r="BE19" s="3">
        <v>0.12</v>
      </c>
      <c r="BF19" s="3">
        <v>0.11</v>
      </c>
      <c r="BG19" s="3">
        <v>0.06</v>
      </c>
      <c r="BH19" s="3">
        <v>0.12</v>
      </c>
      <c r="BI19" s="3">
        <v>0.12</v>
      </c>
      <c r="BJ19" s="3">
        <v>0.09</v>
      </c>
      <c r="BK19" s="3">
        <v>0.06</v>
      </c>
      <c r="BL19" s="3">
        <v>0.12</v>
      </c>
      <c r="BM19" s="3">
        <v>0.1</v>
      </c>
      <c r="BN19" s="3">
        <v>0.09</v>
      </c>
      <c r="BO19" s="3">
        <v>0.06</v>
      </c>
      <c r="BP19" s="3">
        <v>0.12</v>
      </c>
      <c r="BQ19" s="3">
        <v>0.15</v>
      </c>
      <c r="BR19" s="3">
        <v>0.09</v>
      </c>
      <c r="BS19" s="3">
        <v>0.04</v>
      </c>
      <c r="BT19" s="3">
        <v>0.13</v>
      </c>
      <c r="BU19" s="3">
        <v>0.11</v>
      </c>
      <c r="BV19" s="3">
        <v>0.08</v>
      </c>
      <c r="BW19" s="3">
        <v>0.03</v>
      </c>
      <c r="BX19" s="3">
        <v>0.14000000000000001</v>
      </c>
      <c r="BY19" s="3"/>
      <c r="BZ19" s="3"/>
      <c r="CA19" s="3"/>
      <c r="CB19" s="3"/>
      <c r="CC19" s="3"/>
    </row>
    <row r="20" spans="1:81" x14ac:dyDescent="0.25">
      <c r="A20" s="3" t="s">
        <v>764</v>
      </c>
      <c r="B20" s="3">
        <v>1210.22</v>
      </c>
      <c r="C20" s="3">
        <v>1237.1099999999999</v>
      </c>
      <c r="D20" s="3">
        <v>1119.4000000000001</v>
      </c>
      <c r="E20" s="3">
        <v>1181.8800000000001</v>
      </c>
      <c r="F20" s="3">
        <v>1230.07</v>
      </c>
      <c r="G20" s="3">
        <v>1331.36</v>
      </c>
      <c r="H20" s="3">
        <v>1253.48</v>
      </c>
      <c r="I20" s="3">
        <v>1257.42</v>
      </c>
      <c r="J20" s="3">
        <v>1278.4100000000001</v>
      </c>
      <c r="K20" s="3">
        <v>1312.91</v>
      </c>
      <c r="L20" s="3">
        <v>1306.24</v>
      </c>
      <c r="M20" s="3">
        <v>1293.0999999999999</v>
      </c>
      <c r="N20" s="3">
        <v>1310.68</v>
      </c>
      <c r="O20" s="3">
        <v>1486.37</v>
      </c>
      <c r="P20" s="3">
        <v>1581.72</v>
      </c>
      <c r="Q20" s="3">
        <v>2039.66</v>
      </c>
      <c r="R20" s="3">
        <v>2231.41</v>
      </c>
      <c r="S20" s="3">
        <v>2224.9699999999998</v>
      </c>
      <c r="T20" s="3">
        <v>2147.9699999999998</v>
      </c>
      <c r="U20" s="3">
        <v>2339.1799999999998</v>
      </c>
      <c r="V20" s="3">
        <v>2423.6999999999998</v>
      </c>
      <c r="W20" s="3">
        <v>2412.87</v>
      </c>
      <c r="X20" s="3">
        <v>2374.67</v>
      </c>
      <c r="Y20" s="3">
        <v>2064.2199999999998</v>
      </c>
      <c r="Z20" s="3">
        <v>2142.86</v>
      </c>
      <c r="AA20" s="3">
        <v>2284.2600000000002</v>
      </c>
      <c r="AB20" s="3">
        <v>2179.1799999999998</v>
      </c>
      <c r="AC20" s="3">
        <v>1763.84</v>
      </c>
      <c r="AD20" s="3">
        <v>1906.78</v>
      </c>
      <c r="AE20" s="3">
        <v>1931.33</v>
      </c>
      <c r="AF20" s="3">
        <v>1848.05</v>
      </c>
      <c r="AG20" s="3">
        <v>1483.92</v>
      </c>
      <c r="AH20" s="3">
        <v>1249.42</v>
      </c>
      <c r="AI20" s="3">
        <v>1270.29</v>
      </c>
      <c r="AJ20" s="3">
        <v>1378.25</v>
      </c>
      <c r="AK20" s="3">
        <v>1480.87</v>
      </c>
      <c r="AL20" s="3">
        <v>1378.96</v>
      </c>
      <c r="AM20" s="3">
        <v>1223.6600000000001</v>
      </c>
      <c r="AN20" s="3">
        <v>1310.04</v>
      </c>
      <c r="AO20" s="3">
        <v>1669.76</v>
      </c>
      <c r="AP20" s="3">
        <v>1477.02</v>
      </c>
      <c r="AQ20" s="3">
        <v>1374.05</v>
      </c>
      <c r="AR20" s="3">
        <v>1300.58</v>
      </c>
      <c r="AS20" s="3">
        <v>1383.55</v>
      </c>
      <c r="AT20" s="3">
        <v>1184.21</v>
      </c>
      <c r="AU20" s="3">
        <v>1078.49</v>
      </c>
      <c r="AV20" s="3">
        <v>1133.5</v>
      </c>
      <c r="AW20" s="3">
        <v>1219.93</v>
      </c>
      <c r="AX20" s="3">
        <v>1073.99</v>
      </c>
      <c r="AY20" s="3">
        <v>966.7</v>
      </c>
      <c r="AZ20" s="3">
        <v>1051.4000000000001</v>
      </c>
      <c r="BA20" s="3">
        <v>884.96</v>
      </c>
      <c r="BB20" s="3">
        <v>831.54</v>
      </c>
      <c r="BC20" s="3">
        <v>948.37</v>
      </c>
      <c r="BD20" s="3">
        <v>755.03</v>
      </c>
      <c r="BE20" s="3">
        <v>879.12</v>
      </c>
      <c r="BF20" s="3">
        <v>944.72</v>
      </c>
      <c r="BG20" s="3">
        <v>998.89</v>
      </c>
      <c r="BH20" s="3">
        <v>732.3</v>
      </c>
      <c r="BI20" s="3">
        <v>931.2</v>
      </c>
      <c r="BJ20" s="3">
        <v>1012.37</v>
      </c>
      <c r="BK20" s="3">
        <v>1028.57</v>
      </c>
      <c r="BL20" s="3">
        <v>762.71</v>
      </c>
      <c r="BM20" s="3">
        <v>978.53</v>
      </c>
      <c r="BN20" s="3">
        <v>1002.23</v>
      </c>
      <c r="BO20" s="3">
        <v>991.74</v>
      </c>
      <c r="BP20" s="3">
        <v>741.96</v>
      </c>
      <c r="BQ20" s="3">
        <v>864.14</v>
      </c>
      <c r="BR20" s="3">
        <v>1022.34</v>
      </c>
      <c r="BS20" s="3">
        <v>1041.67</v>
      </c>
      <c r="BT20" s="3">
        <v>702.03</v>
      </c>
      <c r="BU20" s="3">
        <v>984.68</v>
      </c>
      <c r="BV20" s="3">
        <v>1057.17</v>
      </c>
      <c r="BW20" s="3">
        <v>1021.57</v>
      </c>
      <c r="BX20" s="3">
        <v>625.42999999999995</v>
      </c>
      <c r="BY20" s="3">
        <v>813.01</v>
      </c>
      <c r="BZ20" s="3">
        <v>668.4</v>
      </c>
      <c r="CA20" s="3">
        <v>855.51</v>
      </c>
      <c r="CB20" s="3">
        <v>1031.52</v>
      </c>
      <c r="CC20" s="3">
        <v>1485.76</v>
      </c>
    </row>
    <row r="21" spans="1:81" x14ac:dyDescent="0.25">
      <c r="A21" s="3" t="s">
        <v>765</v>
      </c>
      <c r="B21" s="3" t="s">
        <v>133</v>
      </c>
      <c r="C21" s="3" t="s">
        <v>133</v>
      </c>
      <c r="D21" s="3" t="s">
        <v>133</v>
      </c>
      <c r="E21" s="3" t="s">
        <v>133</v>
      </c>
      <c r="F21" s="3" t="s">
        <v>133</v>
      </c>
      <c r="G21" s="3" t="s">
        <v>133</v>
      </c>
      <c r="H21" s="3" t="s">
        <v>133</v>
      </c>
      <c r="I21" s="3" t="s">
        <v>133</v>
      </c>
      <c r="J21" s="3" t="s">
        <v>133</v>
      </c>
      <c r="K21" s="3" t="s">
        <v>133</v>
      </c>
      <c r="L21" s="3" t="s">
        <v>133</v>
      </c>
      <c r="M21" s="3" t="s">
        <v>133</v>
      </c>
      <c r="N21" s="3" t="s">
        <v>133</v>
      </c>
      <c r="O21" s="3" t="s">
        <v>133</v>
      </c>
      <c r="P21" s="3" t="s">
        <v>133</v>
      </c>
      <c r="Q21" s="3" t="s">
        <v>133</v>
      </c>
      <c r="R21" s="3">
        <v>0.04</v>
      </c>
      <c r="S21" s="3">
        <v>6.3E-3</v>
      </c>
      <c r="T21" s="3">
        <v>2.0999999999999999E-3</v>
      </c>
      <c r="U21" s="3">
        <v>0.03</v>
      </c>
      <c r="V21" s="3">
        <v>0.05</v>
      </c>
      <c r="W21" s="3">
        <v>0.03</v>
      </c>
      <c r="X21" s="3">
        <v>0.03</v>
      </c>
      <c r="Y21" s="3">
        <v>0.03</v>
      </c>
      <c r="Z21" s="3">
        <v>0.02</v>
      </c>
      <c r="AA21" s="3">
        <v>0.02</v>
      </c>
      <c r="AB21" s="3">
        <v>0.02</v>
      </c>
      <c r="AC21" s="3">
        <v>0.11</v>
      </c>
      <c r="AD21" s="3">
        <v>0.12</v>
      </c>
      <c r="AE21" s="3">
        <v>0.12</v>
      </c>
      <c r="AF21" s="3">
        <v>0.12</v>
      </c>
      <c r="AG21" s="3">
        <v>0.14000000000000001</v>
      </c>
      <c r="AH21" s="3">
        <v>0.03</v>
      </c>
      <c r="AI21" s="3">
        <v>0.03</v>
      </c>
      <c r="AJ21" s="3">
        <v>0.03</v>
      </c>
      <c r="AK21" s="3">
        <v>0.03</v>
      </c>
      <c r="AL21" s="3">
        <v>0.03</v>
      </c>
      <c r="AM21" s="3">
        <v>0.03</v>
      </c>
      <c r="AN21" s="3">
        <v>0.02</v>
      </c>
      <c r="AO21" s="3">
        <v>0.35</v>
      </c>
      <c r="AP21" s="3">
        <v>0.71</v>
      </c>
      <c r="AQ21" s="3">
        <v>0.69</v>
      </c>
      <c r="AR21" s="3">
        <v>0.78</v>
      </c>
      <c r="AS21" s="3">
        <v>1.05</v>
      </c>
      <c r="AT21" s="3">
        <v>1.32</v>
      </c>
      <c r="AU21" s="3">
        <v>1.21</v>
      </c>
      <c r="AV21" s="3">
        <v>1.63</v>
      </c>
      <c r="AW21" s="3">
        <v>1.77</v>
      </c>
      <c r="AX21" s="3">
        <v>1.95</v>
      </c>
      <c r="AY21" s="3">
        <v>1.84</v>
      </c>
      <c r="AZ21" s="3">
        <v>2.8</v>
      </c>
      <c r="BA21" s="3">
        <v>2.85</v>
      </c>
      <c r="BB21" s="3">
        <v>4.1500000000000004</v>
      </c>
      <c r="BC21" s="3">
        <v>4.57</v>
      </c>
      <c r="BD21" s="3">
        <v>4.88</v>
      </c>
      <c r="BE21" s="3">
        <v>4.1100000000000003</v>
      </c>
      <c r="BF21" s="3">
        <v>5.08</v>
      </c>
      <c r="BG21" s="3">
        <v>5.03</v>
      </c>
      <c r="BH21" s="3">
        <v>3.49</v>
      </c>
      <c r="BI21" s="3">
        <v>3.43</v>
      </c>
      <c r="BJ21" s="3">
        <v>3.76</v>
      </c>
      <c r="BK21" s="3">
        <v>4.08</v>
      </c>
      <c r="BL21" s="3">
        <v>2.36</v>
      </c>
      <c r="BM21" s="3">
        <v>3.51</v>
      </c>
      <c r="BN21" s="3">
        <v>4.59</v>
      </c>
      <c r="BO21" s="3">
        <v>3.87</v>
      </c>
      <c r="BP21" s="3">
        <v>2.66</v>
      </c>
      <c r="BQ21" s="3">
        <v>5.26</v>
      </c>
      <c r="BR21" s="3">
        <v>6.33</v>
      </c>
      <c r="BS21" s="3">
        <v>6.74</v>
      </c>
      <c r="BT21" s="3">
        <v>6.28</v>
      </c>
      <c r="BU21" s="3">
        <v>8.77</v>
      </c>
      <c r="BV21" s="3">
        <v>11.48</v>
      </c>
      <c r="BW21" s="3">
        <v>8.35</v>
      </c>
      <c r="BX21" s="3">
        <v>7.18</v>
      </c>
      <c r="BY21" s="3">
        <v>10.39</v>
      </c>
      <c r="BZ21" s="3">
        <v>8.6300000000000008</v>
      </c>
      <c r="CA21" s="3" t="s">
        <v>133</v>
      </c>
      <c r="CB21" s="3" t="s">
        <v>133</v>
      </c>
      <c r="CC21" s="3" t="s">
        <v>133</v>
      </c>
    </row>
    <row r="22" spans="1:81" x14ac:dyDescent="0.25">
      <c r="A22" s="3" t="s">
        <v>45</v>
      </c>
      <c r="B22" s="3">
        <v>5.18</v>
      </c>
      <c r="C22" s="3">
        <v>4.8899999999999997</v>
      </c>
      <c r="D22" s="3">
        <v>6.12</v>
      </c>
      <c r="E22" s="3">
        <v>3.87</v>
      </c>
      <c r="F22" s="3">
        <v>4.42</v>
      </c>
      <c r="G22" s="3">
        <v>3.14</v>
      </c>
      <c r="H22" s="3">
        <v>4.51</v>
      </c>
      <c r="I22" s="3">
        <v>3.25</v>
      </c>
      <c r="J22" s="3">
        <v>3.05</v>
      </c>
      <c r="K22" s="3">
        <v>3.23</v>
      </c>
      <c r="L22" s="3">
        <v>3.82</v>
      </c>
      <c r="M22" s="3">
        <v>2.91</v>
      </c>
      <c r="N22" s="3">
        <v>2.66</v>
      </c>
      <c r="O22" s="3">
        <v>2.36</v>
      </c>
      <c r="P22" s="3">
        <v>2.63</v>
      </c>
      <c r="Q22" s="3">
        <v>2.44</v>
      </c>
      <c r="R22" s="3">
        <v>2.4700000000000002</v>
      </c>
      <c r="S22" s="3">
        <v>2.62</v>
      </c>
      <c r="T22" s="3">
        <v>3.5</v>
      </c>
      <c r="U22" s="3">
        <v>3.24</v>
      </c>
      <c r="V22" s="3">
        <v>3.67</v>
      </c>
      <c r="W22" s="3">
        <v>6.15</v>
      </c>
      <c r="X22" s="3">
        <v>5.72</v>
      </c>
      <c r="Y22" s="3">
        <v>4.51</v>
      </c>
      <c r="Z22" s="3">
        <v>5.0599999999999996</v>
      </c>
      <c r="AA22" s="3">
        <v>4.51</v>
      </c>
      <c r="AB22" s="3">
        <v>4.7300000000000004</v>
      </c>
      <c r="AC22" s="3">
        <v>3.71</v>
      </c>
      <c r="AD22" s="3">
        <v>4.22</v>
      </c>
      <c r="AE22" s="3">
        <v>4.43</v>
      </c>
      <c r="AF22" s="3">
        <v>5.0599999999999996</v>
      </c>
      <c r="AG22" s="3">
        <v>3.8</v>
      </c>
      <c r="AH22" s="3">
        <v>4.6100000000000003</v>
      </c>
      <c r="AI22" s="3">
        <v>2.87</v>
      </c>
      <c r="AJ22" s="3">
        <v>3.72</v>
      </c>
      <c r="AK22" s="3">
        <v>2.94</v>
      </c>
      <c r="AL22" s="3">
        <v>2.76</v>
      </c>
      <c r="AM22" s="3">
        <v>2.72</v>
      </c>
      <c r="AN22" s="3">
        <v>2.76</v>
      </c>
      <c r="AO22" s="3">
        <v>2.89</v>
      </c>
      <c r="AP22" s="3">
        <v>3.54</v>
      </c>
      <c r="AQ22" s="3">
        <v>3.62</v>
      </c>
      <c r="AR22" s="3">
        <v>3.66</v>
      </c>
      <c r="AS22" s="3">
        <v>3.06</v>
      </c>
      <c r="AT22" s="3">
        <v>5.1100000000000003</v>
      </c>
      <c r="AU22" s="3">
        <v>4.37</v>
      </c>
      <c r="AV22" s="3">
        <v>3.96</v>
      </c>
      <c r="AW22" s="3">
        <v>2.88</v>
      </c>
      <c r="AX22" s="3">
        <v>4.24</v>
      </c>
      <c r="AY22" s="3">
        <v>5.45</v>
      </c>
      <c r="AZ22" s="3">
        <v>3.62</v>
      </c>
      <c r="BA22" s="3">
        <v>3.44</v>
      </c>
      <c r="BB22" s="3">
        <v>2.19</v>
      </c>
      <c r="BC22" s="3">
        <v>1.82</v>
      </c>
      <c r="BD22" s="3">
        <v>1.76</v>
      </c>
      <c r="BE22" s="3">
        <v>1.99</v>
      </c>
      <c r="BF22" s="3">
        <v>1.87</v>
      </c>
      <c r="BG22" s="3">
        <v>2.02</v>
      </c>
      <c r="BH22" s="3">
        <v>2.38</v>
      </c>
      <c r="BI22" s="3">
        <v>2.08</v>
      </c>
      <c r="BJ22" s="3">
        <v>2.2400000000000002</v>
      </c>
      <c r="BK22" s="3">
        <v>2.4300000000000002</v>
      </c>
      <c r="BL22" s="3">
        <v>2.48</v>
      </c>
      <c r="BM22" s="3">
        <v>2.21</v>
      </c>
      <c r="BN22" s="3">
        <v>2.41</v>
      </c>
      <c r="BO22" s="3">
        <v>2.98</v>
      </c>
      <c r="BP22" s="3">
        <v>3.13</v>
      </c>
      <c r="BQ22" s="3">
        <v>2.5299999999999998</v>
      </c>
      <c r="BR22" s="3">
        <v>2.67</v>
      </c>
      <c r="BS22" s="3">
        <v>3.49</v>
      </c>
      <c r="BT22" s="3">
        <v>3.59</v>
      </c>
      <c r="BU22" s="3">
        <v>2.83</v>
      </c>
      <c r="BV22" s="3">
        <v>3.38</v>
      </c>
      <c r="BW22" s="3">
        <v>4.1900000000000004</v>
      </c>
      <c r="BX22" s="3">
        <v>4.07</v>
      </c>
      <c r="BY22" s="3">
        <v>3.1</v>
      </c>
      <c r="BZ22" s="3">
        <v>1.57</v>
      </c>
      <c r="CA22" s="3">
        <v>1.3</v>
      </c>
      <c r="CB22" s="3">
        <v>1.1399999999999999</v>
      </c>
      <c r="CC22" s="3">
        <v>1.1599999999999999</v>
      </c>
    </row>
    <row r="23" spans="1:81" x14ac:dyDescent="0.25">
      <c r="A23" s="3" t="s">
        <v>46</v>
      </c>
      <c r="B23" s="3">
        <v>4.25</v>
      </c>
      <c r="C23" s="3">
        <v>3.97</v>
      </c>
      <c r="D23" s="3">
        <v>5.08</v>
      </c>
      <c r="E23" s="3">
        <v>3.22</v>
      </c>
      <c r="F23" s="3">
        <v>3.6</v>
      </c>
      <c r="G23" s="3">
        <v>2.58</v>
      </c>
      <c r="H23" s="3">
        <v>3.69</v>
      </c>
      <c r="I23" s="3">
        <v>2.66</v>
      </c>
      <c r="J23" s="3">
        <v>2.4900000000000002</v>
      </c>
      <c r="K23" s="3">
        <v>2.54</v>
      </c>
      <c r="L23" s="3">
        <v>3.04</v>
      </c>
      <c r="M23" s="3">
        <v>2.3199999999999998</v>
      </c>
      <c r="N23" s="3">
        <v>2.11</v>
      </c>
      <c r="O23" s="3">
        <v>1.83</v>
      </c>
      <c r="P23" s="3">
        <v>2.0299999999999998</v>
      </c>
      <c r="Q23" s="3">
        <v>1.84</v>
      </c>
      <c r="R23" s="3">
        <v>1.87</v>
      </c>
      <c r="S23" s="3">
        <v>1.92</v>
      </c>
      <c r="T23" s="3">
        <v>2.4900000000000002</v>
      </c>
      <c r="U23" s="3">
        <v>2.27</v>
      </c>
      <c r="V23" s="3">
        <v>2.5</v>
      </c>
      <c r="W23" s="3">
        <v>3.97</v>
      </c>
      <c r="X23" s="3">
        <v>3.56</v>
      </c>
      <c r="Y23" s="3">
        <v>2.82</v>
      </c>
      <c r="Z23" s="3">
        <v>2.91</v>
      </c>
      <c r="AA23" s="3">
        <v>2.5099999999999998</v>
      </c>
      <c r="AB23" s="3">
        <v>2.79</v>
      </c>
      <c r="AC23" s="3">
        <v>2.2799999999999998</v>
      </c>
      <c r="AD23" s="3">
        <v>2.4</v>
      </c>
      <c r="AE23" s="3">
        <v>2.4</v>
      </c>
      <c r="AF23" s="3">
        <v>3.03</v>
      </c>
      <c r="AG23" s="3">
        <v>2.38</v>
      </c>
      <c r="AH23" s="3">
        <v>2.88</v>
      </c>
      <c r="AI23" s="3">
        <v>1.92</v>
      </c>
      <c r="AJ23" s="3">
        <v>2.46</v>
      </c>
      <c r="AK23" s="3">
        <v>1.98</v>
      </c>
      <c r="AL23" s="3">
        <v>1.92</v>
      </c>
      <c r="AM23" s="3">
        <v>1.89</v>
      </c>
      <c r="AN23" s="3">
        <v>1.89</v>
      </c>
      <c r="AO23" s="3">
        <v>1.88</v>
      </c>
      <c r="AP23" s="3">
        <v>2.2599999999999998</v>
      </c>
      <c r="AQ23" s="3">
        <v>2.31</v>
      </c>
      <c r="AR23" s="3">
        <v>2.35</v>
      </c>
      <c r="AS23" s="3">
        <v>2.0099999999999998</v>
      </c>
      <c r="AT23" s="3">
        <v>3.3</v>
      </c>
      <c r="AU23" s="3">
        <v>2.88</v>
      </c>
      <c r="AV23" s="3">
        <v>2.65</v>
      </c>
      <c r="AW23" s="3">
        <v>1.97</v>
      </c>
      <c r="AX23" s="3">
        <v>3.04</v>
      </c>
      <c r="AY23" s="3">
        <v>3.73</v>
      </c>
      <c r="AZ23" s="3">
        <v>2.57</v>
      </c>
      <c r="BA23" s="3">
        <v>2.35</v>
      </c>
      <c r="BB23" s="3">
        <v>1.54</v>
      </c>
      <c r="BC23" s="3">
        <v>1.29</v>
      </c>
      <c r="BD23" s="3">
        <v>1.26</v>
      </c>
      <c r="BE23" s="3">
        <v>1.41</v>
      </c>
      <c r="BF23" s="3">
        <v>1.31</v>
      </c>
      <c r="BG23" s="3">
        <v>1.34</v>
      </c>
      <c r="BH23" s="3">
        <v>1.66</v>
      </c>
      <c r="BI23" s="3">
        <v>1.43</v>
      </c>
      <c r="BJ23" s="3">
        <v>1.51</v>
      </c>
      <c r="BK23" s="3">
        <v>1.61</v>
      </c>
      <c r="BL23" s="3">
        <v>1.64</v>
      </c>
      <c r="BM23" s="3">
        <v>1.43</v>
      </c>
      <c r="BN23" s="3">
        <v>1.53</v>
      </c>
      <c r="BO23" s="3">
        <v>1.89</v>
      </c>
      <c r="BP23" s="3">
        <v>1.98</v>
      </c>
      <c r="BQ23" s="3">
        <v>1.71</v>
      </c>
      <c r="BR23" s="3">
        <v>1.68</v>
      </c>
      <c r="BS23" s="3">
        <v>2.0099999999999998</v>
      </c>
      <c r="BT23" s="3">
        <v>2.25</v>
      </c>
      <c r="BU23" s="3">
        <v>1.81</v>
      </c>
      <c r="BV23" s="3">
        <v>2.16</v>
      </c>
      <c r="BW23" s="3">
        <v>2.6</v>
      </c>
      <c r="BX23" s="3">
        <v>2.88</v>
      </c>
      <c r="BY23" s="3">
        <v>2.25</v>
      </c>
      <c r="BZ23" s="3">
        <v>0.67</v>
      </c>
      <c r="CA23" s="3">
        <v>0.66</v>
      </c>
      <c r="CB23" s="3">
        <v>0.46</v>
      </c>
      <c r="CC23" s="3">
        <v>0.43</v>
      </c>
    </row>
    <row r="24" spans="1:81" x14ac:dyDescent="0.25">
      <c r="A24" s="3" t="s">
        <v>766</v>
      </c>
      <c r="B24" s="3">
        <v>0.96</v>
      </c>
      <c r="C24" s="3">
        <v>0.9</v>
      </c>
      <c r="D24" s="3">
        <v>0.82</v>
      </c>
      <c r="E24" s="3">
        <v>0.36</v>
      </c>
      <c r="F24" s="3">
        <v>3.59</v>
      </c>
      <c r="G24" s="3">
        <v>2.57</v>
      </c>
      <c r="H24" s="3">
        <v>3.69</v>
      </c>
      <c r="I24" s="3">
        <v>2.66</v>
      </c>
      <c r="J24" s="3">
        <v>2.4900000000000002</v>
      </c>
      <c r="K24" s="3">
        <v>2.54</v>
      </c>
      <c r="L24" s="3">
        <v>3.04</v>
      </c>
      <c r="M24" s="3">
        <v>2.3199999999999998</v>
      </c>
      <c r="N24" s="3">
        <v>2.11</v>
      </c>
      <c r="O24" s="3">
        <v>1.83</v>
      </c>
      <c r="P24" s="3">
        <v>2.0299999999999998</v>
      </c>
      <c r="Q24" s="3">
        <v>1.83</v>
      </c>
      <c r="R24" s="3">
        <v>1.87</v>
      </c>
      <c r="S24" s="3">
        <v>1.92</v>
      </c>
      <c r="T24" s="3">
        <v>2.4700000000000002</v>
      </c>
      <c r="U24" s="3">
        <v>2.27</v>
      </c>
      <c r="V24" s="3">
        <v>2.5</v>
      </c>
      <c r="W24" s="3">
        <v>3.97</v>
      </c>
      <c r="X24" s="3">
        <v>3.56</v>
      </c>
      <c r="Y24" s="3">
        <v>2.82</v>
      </c>
      <c r="Z24" s="3">
        <v>2.91</v>
      </c>
      <c r="AA24" s="3">
        <v>2.5099999999999998</v>
      </c>
      <c r="AB24" s="3">
        <v>2.79</v>
      </c>
      <c r="AC24" s="3">
        <v>2.2799999999999998</v>
      </c>
      <c r="AD24" s="3">
        <v>2.4</v>
      </c>
      <c r="AE24" s="3">
        <v>2.4</v>
      </c>
      <c r="AF24" s="3">
        <v>3.03</v>
      </c>
      <c r="AG24" s="3">
        <v>2.38</v>
      </c>
      <c r="AH24" s="3">
        <v>2.88</v>
      </c>
      <c r="AI24" s="3">
        <v>1.92</v>
      </c>
      <c r="AJ24" s="3">
        <v>2.46</v>
      </c>
      <c r="AK24" s="3">
        <v>1.98</v>
      </c>
      <c r="AL24" s="3">
        <v>1.92</v>
      </c>
      <c r="AM24" s="3">
        <v>1.89</v>
      </c>
      <c r="AN24" s="3">
        <v>1.89</v>
      </c>
      <c r="AO24" s="3">
        <v>1.88</v>
      </c>
      <c r="AP24" s="3">
        <v>2.2599999999999998</v>
      </c>
      <c r="AQ24" s="3">
        <v>2.31</v>
      </c>
      <c r="AR24" s="3">
        <v>2.35</v>
      </c>
      <c r="AS24" s="3">
        <v>2.0099999999999998</v>
      </c>
      <c r="AT24" s="3">
        <v>3.3</v>
      </c>
      <c r="AU24" s="3">
        <v>2.88</v>
      </c>
      <c r="AV24" s="3">
        <v>2.65</v>
      </c>
      <c r="AW24" s="3">
        <v>1.97</v>
      </c>
      <c r="AX24" s="3">
        <v>3.04</v>
      </c>
      <c r="AY24" s="3">
        <v>3.73</v>
      </c>
      <c r="AZ24" s="3">
        <v>2.57</v>
      </c>
      <c r="BA24" s="3">
        <v>2.35</v>
      </c>
      <c r="BB24" s="3">
        <v>1.54</v>
      </c>
      <c r="BC24" s="3">
        <v>1.29</v>
      </c>
      <c r="BD24" s="3">
        <v>1.26</v>
      </c>
      <c r="BE24" s="3">
        <v>1.41</v>
      </c>
      <c r="BF24" s="3">
        <v>1.4</v>
      </c>
      <c r="BG24" s="3">
        <v>1.4</v>
      </c>
      <c r="BH24" s="3">
        <v>1.71</v>
      </c>
      <c r="BI24" s="3">
        <v>1.5</v>
      </c>
      <c r="BJ24" s="3">
        <v>1.58</v>
      </c>
      <c r="BK24" s="3">
        <v>1.67</v>
      </c>
      <c r="BL24" s="3">
        <v>1.72</v>
      </c>
      <c r="BM24" s="3">
        <v>1.49</v>
      </c>
      <c r="BN24" s="3">
        <v>1.63</v>
      </c>
      <c r="BO24" s="3">
        <v>1.96</v>
      </c>
      <c r="BP24" s="3">
        <v>2.04</v>
      </c>
      <c r="BQ24" s="3">
        <v>1.76</v>
      </c>
      <c r="BR24" s="3">
        <v>1.76</v>
      </c>
      <c r="BS24" s="3">
        <v>2.06</v>
      </c>
      <c r="BT24" s="3">
        <v>2.31</v>
      </c>
      <c r="BU24" s="3">
        <v>1.88</v>
      </c>
      <c r="BV24" s="3">
        <v>2.2400000000000002</v>
      </c>
      <c r="BW24" s="3">
        <v>2.72</v>
      </c>
      <c r="BX24" s="3">
        <v>2.97</v>
      </c>
      <c r="BY24" s="3">
        <v>2.2799999999999998</v>
      </c>
      <c r="BZ24" s="3">
        <v>0.77</v>
      </c>
      <c r="CA24" s="3">
        <v>0.64</v>
      </c>
      <c r="CB24" s="3">
        <v>0.47</v>
      </c>
      <c r="CC24" s="3">
        <v>0.43</v>
      </c>
    </row>
    <row r="25" spans="1:81" x14ac:dyDescent="0.25">
      <c r="A25" s="3" t="s">
        <v>767</v>
      </c>
      <c r="B25" s="3">
        <v>0.2</v>
      </c>
      <c r="C25" s="3">
        <v>0.22</v>
      </c>
      <c r="D25" s="3">
        <v>0.17</v>
      </c>
      <c r="E25" s="3">
        <v>0.3</v>
      </c>
      <c r="F25" s="3">
        <v>0.25</v>
      </c>
      <c r="G25" s="3">
        <v>0.4</v>
      </c>
      <c r="H25" s="3">
        <v>0.25</v>
      </c>
      <c r="I25" s="3">
        <v>0.38</v>
      </c>
      <c r="J25" s="3">
        <v>0.4</v>
      </c>
      <c r="K25" s="3">
        <v>0.36</v>
      </c>
      <c r="L25" s="3">
        <v>0.28999999999999998</v>
      </c>
      <c r="M25" s="3">
        <v>0.42</v>
      </c>
      <c r="N25" s="3">
        <v>0.47</v>
      </c>
      <c r="O25" s="3">
        <v>0.55000000000000004</v>
      </c>
      <c r="P25" s="3">
        <v>0.46</v>
      </c>
      <c r="Q25" s="3">
        <v>0.51</v>
      </c>
      <c r="R25" s="3">
        <v>0.49</v>
      </c>
      <c r="S25" s="3">
        <v>0.43</v>
      </c>
      <c r="T25" s="3">
        <v>0.28999999999999998</v>
      </c>
      <c r="U25" s="3">
        <v>0.31</v>
      </c>
      <c r="V25" s="3">
        <v>0.26</v>
      </c>
      <c r="W25" s="3">
        <v>0.14000000000000001</v>
      </c>
      <c r="X25" s="3">
        <v>0.15</v>
      </c>
      <c r="Y25" s="3">
        <v>0.2</v>
      </c>
      <c r="Z25" s="3">
        <v>0.17</v>
      </c>
      <c r="AA25" s="3">
        <v>0.19</v>
      </c>
      <c r="AB25" s="3">
        <v>0.19</v>
      </c>
      <c r="AC25" s="3">
        <v>0.27</v>
      </c>
      <c r="AD25" s="3">
        <v>0.25</v>
      </c>
      <c r="AE25" s="3">
        <v>0.23</v>
      </c>
      <c r="AF25" s="3">
        <v>0.19</v>
      </c>
      <c r="AG25" s="3">
        <v>0.28000000000000003</v>
      </c>
      <c r="AH25" s="3">
        <v>0.22</v>
      </c>
      <c r="AI25" s="3">
        <v>0.41</v>
      </c>
      <c r="AJ25" s="3">
        <v>0.28000000000000003</v>
      </c>
      <c r="AK25" s="3">
        <v>0.38</v>
      </c>
      <c r="AL25" s="3">
        <v>0.43</v>
      </c>
      <c r="AM25" s="3">
        <v>0.44</v>
      </c>
      <c r="AN25" s="3">
        <v>0.43</v>
      </c>
      <c r="AO25" s="3">
        <v>0.38</v>
      </c>
      <c r="AP25" s="3">
        <v>0.28999999999999998</v>
      </c>
      <c r="AQ25" s="3">
        <v>0.28000000000000003</v>
      </c>
      <c r="AR25" s="3">
        <v>0.28000000000000003</v>
      </c>
      <c r="AS25" s="3">
        <v>0.35</v>
      </c>
      <c r="AT25" s="3">
        <v>0.18</v>
      </c>
      <c r="AU25" s="3">
        <v>0.22</v>
      </c>
      <c r="AV25" s="3">
        <v>0.24</v>
      </c>
      <c r="AW25" s="3">
        <v>0.38</v>
      </c>
      <c r="AX25" s="3">
        <v>0.21</v>
      </c>
      <c r="AY25" s="3">
        <v>0.15</v>
      </c>
      <c r="AZ25" s="3">
        <v>0.25</v>
      </c>
      <c r="BA25" s="3">
        <v>0.26</v>
      </c>
      <c r="BB25" s="3">
        <v>0.47</v>
      </c>
      <c r="BC25" s="3">
        <v>0.65</v>
      </c>
      <c r="BD25" s="3">
        <v>0.69</v>
      </c>
      <c r="BE25" s="3">
        <v>0.56000000000000005</v>
      </c>
      <c r="BF25" s="3">
        <v>0.63</v>
      </c>
      <c r="BG25" s="3">
        <v>0.55000000000000004</v>
      </c>
      <c r="BH25" s="3">
        <v>0.45</v>
      </c>
      <c r="BI25" s="3">
        <v>0.56999999999999995</v>
      </c>
      <c r="BJ25" s="3">
        <v>0.49</v>
      </c>
      <c r="BK25" s="3">
        <v>0.44</v>
      </c>
      <c r="BL25" s="3">
        <v>0.43</v>
      </c>
      <c r="BM25" s="3">
        <v>0.52</v>
      </c>
      <c r="BN25" s="3">
        <v>0.45</v>
      </c>
      <c r="BO25" s="3">
        <v>0.32</v>
      </c>
      <c r="BP25" s="3">
        <v>0.3</v>
      </c>
      <c r="BQ25" s="3">
        <v>0.43</v>
      </c>
      <c r="BR25" s="3">
        <v>0.39</v>
      </c>
      <c r="BS25" s="3">
        <v>0.26</v>
      </c>
      <c r="BT25" s="3">
        <v>0.26</v>
      </c>
      <c r="BU25" s="3">
        <v>0.37</v>
      </c>
      <c r="BV25" s="3">
        <v>0.3</v>
      </c>
      <c r="BW25" s="3">
        <v>0.23</v>
      </c>
      <c r="BX25" s="3">
        <v>0.26</v>
      </c>
      <c r="BY25" s="3">
        <v>0.37</v>
      </c>
      <c r="BZ25" s="3">
        <v>1.1399999999999999</v>
      </c>
      <c r="CA25" s="3">
        <v>1.85</v>
      </c>
      <c r="CB25" s="3">
        <v>2.21</v>
      </c>
      <c r="CC25" s="3">
        <v>2.17</v>
      </c>
    </row>
    <row r="26" spans="1:81" x14ac:dyDescent="0.25">
      <c r="A26" s="3" t="s">
        <v>47</v>
      </c>
      <c r="B26" s="3" t="s">
        <v>768</v>
      </c>
      <c r="C26" s="3" t="s">
        <v>769</v>
      </c>
      <c r="D26" s="3" t="s">
        <v>770</v>
      </c>
      <c r="E26" s="3" t="s">
        <v>771</v>
      </c>
      <c r="F26" s="3" t="s">
        <v>772</v>
      </c>
      <c r="G26" s="3" t="s">
        <v>773</v>
      </c>
      <c r="H26" s="3" t="s">
        <v>774</v>
      </c>
      <c r="I26" s="3" t="s">
        <v>775</v>
      </c>
      <c r="J26" s="3" t="s">
        <v>776</v>
      </c>
      <c r="K26" s="3" t="s">
        <v>777</v>
      </c>
      <c r="L26" s="3" t="s">
        <v>778</v>
      </c>
      <c r="M26" s="3" t="s">
        <v>779</v>
      </c>
      <c r="N26" s="3" t="s">
        <v>780</v>
      </c>
      <c r="O26" s="3" t="s">
        <v>781</v>
      </c>
      <c r="P26" s="3" t="s">
        <v>782</v>
      </c>
      <c r="Q26" s="3" t="s">
        <v>356</v>
      </c>
      <c r="R26" s="3" t="s">
        <v>426</v>
      </c>
      <c r="S26" s="3" t="s">
        <v>783</v>
      </c>
      <c r="T26" s="3" t="s">
        <v>784</v>
      </c>
      <c r="U26" s="3" t="s">
        <v>785</v>
      </c>
      <c r="V26" s="3" t="s">
        <v>344</v>
      </c>
      <c r="W26" s="3" t="s">
        <v>786</v>
      </c>
      <c r="X26" s="3" t="s">
        <v>787</v>
      </c>
      <c r="Y26" s="3" t="s">
        <v>788</v>
      </c>
      <c r="Z26" s="3" t="s">
        <v>789</v>
      </c>
      <c r="AA26" s="3" t="s">
        <v>790</v>
      </c>
      <c r="AB26" s="3" t="s">
        <v>791</v>
      </c>
      <c r="AC26" s="3" t="s">
        <v>792</v>
      </c>
      <c r="AD26" s="3" t="s">
        <v>793</v>
      </c>
      <c r="AE26" s="3" t="s">
        <v>794</v>
      </c>
      <c r="AF26" s="3" t="s">
        <v>795</v>
      </c>
      <c r="AG26" s="3" t="s">
        <v>796</v>
      </c>
      <c r="AH26" s="3" t="s">
        <v>797</v>
      </c>
      <c r="AI26" s="3" t="s">
        <v>550</v>
      </c>
      <c r="AJ26" s="3" t="s">
        <v>798</v>
      </c>
      <c r="AK26" s="3" t="s">
        <v>799</v>
      </c>
      <c r="AL26" s="3" t="s">
        <v>800</v>
      </c>
      <c r="AM26" s="3" t="s">
        <v>801</v>
      </c>
      <c r="AN26" s="3" t="s">
        <v>802</v>
      </c>
      <c r="AO26" s="3" t="s">
        <v>803</v>
      </c>
      <c r="AP26" s="3" t="s">
        <v>804</v>
      </c>
      <c r="AQ26" s="3" t="s">
        <v>805</v>
      </c>
      <c r="AR26" s="3" t="s">
        <v>806</v>
      </c>
      <c r="AS26" s="3" t="s">
        <v>807</v>
      </c>
      <c r="AT26" s="3" t="s">
        <v>808</v>
      </c>
      <c r="AU26" s="3" t="s">
        <v>809</v>
      </c>
      <c r="AV26" s="3" t="s">
        <v>810</v>
      </c>
      <c r="AW26" s="3" t="s">
        <v>811</v>
      </c>
      <c r="AX26" s="3" t="s">
        <v>812</v>
      </c>
      <c r="AY26" s="3" t="s">
        <v>813</v>
      </c>
      <c r="AZ26" s="3" t="s">
        <v>814</v>
      </c>
      <c r="BA26" s="3" t="s">
        <v>815</v>
      </c>
      <c r="BB26" s="3" t="s">
        <v>816</v>
      </c>
      <c r="BC26" s="3" t="s">
        <v>817</v>
      </c>
      <c r="BD26" s="3" t="s">
        <v>818</v>
      </c>
      <c r="BE26" s="3" t="s">
        <v>819</v>
      </c>
      <c r="BF26" s="3" t="s">
        <v>820</v>
      </c>
      <c r="BG26" s="3" t="s">
        <v>821</v>
      </c>
      <c r="BH26" s="3" t="s">
        <v>291</v>
      </c>
      <c r="BI26" s="3" t="s">
        <v>822</v>
      </c>
      <c r="BJ26" s="3" t="s">
        <v>823</v>
      </c>
      <c r="BK26" s="3" t="s">
        <v>824</v>
      </c>
      <c r="BL26" s="3" t="s">
        <v>825</v>
      </c>
      <c r="BM26" s="3" t="s">
        <v>826</v>
      </c>
      <c r="BN26" s="3" t="s">
        <v>782</v>
      </c>
      <c r="BO26" s="3" t="s">
        <v>827</v>
      </c>
      <c r="BP26" s="3" t="s">
        <v>828</v>
      </c>
      <c r="BQ26" s="3" t="s">
        <v>829</v>
      </c>
      <c r="BR26" s="3" t="s">
        <v>830</v>
      </c>
      <c r="BS26" s="3" t="s">
        <v>831</v>
      </c>
      <c r="BT26" s="3" t="s">
        <v>832</v>
      </c>
      <c r="BU26" s="3" t="s">
        <v>335</v>
      </c>
      <c r="BV26" s="3" t="s">
        <v>833</v>
      </c>
      <c r="BW26" s="3" t="s">
        <v>834</v>
      </c>
      <c r="BX26" s="3" t="s">
        <v>835</v>
      </c>
      <c r="BY26" s="3" t="s">
        <v>836</v>
      </c>
      <c r="BZ26" s="3" t="s">
        <v>837</v>
      </c>
      <c r="CA26" s="3" t="s">
        <v>838</v>
      </c>
      <c r="CB26" s="3" t="s">
        <v>839</v>
      </c>
      <c r="CC26" s="3" t="s">
        <v>840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FE5C4-A2DB-4503-BCFD-432AA9F87236}">
  <sheetPr codeName="Sheet3"/>
  <dimension ref="A2:W67"/>
  <sheetViews>
    <sheetView topLeftCell="A43" workbookViewId="0">
      <selection activeCell="A69" sqref="A69:XFD69"/>
    </sheetView>
  </sheetViews>
  <sheetFormatPr defaultRowHeight="15" x14ac:dyDescent="0.25"/>
  <cols>
    <col min="1" max="1" width="42.140625" style="2" bestFit="1" customWidth="1"/>
    <col min="2" max="23" width="10" style="2" customWidth="1"/>
    <col min="24" max="256" width="9.140625" style="2"/>
    <col min="257" max="257" width="25" style="2" customWidth="1"/>
    <col min="258" max="279" width="10" style="2" customWidth="1"/>
    <col min="280" max="512" width="9.140625" style="2"/>
    <col min="513" max="513" width="25" style="2" customWidth="1"/>
    <col min="514" max="535" width="10" style="2" customWidth="1"/>
    <col min="536" max="768" width="9.140625" style="2"/>
    <col min="769" max="769" width="25" style="2" customWidth="1"/>
    <col min="770" max="791" width="10" style="2" customWidth="1"/>
    <col min="792" max="1024" width="9.140625" style="2"/>
    <col min="1025" max="1025" width="25" style="2" customWidth="1"/>
    <col min="1026" max="1047" width="10" style="2" customWidth="1"/>
    <col min="1048" max="1280" width="9.140625" style="2"/>
    <col min="1281" max="1281" width="25" style="2" customWidth="1"/>
    <col min="1282" max="1303" width="10" style="2" customWidth="1"/>
    <col min="1304" max="1536" width="9.140625" style="2"/>
    <col min="1537" max="1537" width="25" style="2" customWidth="1"/>
    <col min="1538" max="1559" width="10" style="2" customWidth="1"/>
    <col min="1560" max="1792" width="9.140625" style="2"/>
    <col min="1793" max="1793" width="25" style="2" customWidth="1"/>
    <col min="1794" max="1815" width="10" style="2" customWidth="1"/>
    <col min="1816" max="2048" width="9.140625" style="2"/>
    <col min="2049" max="2049" width="25" style="2" customWidth="1"/>
    <col min="2050" max="2071" width="10" style="2" customWidth="1"/>
    <col min="2072" max="2304" width="9.140625" style="2"/>
    <col min="2305" max="2305" width="25" style="2" customWidth="1"/>
    <col min="2306" max="2327" width="10" style="2" customWidth="1"/>
    <col min="2328" max="2560" width="9.140625" style="2"/>
    <col min="2561" max="2561" width="25" style="2" customWidth="1"/>
    <col min="2562" max="2583" width="10" style="2" customWidth="1"/>
    <col min="2584" max="2816" width="9.140625" style="2"/>
    <col min="2817" max="2817" width="25" style="2" customWidth="1"/>
    <col min="2818" max="2839" width="10" style="2" customWidth="1"/>
    <col min="2840" max="3072" width="9.140625" style="2"/>
    <col min="3073" max="3073" width="25" style="2" customWidth="1"/>
    <col min="3074" max="3095" width="10" style="2" customWidth="1"/>
    <col min="3096" max="3328" width="9.140625" style="2"/>
    <col min="3329" max="3329" width="25" style="2" customWidth="1"/>
    <col min="3330" max="3351" width="10" style="2" customWidth="1"/>
    <col min="3352" max="3584" width="9.140625" style="2"/>
    <col min="3585" max="3585" width="25" style="2" customWidth="1"/>
    <col min="3586" max="3607" width="10" style="2" customWidth="1"/>
    <col min="3608" max="3840" width="9.140625" style="2"/>
    <col min="3841" max="3841" width="25" style="2" customWidth="1"/>
    <col min="3842" max="3863" width="10" style="2" customWidth="1"/>
    <col min="3864" max="4096" width="9.140625" style="2"/>
    <col min="4097" max="4097" width="25" style="2" customWidth="1"/>
    <col min="4098" max="4119" width="10" style="2" customWidth="1"/>
    <col min="4120" max="4352" width="9.140625" style="2"/>
    <col min="4353" max="4353" width="25" style="2" customWidth="1"/>
    <col min="4354" max="4375" width="10" style="2" customWidth="1"/>
    <col min="4376" max="4608" width="9.140625" style="2"/>
    <col min="4609" max="4609" width="25" style="2" customWidth="1"/>
    <col min="4610" max="4631" width="10" style="2" customWidth="1"/>
    <col min="4632" max="4864" width="9.140625" style="2"/>
    <col min="4865" max="4865" width="25" style="2" customWidth="1"/>
    <col min="4866" max="4887" width="10" style="2" customWidth="1"/>
    <col min="4888" max="5120" width="9.140625" style="2"/>
    <col min="5121" max="5121" width="25" style="2" customWidth="1"/>
    <col min="5122" max="5143" width="10" style="2" customWidth="1"/>
    <col min="5144" max="5376" width="9.140625" style="2"/>
    <col min="5377" max="5377" width="25" style="2" customWidth="1"/>
    <col min="5378" max="5399" width="10" style="2" customWidth="1"/>
    <col min="5400" max="5632" width="9.140625" style="2"/>
    <col min="5633" max="5633" width="25" style="2" customWidth="1"/>
    <col min="5634" max="5655" width="10" style="2" customWidth="1"/>
    <col min="5656" max="5888" width="9.140625" style="2"/>
    <col min="5889" max="5889" width="25" style="2" customWidth="1"/>
    <col min="5890" max="5911" width="10" style="2" customWidth="1"/>
    <col min="5912" max="6144" width="9.140625" style="2"/>
    <col min="6145" max="6145" width="25" style="2" customWidth="1"/>
    <col min="6146" max="6167" width="10" style="2" customWidth="1"/>
    <col min="6168" max="6400" width="9.140625" style="2"/>
    <col min="6401" max="6401" width="25" style="2" customWidth="1"/>
    <col min="6402" max="6423" width="10" style="2" customWidth="1"/>
    <col min="6424" max="6656" width="9.140625" style="2"/>
    <col min="6657" max="6657" width="25" style="2" customWidth="1"/>
    <col min="6658" max="6679" width="10" style="2" customWidth="1"/>
    <col min="6680" max="6912" width="9.140625" style="2"/>
    <col min="6913" max="6913" width="25" style="2" customWidth="1"/>
    <col min="6914" max="6935" width="10" style="2" customWidth="1"/>
    <col min="6936" max="7168" width="9.140625" style="2"/>
    <col min="7169" max="7169" width="25" style="2" customWidth="1"/>
    <col min="7170" max="7191" width="10" style="2" customWidth="1"/>
    <col min="7192" max="7424" width="9.140625" style="2"/>
    <col min="7425" max="7425" width="25" style="2" customWidth="1"/>
    <col min="7426" max="7447" width="10" style="2" customWidth="1"/>
    <col min="7448" max="7680" width="9.140625" style="2"/>
    <col min="7681" max="7681" width="25" style="2" customWidth="1"/>
    <col min="7682" max="7703" width="10" style="2" customWidth="1"/>
    <col min="7704" max="7936" width="9.140625" style="2"/>
    <col min="7937" max="7937" width="25" style="2" customWidth="1"/>
    <col min="7938" max="7959" width="10" style="2" customWidth="1"/>
    <col min="7960" max="8192" width="9.140625" style="2"/>
    <col min="8193" max="8193" width="25" style="2" customWidth="1"/>
    <col min="8194" max="8215" width="10" style="2" customWidth="1"/>
    <col min="8216" max="8448" width="9.140625" style="2"/>
    <col min="8449" max="8449" width="25" style="2" customWidth="1"/>
    <col min="8450" max="8471" width="10" style="2" customWidth="1"/>
    <col min="8472" max="8704" width="9.140625" style="2"/>
    <col min="8705" max="8705" width="25" style="2" customWidth="1"/>
    <col min="8706" max="8727" width="10" style="2" customWidth="1"/>
    <col min="8728" max="8960" width="9.140625" style="2"/>
    <col min="8961" max="8961" width="25" style="2" customWidth="1"/>
    <col min="8962" max="8983" width="10" style="2" customWidth="1"/>
    <col min="8984" max="9216" width="9.140625" style="2"/>
    <col min="9217" max="9217" width="25" style="2" customWidth="1"/>
    <col min="9218" max="9239" width="10" style="2" customWidth="1"/>
    <col min="9240" max="9472" width="9.140625" style="2"/>
    <col min="9473" max="9473" width="25" style="2" customWidth="1"/>
    <col min="9474" max="9495" width="10" style="2" customWidth="1"/>
    <col min="9496" max="9728" width="9.140625" style="2"/>
    <col min="9729" max="9729" width="25" style="2" customWidth="1"/>
    <col min="9730" max="9751" width="10" style="2" customWidth="1"/>
    <col min="9752" max="9984" width="9.140625" style="2"/>
    <col min="9985" max="9985" width="25" style="2" customWidth="1"/>
    <col min="9986" max="10007" width="10" style="2" customWidth="1"/>
    <col min="10008" max="10240" width="9.140625" style="2"/>
    <col min="10241" max="10241" width="25" style="2" customWidth="1"/>
    <col min="10242" max="10263" width="10" style="2" customWidth="1"/>
    <col min="10264" max="10496" width="9.140625" style="2"/>
    <col min="10497" max="10497" width="25" style="2" customWidth="1"/>
    <col min="10498" max="10519" width="10" style="2" customWidth="1"/>
    <col min="10520" max="10752" width="9.140625" style="2"/>
    <col min="10753" max="10753" width="25" style="2" customWidth="1"/>
    <col min="10754" max="10775" width="10" style="2" customWidth="1"/>
    <col min="10776" max="11008" width="9.140625" style="2"/>
    <col min="11009" max="11009" width="25" style="2" customWidth="1"/>
    <col min="11010" max="11031" width="10" style="2" customWidth="1"/>
    <col min="11032" max="11264" width="9.140625" style="2"/>
    <col min="11265" max="11265" width="25" style="2" customWidth="1"/>
    <col min="11266" max="11287" width="10" style="2" customWidth="1"/>
    <col min="11288" max="11520" width="9.140625" style="2"/>
    <col min="11521" max="11521" width="25" style="2" customWidth="1"/>
    <col min="11522" max="11543" width="10" style="2" customWidth="1"/>
    <col min="11544" max="11776" width="9.140625" style="2"/>
    <col min="11777" max="11777" width="25" style="2" customWidth="1"/>
    <col min="11778" max="11799" width="10" style="2" customWidth="1"/>
    <col min="11800" max="12032" width="9.140625" style="2"/>
    <col min="12033" max="12033" width="25" style="2" customWidth="1"/>
    <col min="12034" max="12055" width="10" style="2" customWidth="1"/>
    <col min="12056" max="12288" width="9.140625" style="2"/>
    <col min="12289" max="12289" width="25" style="2" customWidth="1"/>
    <col min="12290" max="12311" width="10" style="2" customWidth="1"/>
    <col min="12312" max="12544" width="9.140625" style="2"/>
    <col min="12545" max="12545" width="25" style="2" customWidth="1"/>
    <col min="12546" max="12567" width="10" style="2" customWidth="1"/>
    <col min="12568" max="12800" width="9.140625" style="2"/>
    <col min="12801" max="12801" width="25" style="2" customWidth="1"/>
    <col min="12802" max="12823" width="10" style="2" customWidth="1"/>
    <col min="12824" max="13056" width="9.140625" style="2"/>
    <col min="13057" max="13057" width="25" style="2" customWidth="1"/>
    <col min="13058" max="13079" width="10" style="2" customWidth="1"/>
    <col min="13080" max="13312" width="9.140625" style="2"/>
    <col min="13313" max="13313" width="25" style="2" customWidth="1"/>
    <col min="13314" max="13335" width="10" style="2" customWidth="1"/>
    <col min="13336" max="13568" width="9.140625" style="2"/>
    <col min="13569" max="13569" width="25" style="2" customWidth="1"/>
    <col min="13570" max="13591" width="10" style="2" customWidth="1"/>
    <col min="13592" max="13824" width="9.140625" style="2"/>
    <col min="13825" max="13825" width="25" style="2" customWidth="1"/>
    <col min="13826" max="13847" width="10" style="2" customWidth="1"/>
    <col min="13848" max="14080" width="9.140625" style="2"/>
    <col min="14081" max="14081" width="25" style="2" customWidth="1"/>
    <col min="14082" max="14103" width="10" style="2" customWidth="1"/>
    <col min="14104" max="14336" width="9.140625" style="2"/>
    <col min="14337" max="14337" width="25" style="2" customWidth="1"/>
    <col min="14338" max="14359" width="10" style="2" customWidth="1"/>
    <col min="14360" max="14592" width="9.140625" style="2"/>
    <col min="14593" max="14593" width="25" style="2" customWidth="1"/>
    <col min="14594" max="14615" width="10" style="2" customWidth="1"/>
    <col min="14616" max="14848" width="9.140625" style="2"/>
    <col min="14849" max="14849" width="25" style="2" customWidth="1"/>
    <col min="14850" max="14871" width="10" style="2" customWidth="1"/>
    <col min="14872" max="15104" width="9.140625" style="2"/>
    <col min="15105" max="15105" width="25" style="2" customWidth="1"/>
    <col min="15106" max="15127" width="10" style="2" customWidth="1"/>
    <col min="15128" max="15360" width="9.140625" style="2"/>
    <col min="15361" max="15361" width="25" style="2" customWidth="1"/>
    <col min="15362" max="15383" width="10" style="2" customWidth="1"/>
    <col min="15384" max="15616" width="9.140625" style="2"/>
    <col min="15617" max="15617" width="25" style="2" customWidth="1"/>
    <col min="15618" max="15639" width="10" style="2" customWidth="1"/>
    <col min="15640" max="15872" width="9.140625" style="2"/>
    <col min="15873" max="15873" width="25" style="2" customWidth="1"/>
    <col min="15874" max="15895" width="10" style="2" customWidth="1"/>
    <col min="15896" max="16128" width="9.140625" style="2"/>
    <col min="16129" max="16129" width="25" style="2" customWidth="1"/>
    <col min="16130" max="16151" width="10" style="2" customWidth="1"/>
    <col min="16152" max="16384" width="9.140625" style="2"/>
  </cols>
  <sheetData>
    <row r="2" spans="1:23" x14ac:dyDescent="0.25">
      <c r="A2" s="2" t="s">
        <v>10</v>
      </c>
      <c r="B2" s="2">
        <v>2019</v>
      </c>
      <c r="C2" s="2">
        <v>2018</v>
      </c>
      <c r="D2" s="2">
        <v>2017</v>
      </c>
      <c r="E2" s="2">
        <v>2016</v>
      </c>
      <c r="F2" s="2">
        <v>2015</v>
      </c>
      <c r="G2" s="2">
        <v>2014</v>
      </c>
      <c r="H2" s="2">
        <v>2013</v>
      </c>
      <c r="I2" s="2">
        <v>2012</v>
      </c>
      <c r="J2" s="2">
        <v>2011</v>
      </c>
      <c r="K2" s="2">
        <v>2010</v>
      </c>
      <c r="L2" s="2">
        <v>2009</v>
      </c>
      <c r="M2" s="2">
        <v>2008</v>
      </c>
      <c r="N2" s="2">
        <v>2007</v>
      </c>
      <c r="O2" s="2">
        <v>2006</v>
      </c>
      <c r="P2" s="2">
        <v>2005</v>
      </c>
      <c r="Q2" s="2">
        <v>2004</v>
      </c>
      <c r="R2" s="2">
        <v>2003</v>
      </c>
      <c r="S2" s="2">
        <v>2002</v>
      </c>
      <c r="T2" s="2">
        <v>2001</v>
      </c>
      <c r="U2" s="2">
        <v>2000</v>
      </c>
      <c r="V2" s="2">
        <v>1999</v>
      </c>
      <c r="W2" s="2">
        <v>1998</v>
      </c>
    </row>
    <row r="3" spans="1:23" x14ac:dyDescent="0.25">
      <c r="A3" s="3" t="s">
        <v>219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x14ac:dyDescent="0.25">
      <c r="A4" s="3" t="s">
        <v>23</v>
      </c>
      <c r="B4" s="3">
        <v>13251817200</v>
      </c>
      <c r="C4" s="3">
        <v>112074791400</v>
      </c>
      <c r="D4" s="3">
        <v>87868869900</v>
      </c>
      <c r="E4" s="3">
        <v>66854962100</v>
      </c>
      <c r="F4" s="3">
        <v>36800749900</v>
      </c>
      <c r="G4" s="3">
        <v>27710717700</v>
      </c>
      <c r="H4" s="3">
        <v>25185009300</v>
      </c>
      <c r="I4" s="3">
        <v>22061999900</v>
      </c>
      <c r="J4" s="3">
        <v>18254690200</v>
      </c>
      <c r="K4" s="3">
        <v>12888393900</v>
      </c>
      <c r="L4" s="3">
        <v>9743152200</v>
      </c>
      <c r="M4" s="3">
        <v>8093721900</v>
      </c>
      <c r="N4" s="3">
        <v>4722706300</v>
      </c>
      <c r="O4" s="3">
        <v>4474221100</v>
      </c>
      <c r="P4" s="3">
        <v>3891989400</v>
      </c>
      <c r="Q4" s="3">
        <v>2898327400</v>
      </c>
      <c r="R4" s="3">
        <v>2340047400</v>
      </c>
      <c r="S4" s="3">
        <v>1780307700</v>
      </c>
      <c r="T4" s="3">
        <v>1956436600</v>
      </c>
      <c r="U4" s="3">
        <v>460983600</v>
      </c>
      <c r="V4" s="3">
        <v>198390600</v>
      </c>
      <c r="W4" s="3">
        <v>124765400</v>
      </c>
    </row>
    <row r="5" spans="1:23" x14ac:dyDescent="0.25">
      <c r="A5" s="3" t="s">
        <v>220</v>
      </c>
      <c r="B5" s="3">
        <v>117377810600</v>
      </c>
      <c r="C5" s="3" t="s">
        <v>133</v>
      </c>
      <c r="D5" s="3" t="s">
        <v>133</v>
      </c>
      <c r="E5" s="3">
        <v>390000000</v>
      </c>
      <c r="F5" s="3" t="s">
        <v>133</v>
      </c>
      <c r="G5" s="3" t="s">
        <v>133</v>
      </c>
      <c r="H5" s="3" t="s">
        <v>133</v>
      </c>
      <c r="I5" s="3" t="s">
        <v>133</v>
      </c>
      <c r="J5" s="3" t="s">
        <v>133</v>
      </c>
      <c r="K5" s="3" t="s">
        <v>133</v>
      </c>
      <c r="L5" s="3" t="s">
        <v>133</v>
      </c>
      <c r="M5" s="3" t="s">
        <v>133</v>
      </c>
      <c r="N5" s="3" t="s">
        <v>133</v>
      </c>
      <c r="O5" s="3" t="s">
        <v>133</v>
      </c>
      <c r="P5" s="3" t="s">
        <v>133</v>
      </c>
      <c r="Q5" s="3" t="s">
        <v>133</v>
      </c>
      <c r="R5" s="3" t="s">
        <v>133</v>
      </c>
      <c r="S5" s="3" t="s">
        <v>133</v>
      </c>
      <c r="T5" s="3" t="s">
        <v>133</v>
      </c>
      <c r="U5" s="3" t="s">
        <v>133</v>
      </c>
      <c r="V5" s="3" t="s">
        <v>133</v>
      </c>
      <c r="W5" s="3" t="s">
        <v>133</v>
      </c>
    </row>
    <row r="6" spans="1:23" x14ac:dyDescent="0.25">
      <c r="A6" s="3" t="s">
        <v>221</v>
      </c>
      <c r="B6" s="3" t="s">
        <v>133</v>
      </c>
      <c r="C6" s="3" t="s">
        <v>133</v>
      </c>
      <c r="D6" s="3" t="s">
        <v>133</v>
      </c>
      <c r="E6" s="3" t="s">
        <v>133</v>
      </c>
      <c r="F6" s="3" t="s">
        <v>133</v>
      </c>
      <c r="G6" s="3" t="s">
        <v>133</v>
      </c>
      <c r="H6" s="3" t="s">
        <v>133</v>
      </c>
      <c r="I6" s="3" t="s">
        <v>133</v>
      </c>
      <c r="J6" s="3" t="s">
        <v>133</v>
      </c>
      <c r="K6" s="3" t="s">
        <v>133</v>
      </c>
      <c r="L6" s="3" t="s">
        <v>133</v>
      </c>
      <c r="M6" s="3" t="s">
        <v>133</v>
      </c>
      <c r="N6" s="3" t="s">
        <v>133</v>
      </c>
      <c r="O6" s="3" t="s">
        <v>133</v>
      </c>
      <c r="P6" s="3" t="s">
        <v>133</v>
      </c>
      <c r="Q6" s="3" t="s">
        <v>133</v>
      </c>
      <c r="R6" s="3" t="s">
        <v>133</v>
      </c>
      <c r="S6" s="3" t="s">
        <v>133</v>
      </c>
      <c r="T6" s="3" t="s">
        <v>133</v>
      </c>
      <c r="U6" s="3" t="s">
        <v>133</v>
      </c>
      <c r="V6" s="3" t="s">
        <v>133</v>
      </c>
      <c r="W6" s="3" t="s">
        <v>133</v>
      </c>
    </row>
    <row r="7" spans="1:23" x14ac:dyDescent="0.25">
      <c r="A7" s="3" t="s">
        <v>222</v>
      </c>
      <c r="B7" s="3">
        <v>1463000600</v>
      </c>
      <c r="C7" s="3">
        <v>563739700</v>
      </c>
      <c r="D7" s="3">
        <v>1221706000</v>
      </c>
      <c r="E7" s="3">
        <v>817627200</v>
      </c>
      <c r="F7" s="3">
        <v>8579166200</v>
      </c>
      <c r="G7" s="3">
        <v>1852144800</v>
      </c>
      <c r="H7" s="3">
        <v>297011200</v>
      </c>
      <c r="I7" s="3">
        <v>221897300</v>
      </c>
      <c r="J7" s="3">
        <v>254326800</v>
      </c>
      <c r="K7" s="3">
        <v>206065700</v>
      </c>
      <c r="L7" s="3">
        <v>402146600</v>
      </c>
      <c r="M7" s="3">
        <v>205437700</v>
      </c>
      <c r="N7" s="3">
        <v>147453400</v>
      </c>
      <c r="O7" s="3">
        <v>254000800</v>
      </c>
      <c r="P7" s="3">
        <v>203351200</v>
      </c>
      <c r="Q7" s="3">
        <v>146652300</v>
      </c>
      <c r="R7" s="3">
        <v>74026400</v>
      </c>
      <c r="S7" s="3">
        <v>79752500</v>
      </c>
      <c r="T7" s="3">
        <v>58440500</v>
      </c>
      <c r="U7" s="3">
        <v>50384800</v>
      </c>
      <c r="V7" s="3">
        <v>13412200</v>
      </c>
      <c r="W7" s="3" t="s">
        <v>133</v>
      </c>
    </row>
    <row r="8" spans="1:23" x14ac:dyDescent="0.25">
      <c r="A8" s="3" t="s">
        <v>223</v>
      </c>
      <c r="B8" s="3">
        <v>1463000600</v>
      </c>
      <c r="C8" s="3">
        <v>563739700</v>
      </c>
      <c r="D8" s="3">
        <v>1221706000</v>
      </c>
      <c r="E8" s="3">
        <v>817627200</v>
      </c>
      <c r="F8" s="3">
        <v>8578935400</v>
      </c>
      <c r="G8" s="3">
        <v>1847838600</v>
      </c>
      <c r="H8" s="3">
        <v>296084000</v>
      </c>
      <c r="I8" s="3">
        <v>204079100</v>
      </c>
      <c r="J8" s="3">
        <v>252101400</v>
      </c>
      <c r="K8" s="3">
        <v>204811100</v>
      </c>
      <c r="L8" s="3">
        <v>380760300</v>
      </c>
      <c r="M8" s="3">
        <v>170612600</v>
      </c>
      <c r="N8" s="3">
        <v>101046200</v>
      </c>
      <c r="O8" s="3">
        <v>185653800</v>
      </c>
      <c r="P8" s="3">
        <v>159665200</v>
      </c>
      <c r="Q8" s="3">
        <v>115374900</v>
      </c>
      <c r="R8" s="3">
        <v>46540400</v>
      </c>
      <c r="S8" s="3">
        <v>37016800</v>
      </c>
      <c r="T8" s="3">
        <v>11740000</v>
      </c>
      <c r="U8" s="3">
        <v>2500000</v>
      </c>
      <c r="V8" s="3">
        <v>13412200</v>
      </c>
      <c r="W8" s="3" t="s">
        <v>133</v>
      </c>
    </row>
    <row r="9" spans="1:23" x14ac:dyDescent="0.25">
      <c r="A9" s="3" t="s">
        <v>224</v>
      </c>
      <c r="B9" s="3" t="s">
        <v>133</v>
      </c>
      <c r="C9" s="3" t="s">
        <v>133</v>
      </c>
      <c r="D9" s="3" t="s">
        <v>133</v>
      </c>
      <c r="E9" s="3" t="s">
        <v>133</v>
      </c>
      <c r="F9" s="3">
        <v>230800</v>
      </c>
      <c r="G9" s="3">
        <v>4306200</v>
      </c>
      <c r="H9" s="3">
        <v>927200</v>
      </c>
      <c r="I9" s="3">
        <v>17818100</v>
      </c>
      <c r="J9" s="3">
        <v>2225400</v>
      </c>
      <c r="K9" s="3">
        <v>1254600</v>
      </c>
      <c r="L9" s="3">
        <v>21386300</v>
      </c>
      <c r="M9" s="3">
        <v>34825100</v>
      </c>
      <c r="N9" s="3">
        <v>46407200</v>
      </c>
      <c r="O9" s="3">
        <v>68347000</v>
      </c>
      <c r="P9" s="3">
        <v>43686000</v>
      </c>
      <c r="Q9" s="3">
        <v>31277400</v>
      </c>
      <c r="R9" s="3">
        <v>27486100</v>
      </c>
      <c r="S9" s="3">
        <v>42735800</v>
      </c>
      <c r="T9" s="3">
        <v>46700500</v>
      </c>
      <c r="U9" s="3">
        <v>47884800</v>
      </c>
      <c r="V9" s="3" t="s">
        <v>133</v>
      </c>
      <c r="W9" s="3" t="s">
        <v>133</v>
      </c>
    </row>
    <row r="10" spans="1:23" x14ac:dyDescent="0.25">
      <c r="A10" s="3" t="s">
        <v>225</v>
      </c>
      <c r="B10" s="3">
        <v>1549477300</v>
      </c>
      <c r="C10" s="3">
        <v>1182378500</v>
      </c>
      <c r="D10" s="3">
        <v>790807300</v>
      </c>
      <c r="E10" s="3">
        <v>1046100700</v>
      </c>
      <c r="F10" s="3">
        <v>1477734900</v>
      </c>
      <c r="G10" s="3">
        <v>2864210400</v>
      </c>
      <c r="H10" s="3">
        <v>4304579300</v>
      </c>
      <c r="I10" s="3">
        <v>3872870400</v>
      </c>
      <c r="J10" s="3">
        <v>1861027400</v>
      </c>
      <c r="K10" s="3">
        <v>1529868800</v>
      </c>
      <c r="L10" s="3">
        <v>1203126100</v>
      </c>
      <c r="M10" s="3">
        <v>741638500</v>
      </c>
      <c r="N10" s="3">
        <v>639762300</v>
      </c>
      <c r="O10" s="3">
        <v>3144600</v>
      </c>
      <c r="P10" s="3">
        <v>12385900</v>
      </c>
      <c r="Q10" s="3">
        <v>4744600</v>
      </c>
      <c r="R10" s="3">
        <v>6176800</v>
      </c>
      <c r="S10" s="3">
        <v>6120100</v>
      </c>
      <c r="T10" s="3">
        <v>3011800</v>
      </c>
      <c r="U10" s="3">
        <v>15247100</v>
      </c>
      <c r="V10" s="3">
        <v>8745500</v>
      </c>
      <c r="W10" s="3">
        <v>10516900</v>
      </c>
    </row>
    <row r="11" spans="1:23" x14ac:dyDescent="0.25">
      <c r="A11" s="3" t="s">
        <v>226</v>
      </c>
      <c r="B11" s="3">
        <v>76540500</v>
      </c>
      <c r="C11" s="3">
        <v>393890500</v>
      </c>
      <c r="D11" s="3">
        <v>272782100</v>
      </c>
      <c r="E11" s="3">
        <v>218132400</v>
      </c>
      <c r="F11" s="3">
        <v>133566100</v>
      </c>
      <c r="G11" s="3">
        <v>161491800</v>
      </c>
      <c r="H11" s="3">
        <v>308173300</v>
      </c>
      <c r="I11" s="3">
        <v>402581500</v>
      </c>
      <c r="J11" s="3">
        <v>272470200</v>
      </c>
      <c r="K11" s="3">
        <v>101830300</v>
      </c>
      <c r="L11" s="3">
        <v>97914100</v>
      </c>
      <c r="M11" s="3">
        <v>85384900</v>
      </c>
      <c r="N11" s="3">
        <v>89698700</v>
      </c>
      <c r="O11" s="3">
        <v>56676000</v>
      </c>
      <c r="P11" s="3">
        <v>51244100</v>
      </c>
      <c r="Q11" s="3">
        <v>29173000</v>
      </c>
      <c r="R11" s="3">
        <v>119865800</v>
      </c>
      <c r="S11" s="3">
        <v>45195700</v>
      </c>
      <c r="T11" s="3">
        <v>33320700</v>
      </c>
      <c r="U11" s="3">
        <v>9792300</v>
      </c>
      <c r="V11" s="3" t="s">
        <v>133</v>
      </c>
      <c r="W11" s="3" t="s">
        <v>133</v>
      </c>
    </row>
    <row r="12" spans="1:23" x14ac:dyDescent="0.25">
      <c r="A12" s="3" t="s">
        <v>227</v>
      </c>
      <c r="B12" s="3" t="s">
        <v>133</v>
      </c>
      <c r="C12" s="3">
        <v>343889900</v>
      </c>
      <c r="D12" s="3">
        <v>241458600</v>
      </c>
      <c r="E12" s="3">
        <v>140904900</v>
      </c>
      <c r="F12" s="3">
        <v>85347100</v>
      </c>
      <c r="G12" s="3">
        <v>80602900</v>
      </c>
      <c r="H12" s="3">
        <v>188599100</v>
      </c>
      <c r="I12" s="3">
        <v>264612800</v>
      </c>
      <c r="J12" s="3">
        <v>225182800</v>
      </c>
      <c r="K12" s="3">
        <v>42728400</v>
      </c>
      <c r="L12" s="3">
        <v>1912600</v>
      </c>
      <c r="M12" s="3">
        <v>2783600</v>
      </c>
      <c r="N12" s="3">
        <v>3584400</v>
      </c>
      <c r="O12" s="3" t="s">
        <v>133</v>
      </c>
      <c r="P12" s="3" t="s">
        <v>133</v>
      </c>
      <c r="Q12" s="3" t="s">
        <v>133</v>
      </c>
      <c r="R12" s="3" t="s">
        <v>133</v>
      </c>
      <c r="S12" s="3" t="s">
        <v>133</v>
      </c>
      <c r="T12" s="3" t="s">
        <v>133</v>
      </c>
      <c r="U12" s="3" t="s">
        <v>133</v>
      </c>
      <c r="V12" s="3" t="s">
        <v>133</v>
      </c>
      <c r="W12" s="3" t="s">
        <v>133</v>
      </c>
    </row>
    <row r="13" spans="1:23" x14ac:dyDescent="0.25">
      <c r="A13" s="3" t="s">
        <v>228</v>
      </c>
      <c r="B13" s="3" t="s">
        <v>133</v>
      </c>
      <c r="C13" s="3" t="s">
        <v>133</v>
      </c>
      <c r="D13" s="3">
        <v>31323500</v>
      </c>
      <c r="E13" s="3">
        <v>77227600</v>
      </c>
      <c r="F13" s="3">
        <v>48219000</v>
      </c>
      <c r="G13" s="3">
        <v>80888900</v>
      </c>
      <c r="H13" s="3">
        <v>119574200</v>
      </c>
      <c r="I13" s="3">
        <v>137968700</v>
      </c>
      <c r="J13" s="3">
        <v>47287500</v>
      </c>
      <c r="K13" s="3">
        <v>59101900</v>
      </c>
      <c r="L13" s="3">
        <v>96001500</v>
      </c>
      <c r="M13" s="3">
        <v>82601400</v>
      </c>
      <c r="N13" s="3">
        <v>86114300</v>
      </c>
      <c r="O13" s="3">
        <v>56676000</v>
      </c>
      <c r="P13" s="3">
        <v>51244100</v>
      </c>
      <c r="Q13" s="3">
        <v>29173000</v>
      </c>
      <c r="R13" s="3">
        <v>119865800</v>
      </c>
      <c r="S13" s="3">
        <v>45195700</v>
      </c>
      <c r="T13" s="3">
        <v>33320700</v>
      </c>
      <c r="U13" s="3">
        <v>9792300</v>
      </c>
      <c r="V13" s="3" t="s">
        <v>133</v>
      </c>
      <c r="W13" s="3" t="s">
        <v>133</v>
      </c>
    </row>
    <row r="14" spans="1:23" x14ac:dyDescent="0.25">
      <c r="A14" s="3" t="s">
        <v>229</v>
      </c>
      <c r="B14" s="3">
        <v>25284920800</v>
      </c>
      <c r="C14" s="3">
        <v>23506950800</v>
      </c>
      <c r="D14" s="3">
        <v>22057481400</v>
      </c>
      <c r="E14" s="3">
        <v>20622251800</v>
      </c>
      <c r="F14" s="3">
        <v>18013297000</v>
      </c>
      <c r="G14" s="3">
        <v>14982364400</v>
      </c>
      <c r="H14" s="3">
        <v>11836810200</v>
      </c>
      <c r="I14" s="3">
        <v>9665727600</v>
      </c>
      <c r="J14" s="3">
        <v>7187117600</v>
      </c>
      <c r="K14" s="3">
        <v>5574126100</v>
      </c>
      <c r="L14" s="3">
        <v>4192246400</v>
      </c>
      <c r="M14" s="3">
        <v>3114567800</v>
      </c>
      <c r="N14" s="3">
        <v>2304818900</v>
      </c>
      <c r="O14" s="3">
        <v>1980903100</v>
      </c>
      <c r="P14" s="3">
        <v>1860549600</v>
      </c>
      <c r="Q14" s="3">
        <v>1693741200</v>
      </c>
      <c r="R14" s="3">
        <v>1215006600</v>
      </c>
      <c r="S14" s="3">
        <v>1076612600</v>
      </c>
      <c r="T14" s="3">
        <v>786368800</v>
      </c>
      <c r="U14" s="3">
        <v>512332800</v>
      </c>
      <c r="V14" s="3">
        <v>423401100</v>
      </c>
      <c r="W14" s="3">
        <v>316665900</v>
      </c>
    </row>
    <row r="15" spans="1:23" x14ac:dyDescent="0.25">
      <c r="A15" s="3" t="s">
        <v>230</v>
      </c>
      <c r="B15" s="3" t="s">
        <v>133</v>
      </c>
      <c r="C15" s="3" t="s">
        <v>133</v>
      </c>
      <c r="D15" s="3" t="s">
        <v>133</v>
      </c>
      <c r="E15" s="3" t="s">
        <v>133</v>
      </c>
      <c r="F15" s="3" t="s">
        <v>133</v>
      </c>
      <c r="G15" s="3" t="s">
        <v>133</v>
      </c>
      <c r="H15" s="3" t="s">
        <v>133</v>
      </c>
      <c r="I15" s="3" t="s">
        <v>133</v>
      </c>
      <c r="J15" s="3" t="s">
        <v>133</v>
      </c>
      <c r="K15" s="3" t="s">
        <v>133</v>
      </c>
      <c r="L15" s="3">
        <v>17000000</v>
      </c>
      <c r="M15" s="3" t="s">
        <v>133</v>
      </c>
      <c r="N15" s="3" t="s">
        <v>133</v>
      </c>
      <c r="O15" s="3" t="s">
        <v>133</v>
      </c>
      <c r="P15" s="3" t="s">
        <v>133</v>
      </c>
      <c r="Q15" s="3" t="s">
        <v>133</v>
      </c>
      <c r="R15" s="3" t="s">
        <v>133</v>
      </c>
      <c r="S15" s="3" t="s">
        <v>133</v>
      </c>
      <c r="T15" s="3" t="s">
        <v>133</v>
      </c>
      <c r="U15" s="3" t="s">
        <v>133</v>
      </c>
      <c r="V15" s="3" t="s">
        <v>133</v>
      </c>
      <c r="W15" s="3" t="s">
        <v>133</v>
      </c>
    </row>
    <row r="16" spans="1:23" x14ac:dyDescent="0.25">
      <c r="A16" s="3" t="s">
        <v>231</v>
      </c>
      <c r="B16" s="3">
        <v>20904900</v>
      </c>
      <c r="C16" s="3">
        <v>140084300</v>
      </c>
      <c r="D16" s="3">
        <v>37539200</v>
      </c>
      <c r="E16" s="3">
        <v>231474600</v>
      </c>
      <c r="F16" s="3" t="s">
        <v>133</v>
      </c>
      <c r="G16" s="3" t="s">
        <v>133</v>
      </c>
      <c r="H16" s="3" t="s">
        <v>133</v>
      </c>
      <c r="I16" s="3" t="s">
        <v>133</v>
      </c>
      <c r="J16" s="3" t="s">
        <v>133</v>
      </c>
      <c r="K16" s="3" t="s">
        <v>133</v>
      </c>
      <c r="L16" s="3" t="s">
        <v>133</v>
      </c>
      <c r="M16" s="3" t="s">
        <v>133</v>
      </c>
      <c r="N16" s="3" t="s">
        <v>133</v>
      </c>
      <c r="O16" s="3" t="s">
        <v>133</v>
      </c>
      <c r="P16" s="3" t="s">
        <v>133</v>
      </c>
      <c r="Q16" s="3" t="s">
        <v>133</v>
      </c>
      <c r="R16" s="3" t="s">
        <v>133</v>
      </c>
      <c r="S16" s="3" t="s">
        <v>133</v>
      </c>
      <c r="T16" s="3" t="s">
        <v>133</v>
      </c>
      <c r="U16" s="3" t="s">
        <v>133</v>
      </c>
      <c r="V16" s="3" t="s">
        <v>133</v>
      </c>
      <c r="W16" s="3" t="s">
        <v>133</v>
      </c>
    </row>
    <row r="17" spans="1:23" x14ac:dyDescent="0.25">
      <c r="A17" s="3" t="s">
        <v>232</v>
      </c>
      <c r="B17" s="3" t="s">
        <v>133</v>
      </c>
      <c r="C17" s="3" t="s">
        <v>133</v>
      </c>
      <c r="D17" s="3" t="s">
        <v>133</v>
      </c>
      <c r="E17" s="3" t="s">
        <v>133</v>
      </c>
      <c r="F17" s="3" t="s">
        <v>133</v>
      </c>
      <c r="G17" s="3" t="s">
        <v>133</v>
      </c>
      <c r="H17" s="3" t="s">
        <v>133</v>
      </c>
      <c r="I17" s="3" t="s">
        <v>133</v>
      </c>
      <c r="J17" s="3" t="s">
        <v>133</v>
      </c>
      <c r="K17" s="3" t="s">
        <v>133</v>
      </c>
      <c r="L17" s="3" t="s">
        <v>133</v>
      </c>
      <c r="M17" s="3" t="s">
        <v>133</v>
      </c>
      <c r="N17" s="3" t="s">
        <v>133</v>
      </c>
      <c r="O17" s="3" t="s">
        <v>133</v>
      </c>
      <c r="P17" s="3" t="s">
        <v>133</v>
      </c>
      <c r="Q17" s="3" t="s">
        <v>133</v>
      </c>
      <c r="R17" s="3" t="s">
        <v>133</v>
      </c>
      <c r="S17" s="3" t="s">
        <v>133</v>
      </c>
      <c r="T17" s="3" t="s">
        <v>133</v>
      </c>
      <c r="U17" s="3" t="s">
        <v>133</v>
      </c>
      <c r="V17" s="3" t="s">
        <v>133</v>
      </c>
      <c r="W17" s="3" t="s">
        <v>133</v>
      </c>
    </row>
    <row r="18" spans="1:23" x14ac:dyDescent="0.25">
      <c r="A18" s="3" t="s">
        <v>24</v>
      </c>
      <c r="B18" s="3">
        <v>159024472000</v>
      </c>
      <c r="C18" s="3">
        <v>137861835300</v>
      </c>
      <c r="D18" s="3">
        <v>112249186000</v>
      </c>
      <c r="E18" s="3">
        <v>90180548800</v>
      </c>
      <c r="F18" s="3">
        <v>65004514000</v>
      </c>
      <c r="G18" s="3">
        <v>47570929100</v>
      </c>
      <c r="H18" s="3">
        <v>41931583400</v>
      </c>
      <c r="I18" s="3">
        <v>36225076600</v>
      </c>
      <c r="J18" s="3">
        <v>27829632200</v>
      </c>
      <c r="K18" s="3">
        <v>20300284800</v>
      </c>
      <c r="L18" s="3">
        <v>15655585400</v>
      </c>
      <c r="M18" s="3">
        <v>12240750900</v>
      </c>
      <c r="N18" s="3">
        <v>7904439600</v>
      </c>
      <c r="O18" s="3">
        <v>6768945700</v>
      </c>
      <c r="P18" s="3">
        <v>6019520300</v>
      </c>
      <c r="Q18" s="3">
        <v>4772638500</v>
      </c>
      <c r="R18" s="3">
        <v>3756029000</v>
      </c>
      <c r="S18" s="3">
        <v>2991256400</v>
      </c>
      <c r="T18" s="3">
        <v>2869925300</v>
      </c>
      <c r="U18" s="3">
        <v>1069969900</v>
      </c>
      <c r="V18" s="3">
        <v>720079300</v>
      </c>
      <c r="W18" s="3">
        <v>520907600</v>
      </c>
    </row>
    <row r="19" spans="1:23" x14ac:dyDescent="0.25">
      <c r="A19" s="3" t="s">
        <v>233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 x14ac:dyDescent="0.25">
      <c r="A20" s="3" t="s">
        <v>234</v>
      </c>
      <c r="B20" s="3" t="s">
        <v>133</v>
      </c>
      <c r="C20" s="3">
        <v>29000000</v>
      </c>
      <c r="D20" s="3">
        <v>29000000</v>
      </c>
      <c r="E20" s="3">
        <v>29000000</v>
      </c>
      <c r="F20" s="3">
        <v>29000000</v>
      </c>
      <c r="G20" s="3">
        <v>4000000</v>
      </c>
      <c r="H20" s="3">
        <v>4000000</v>
      </c>
      <c r="I20" s="3" t="s">
        <v>133</v>
      </c>
      <c r="J20" s="3" t="s">
        <v>133</v>
      </c>
      <c r="K20" s="3" t="s">
        <v>133</v>
      </c>
      <c r="L20" s="3" t="s">
        <v>133</v>
      </c>
      <c r="M20" s="3" t="s">
        <v>133</v>
      </c>
      <c r="N20" s="3" t="s">
        <v>133</v>
      </c>
      <c r="O20" s="3" t="s">
        <v>133</v>
      </c>
      <c r="P20" s="3" t="s">
        <v>133</v>
      </c>
      <c r="Q20" s="3" t="s">
        <v>133</v>
      </c>
      <c r="R20" s="3" t="s">
        <v>133</v>
      </c>
      <c r="S20" s="3" t="s">
        <v>133</v>
      </c>
      <c r="T20" s="3" t="s">
        <v>133</v>
      </c>
      <c r="U20" s="3" t="s">
        <v>133</v>
      </c>
      <c r="V20" s="3" t="s">
        <v>133</v>
      </c>
      <c r="W20" s="3" t="s">
        <v>133</v>
      </c>
    </row>
    <row r="21" spans="1:23" x14ac:dyDescent="0.25">
      <c r="A21" s="3" t="s">
        <v>235</v>
      </c>
      <c r="B21" s="3" t="s">
        <v>133</v>
      </c>
      <c r="C21" s="3" t="s">
        <v>133</v>
      </c>
      <c r="D21" s="3" t="s">
        <v>133</v>
      </c>
      <c r="E21" s="3" t="s">
        <v>133</v>
      </c>
      <c r="F21" s="3" t="s">
        <v>133</v>
      </c>
      <c r="G21" s="3">
        <v>60000000</v>
      </c>
      <c r="H21" s="3">
        <v>50000000</v>
      </c>
      <c r="I21" s="3">
        <v>50000000</v>
      </c>
      <c r="J21" s="3">
        <v>60000000</v>
      </c>
      <c r="K21" s="3">
        <v>60000000</v>
      </c>
      <c r="L21" s="3">
        <v>10000000</v>
      </c>
      <c r="M21" s="3">
        <v>42000000</v>
      </c>
      <c r="N21" s="3">
        <v>58000000</v>
      </c>
      <c r="O21" s="3">
        <v>42769500</v>
      </c>
      <c r="P21" s="3" t="s">
        <v>133</v>
      </c>
      <c r="Q21" s="3" t="s">
        <v>133</v>
      </c>
      <c r="R21" s="3" t="s">
        <v>133</v>
      </c>
      <c r="S21" s="3" t="s">
        <v>133</v>
      </c>
      <c r="T21" s="3" t="s">
        <v>133</v>
      </c>
      <c r="U21" s="3" t="s">
        <v>133</v>
      </c>
      <c r="V21" s="3" t="s">
        <v>133</v>
      </c>
      <c r="W21" s="3" t="s">
        <v>133</v>
      </c>
    </row>
    <row r="22" spans="1:23" x14ac:dyDescent="0.25">
      <c r="A22" s="3" t="s">
        <v>236</v>
      </c>
      <c r="B22" s="3" t="s">
        <v>133</v>
      </c>
      <c r="C22" s="3" t="s">
        <v>133</v>
      </c>
      <c r="D22" s="3" t="s">
        <v>133</v>
      </c>
      <c r="E22" s="3" t="s">
        <v>133</v>
      </c>
      <c r="F22" s="3" t="s">
        <v>133</v>
      </c>
      <c r="G22" s="3" t="s">
        <v>133</v>
      </c>
      <c r="H22" s="3" t="s">
        <v>133</v>
      </c>
      <c r="I22" s="3">
        <v>4000000</v>
      </c>
      <c r="J22" s="3">
        <v>4000000</v>
      </c>
      <c r="K22" s="3">
        <v>4000000</v>
      </c>
      <c r="L22" s="3">
        <v>4000000</v>
      </c>
      <c r="M22" s="3">
        <v>4000000</v>
      </c>
      <c r="N22" s="3">
        <v>4000000</v>
      </c>
      <c r="O22" s="3">
        <v>4000000</v>
      </c>
      <c r="P22" s="3">
        <v>10243000</v>
      </c>
      <c r="Q22" s="3">
        <v>9815100</v>
      </c>
      <c r="R22" s="3">
        <v>4000000</v>
      </c>
      <c r="S22" s="3">
        <v>4000000</v>
      </c>
      <c r="T22" s="3" t="s">
        <v>133</v>
      </c>
      <c r="U22" s="3" t="s">
        <v>133</v>
      </c>
      <c r="V22" s="3" t="s">
        <v>133</v>
      </c>
      <c r="W22" s="3" t="s">
        <v>133</v>
      </c>
    </row>
    <row r="23" spans="1:23" x14ac:dyDescent="0.25">
      <c r="A23" s="3" t="s">
        <v>237</v>
      </c>
      <c r="B23" s="3">
        <v>319770400</v>
      </c>
      <c r="C23" s="3" t="s">
        <v>133</v>
      </c>
      <c r="D23" s="3" t="s">
        <v>133</v>
      </c>
      <c r="E23" s="3" t="s">
        <v>133</v>
      </c>
      <c r="F23" s="3" t="s">
        <v>133</v>
      </c>
      <c r="G23" s="3" t="s">
        <v>133</v>
      </c>
      <c r="H23" s="3" t="s">
        <v>133</v>
      </c>
      <c r="I23" s="3" t="s">
        <v>133</v>
      </c>
      <c r="J23" s="3" t="s">
        <v>133</v>
      </c>
      <c r="K23" s="3" t="s">
        <v>133</v>
      </c>
      <c r="L23" s="3" t="s">
        <v>133</v>
      </c>
      <c r="M23" s="3" t="s">
        <v>133</v>
      </c>
      <c r="N23" s="3" t="s">
        <v>133</v>
      </c>
      <c r="O23" s="3" t="s">
        <v>133</v>
      </c>
      <c r="P23" s="3" t="s">
        <v>133</v>
      </c>
      <c r="Q23" s="3" t="s">
        <v>133</v>
      </c>
      <c r="R23" s="3" t="s">
        <v>133</v>
      </c>
      <c r="S23" s="3" t="s">
        <v>133</v>
      </c>
      <c r="T23" s="3" t="s">
        <v>133</v>
      </c>
      <c r="U23" s="3" t="s">
        <v>133</v>
      </c>
      <c r="V23" s="3" t="s">
        <v>133</v>
      </c>
      <c r="W23" s="3" t="s">
        <v>133</v>
      </c>
    </row>
    <row r="24" spans="1:23" x14ac:dyDescent="0.25">
      <c r="A24" s="3" t="s">
        <v>25</v>
      </c>
      <c r="B24" s="3">
        <v>15144182700</v>
      </c>
      <c r="C24" s="3">
        <v>15248556600</v>
      </c>
      <c r="D24" s="3">
        <v>15244096600</v>
      </c>
      <c r="E24" s="3">
        <v>14453177400</v>
      </c>
      <c r="F24" s="3">
        <v>11416635800</v>
      </c>
      <c r="G24" s="3">
        <v>10375757800</v>
      </c>
      <c r="H24" s="3">
        <v>8523257000</v>
      </c>
      <c r="I24" s="3">
        <v>6807333200</v>
      </c>
      <c r="J24" s="3">
        <v>5426012300</v>
      </c>
      <c r="K24" s="3">
        <v>4191851100</v>
      </c>
      <c r="L24" s="3">
        <v>3168725200</v>
      </c>
      <c r="M24" s="3">
        <v>2190171900</v>
      </c>
      <c r="N24" s="3">
        <v>1826983400</v>
      </c>
      <c r="O24" s="3">
        <v>1222898600</v>
      </c>
      <c r="P24" s="3">
        <v>981382000</v>
      </c>
      <c r="Q24" s="3">
        <v>715522700</v>
      </c>
      <c r="R24" s="3">
        <v>440820600</v>
      </c>
      <c r="S24" s="3">
        <v>470098700</v>
      </c>
      <c r="T24" s="3">
        <v>414239900</v>
      </c>
      <c r="U24" s="3">
        <v>180770400</v>
      </c>
      <c r="V24" s="3" t="s">
        <v>133</v>
      </c>
      <c r="W24" s="3">
        <v>213023400</v>
      </c>
    </row>
    <row r="25" spans="1:23" x14ac:dyDescent="0.25">
      <c r="A25" s="3" t="s">
        <v>238</v>
      </c>
      <c r="B25" s="3" t="s">
        <v>133</v>
      </c>
      <c r="C25" s="3">
        <v>15248556585.02</v>
      </c>
      <c r="D25" s="3">
        <v>15244096632.02</v>
      </c>
      <c r="E25" s="3">
        <v>14453177439.34</v>
      </c>
      <c r="F25" s="3">
        <v>11415953189.719999</v>
      </c>
      <c r="G25" s="3">
        <v>10375757771.59</v>
      </c>
      <c r="H25" s="3">
        <v>8523256960.1099997</v>
      </c>
      <c r="I25" s="3">
        <v>6807333231.0900002</v>
      </c>
      <c r="J25" s="3">
        <v>5426012349.6099997</v>
      </c>
      <c r="K25" s="3">
        <v>4191851111.9699998</v>
      </c>
      <c r="L25" s="3">
        <v>3168725156.29</v>
      </c>
      <c r="M25" s="3">
        <v>2190171911.8899999</v>
      </c>
      <c r="N25" s="3">
        <v>1826983364.3599999</v>
      </c>
      <c r="O25" s="3">
        <v>1222898569.3800001</v>
      </c>
      <c r="P25" s="3">
        <v>981382035.5</v>
      </c>
      <c r="Q25" s="3">
        <v>715522677.41999996</v>
      </c>
      <c r="R25" s="3">
        <v>440813831.82999998</v>
      </c>
      <c r="S25" s="3">
        <v>470098687.69</v>
      </c>
      <c r="T25" s="3">
        <v>414239895.73000002</v>
      </c>
      <c r="U25" s="3">
        <v>180320389.09</v>
      </c>
      <c r="V25" s="3" t="s">
        <v>133</v>
      </c>
      <c r="W25" s="3">
        <v>213023445.34999999</v>
      </c>
    </row>
    <row r="26" spans="1:23" x14ac:dyDescent="0.25">
      <c r="A26" s="3" t="s">
        <v>239</v>
      </c>
      <c r="B26" s="3" t="s">
        <v>133</v>
      </c>
      <c r="C26" s="3" t="s">
        <v>133</v>
      </c>
      <c r="D26" s="3" t="s">
        <v>133</v>
      </c>
      <c r="E26" s="3" t="s">
        <v>133</v>
      </c>
      <c r="F26" s="3">
        <v>682600</v>
      </c>
      <c r="G26" s="3" t="s">
        <v>133</v>
      </c>
      <c r="H26" s="3" t="s">
        <v>133</v>
      </c>
      <c r="I26" s="3" t="s">
        <v>133</v>
      </c>
      <c r="J26" s="3" t="s">
        <v>133</v>
      </c>
      <c r="K26" s="3" t="s">
        <v>133</v>
      </c>
      <c r="L26" s="3" t="s">
        <v>133</v>
      </c>
      <c r="M26" s="3" t="s">
        <v>133</v>
      </c>
      <c r="N26" s="3" t="s">
        <v>133</v>
      </c>
      <c r="O26" s="3" t="s">
        <v>133</v>
      </c>
      <c r="P26" s="3" t="s">
        <v>133</v>
      </c>
      <c r="Q26" s="3" t="s">
        <v>133</v>
      </c>
      <c r="R26" s="3">
        <v>6700</v>
      </c>
      <c r="S26" s="3" t="s">
        <v>133</v>
      </c>
      <c r="T26" s="3" t="s">
        <v>133</v>
      </c>
      <c r="U26" s="3">
        <v>450000</v>
      </c>
      <c r="V26" s="3" t="s">
        <v>133</v>
      </c>
      <c r="W26" s="3" t="s">
        <v>133</v>
      </c>
    </row>
    <row r="27" spans="1:23" x14ac:dyDescent="0.25">
      <c r="A27" s="3" t="s">
        <v>240</v>
      </c>
      <c r="B27" s="3">
        <v>2518938300</v>
      </c>
      <c r="C27" s="3">
        <v>1954323000</v>
      </c>
      <c r="D27" s="3">
        <v>2016405000</v>
      </c>
      <c r="E27" s="3">
        <v>2745580000</v>
      </c>
      <c r="F27" s="3">
        <v>4895411600</v>
      </c>
      <c r="G27" s="3">
        <v>3422035300</v>
      </c>
      <c r="H27" s="3">
        <v>458053400</v>
      </c>
      <c r="I27" s="3">
        <v>395349300</v>
      </c>
      <c r="J27" s="3">
        <v>256364600</v>
      </c>
      <c r="K27" s="3">
        <v>281987200</v>
      </c>
      <c r="L27" s="3">
        <v>218871400</v>
      </c>
      <c r="M27" s="3">
        <v>645229900</v>
      </c>
      <c r="N27" s="3">
        <v>373447900</v>
      </c>
      <c r="O27" s="3">
        <v>1036478600</v>
      </c>
      <c r="P27" s="3">
        <v>928999000</v>
      </c>
      <c r="Q27" s="3">
        <v>787038200</v>
      </c>
      <c r="R27" s="3">
        <v>721652500</v>
      </c>
      <c r="S27" s="3">
        <v>442903500</v>
      </c>
      <c r="T27" s="3">
        <v>162048800</v>
      </c>
      <c r="U27" s="3">
        <v>5776100</v>
      </c>
      <c r="V27" s="3" t="s">
        <v>133</v>
      </c>
      <c r="W27" s="3" t="s">
        <v>133</v>
      </c>
    </row>
    <row r="28" spans="1:23" x14ac:dyDescent="0.25">
      <c r="A28" s="3" t="s">
        <v>241</v>
      </c>
      <c r="B28" s="3" t="s">
        <v>133</v>
      </c>
      <c r="C28" s="3">
        <v>1954323000</v>
      </c>
      <c r="D28" s="3">
        <v>2016405000</v>
      </c>
      <c r="E28" s="3">
        <v>2745580000</v>
      </c>
      <c r="F28" s="3">
        <v>4895150700</v>
      </c>
      <c r="G28" s="3">
        <v>3421774400</v>
      </c>
      <c r="H28" s="3">
        <v>456328300</v>
      </c>
      <c r="I28" s="3">
        <v>392672300</v>
      </c>
      <c r="J28" s="3">
        <v>251446300</v>
      </c>
      <c r="K28" s="3">
        <v>263458400</v>
      </c>
      <c r="L28" s="3">
        <v>193956300</v>
      </c>
      <c r="M28" s="3">
        <v>582861000</v>
      </c>
      <c r="N28" s="3">
        <v>361516500</v>
      </c>
      <c r="O28" s="3">
        <v>989033900</v>
      </c>
      <c r="P28" s="3">
        <v>909890400</v>
      </c>
      <c r="Q28" s="3">
        <v>776047000</v>
      </c>
      <c r="R28" s="3">
        <v>721652500</v>
      </c>
      <c r="S28" s="3">
        <v>442903500</v>
      </c>
      <c r="T28" s="3">
        <v>162048800</v>
      </c>
      <c r="U28" s="3">
        <v>5776100</v>
      </c>
      <c r="V28" s="3" t="s">
        <v>133</v>
      </c>
      <c r="W28" s="3" t="s">
        <v>133</v>
      </c>
    </row>
    <row r="29" spans="1:23" x14ac:dyDescent="0.25">
      <c r="A29" s="3" t="s">
        <v>242</v>
      </c>
      <c r="B29" s="3" t="s">
        <v>133</v>
      </c>
      <c r="C29" s="3" t="s">
        <v>133</v>
      </c>
      <c r="D29" s="3" t="s">
        <v>133</v>
      </c>
      <c r="E29" s="3" t="s">
        <v>133</v>
      </c>
      <c r="F29" s="3">
        <v>260900</v>
      </c>
      <c r="G29" s="3">
        <v>260900</v>
      </c>
      <c r="H29" s="3">
        <v>1725100</v>
      </c>
      <c r="I29" s="3">
        <v>2676900</v>
      </c>
      <c r="J29" s="3">
        <v>4918300</v>
      </c>
      <c r="K29" s="3">
        <v>18528800</v>
      </c>
      <c r="L29" s="3">
        <v>24915000</v>
      </c>
      <c r="M29" s="3">
        <v>62369000</v>
      </c>
      <c r="N29" s="3">
        <v>11931400</v>
      </c>
      <c r="O29" s="3">
        <v>47444700</v>
      </c>
      <c r="P29" s="3">
        <v>19108500</v>
      </c>
      <c r="Q29" s="3">
        <v>10991200</v>
      </c>
      <c r="R29" s="3" t="s">
        <v>133</v>
      </c>
      <c r="S29" s="3" t="s">
        <v>133</v>
      </c>
      <c r="T29" s="3" t="s">
        <v>133</v>
      </c>
      <c r="U29" s="3" t="s">
        <v>133</v>
      </c>
      <c r="V29" s="3" t="s">
        <v>133</v>
      </c>
      <c r="W29" s="3" t="s">
        <v>133</v>
      </c>
    </row>
    <row r="30" spans="1:23" x14ac:dyDescent="0.25">
      <c r="A30" s="3" t="s">
        <v>243</v>
      </c>
      <c r="B30" s="3">
        <v>4728027345.6999998</v>
      </c>
      <c r="C30" s="3">
        <v>3499175374.52</v>
      </c>
      <c r="D30" s="3">
        <v>3458622239.3800001</v>
      </c>
      <c r="E30" s="3">
        <v>3531740625.5999999</v>
      </c>
      <c r="F30" s="3">
        <v>3582462431.04</v>
      </c>
      <c r="G30" s="3">
        <v>3582623682.2399998</v>
      </c>
      <c r="H30" s="3">
        <v>3563308110.5100002</v>
      </c>
      <c r="I30" s="3">
        <v>862615899.20000005</v>
      </c>
      <c r="J30" s="3">
        <v>808425512.33000004</v>
      </c>
      <c r="K30" s="3">
        <v>452317235.72000003</v>
      </c>
      <c r="L30" s="3">
        <v>465550825.17000002</v>
      </c>
      <c r="M30" s="3">
        <v>445207595.72000003</v>
      </c>
      <c r="N30" s="3">
        <v>249274093.40000001</v>
      </c>
      <c r="O30" s="3">
        <v>256943698.66</v>
      </c>
      <c r="P30" s="3">
        <v>57074911.579999998</v>
      </c>
      <c r="Q30" s="3">
        <v>37699499.840000004</v>
      </c>
      <c r="R30" s="3">
        <v>256204.88</v>
      </c>
      <c r="S30" s="3">
        <v>424999.92</v>
      </c>
      <c r="T30" s="3">
        <v>594999.96</v>
      </c>
      <c r="U30" s="3">
        <v>765000</v>
      </c>
      <c r="V30" s="3">
        <v>935000</v>
      </c>
      <c r="W30" s="3" t="s">
        <v>133</v>
      </c>
    </row>
    <row r="31" spans="1:23" x14ac:dyDescent="0.25">
      <c r="A31" s="3" t="s">
        <v>244</v>
      </c>
      <c r="B31" s="3">
        <v>158284300</v>
      </c>
      <c r="C31" s="3">
        <v>168414700</v>
      </c>
      <c r="D31" s="3">
        <v>177859700</v>
      </c>
      <c r="E31" s="3">
        <v>188118800</v>
      </c>
      <c r="F31" s="3">
        <v>198603500</v>
      </c>
      <c r="G31" s="3">
        <v>5408300</v>
      </c>
      <c r="H31" s="3">
        <v>8048700</v>
      </c>
      <c r="I31" s="3">
        <v>10177000</v>
      </c>
      <c r="J31" s="3">
        <v>13805400</v>
      </c>
      <c r="K31" s="3">
        <v>18701600</v>
      </c>
      <c r="L31" s="3">
        <v>21469600</v>
      </c>
      <c r="M31" s="3">
        <v>10146500</v>
      </c>
      <c r="N31" s="3">
        <v>12477300</v>
      </c>
      <c r="O31" s="3">
        <v>68664000</v>
      </c>
      <c r="P31" s="3">
        <v>60377200</v>
      </c>
      <c r="Q31" s="3">
        <v>50939000</v>
      </c>
      <c r="R31" s="3">
        <v>33607500</v>
      </c>
      <c r="S31" s="3">
        <v>22221500</v>
      </c>
      <c r="T31" s="3">
        <v>16579800</v>
      </c>
      <c r="U31" s="3">
        <v>11574800</v>
      </c>
      <c r="V31" s="3">
        <v>8442500</v>
      </c>
      <c r="W31" s="3">
        <v>7917900</v>
      </c>
    </row>
    <row r="32" spans="1:23" x14ac:dyDescent="0.25">
      <c r="A32" s="3" t="s">
        <v>245</v>
      </c>
      <c r="B32" s="3">
        <v>1099946900</v>
      </c>
      <c r="C32" s="3">
        <v>1049294800</v>
      </c>
      <c r="D32" s="3">
        <v>1401797400</v>
      </c>
      <c r="E32" s="3">
        <v>1745539100</v>
      </c>
      <c r="F32" s="3">
        <v>1155336100</v>
      </c>
      <c r="G32" s="3">
        <v>821601100</v>
      </c>
      <c r="H32" s="3">
        <v>825372500</v>
      </c>
      <c r="I32" s="3">
        <v>643656900</v>
      </c>
      <c r="J32" s="3">
        <v>502629000</v>
      </c>
      <c r="K32" s="3">
        <v>278437900</v>
      </c>
      <c r="L32" s="3">
        <v>225420800</v>
      </c>
      <c r="M32" s="3">
        <v>176681000</v>
      </c>
      <c r="N32" s="3">
        <v>52849600</v>
      </c>
      <c r="O32" s="3">
        <v>170093500</v>
      </c>
      <c r="P32" s="3" t="s">
        <v>133</v>
      </c>
      <c r="Q32" s="3" t="s">
        <v>133</v>
      </c>
      <c r="R32" s="3" t="s">
        <v>133</v>
      </c>
      <c r="S32" s="3" t="s">
        <v>133</v>
      </c>
      <c r="T32" s="3" t="s">
        <v>133</v>
      </c>
      <c r="U32" s="3" t="s">
        <v>133</v>
      </c>
      <c r="V32" s="3" t="s">
        <v>133</v>
      </c>
      <c r="W32" s="3" t="s">
        <v>133</v>
      </c>
    </row>
    <row r="33" spans="1:23" x14ac:dyDescent="0.25">
      <c r="A33" s="3" t="s">
        <v>26</v>
      </c>
      <c r="B33" s="3">
        <v>24017900000</v>
      </c>
      <c r="C33" s="3">
        <v>21984839400</v>
      </c>
      <c r="D33" s="3">
        <v>22360930900</v>
      </c>
      <c r="E33" s="3">
        <v>22753989500</v>
      </c>
      <c r="F33" s="3">
        <v>21296949400</v>
      </c>
      <c r="G33" s="3">
        <v>18302236200</v>
      </c>
      <c r="H33" s="3">
        <v>13522567200</v>
      </c>
      <c r="I33" s="3">
        <v>8773132300</v>
      </c>
      <c r="J33" s="3">
        <v>7071236800</v>
      </c>
      <c r="K33" s="3">
        <v>5287295100</v>
      </c>
      <c r="L33" s="3">
        <v>4114037800</v>
      </c>
      <c r="M33" s="3">
        <v>3513437000</v>
      </c>
      <c r="N33" s="3">
        <v>2577032200</v>
      </c>
      <c r="O33" s="3">
        <v>2801847900</v>
      </c>
      <c r="P33" s="3">
        <v>2038076200</v>
      </c>
      <c r="Q33" s="3">
        <v>1601014500</v>
      </c>
      <c r="R33" s="3">
        <v>1200336800</v>
      </c>
      <c r="S33" s="3">
        <v>939648700</v>
      </c>
      <c r="T33" s="3">
        <v>593463400</v>
      </c>
      <c r="U33" s="3">
        <v>198886300</v>
      </c>
      <c r="V33" s="3">
        <v>194977700</v>
      </c>
      <c r="W33" s="3">
        <v>220941400</v>
      </c>
    </row>
    <row r="34" spans="1:23" x14ac:dyDescent="0.25">
      <c r="A34" s="3" t="s">
        <v>27</v>
      </c>
      <c r="B34" s="3">
        <v>183042372000</v>
      </c>
      <c r="C34" s="3">
        <v>159846674700</v>
      </c>
      <c r="D34" s="3">
        <v>134610116900</v>
      </c>
      <c r="E34" s="3">
        <v>112934538300</v>
      </c>
      <c r="F34" s="3">
        <v>86301463400</v>
      </c>
      <c r="G34" s="3">
        <v>65873165200</v>
      </c>
      <c r="H34" s="3">
        <v>55454150700</v>
      </c>
      <c r="I34" s="3">
        <v>44998209000</v>
      </c>
      <c r="J34" s="3">
        <v>34900869000</v>
      </c>
      <c r="K34" s="3">
        <v>25587579900</v>
      </c>
      <c r="L34" s="3">
        <v>19769623100</v>
      </c>
      <c r="M34" s="3">
        <v>15754187800</v>
      </c>
      <c r="N34" s="3">
        <v>10481471800</v>
      </c>
      <c r="O34" s="3">
        <v>9570793600</v>
      </c>
      <c r="P34" s="3">
        <v>8057596500</v>
      </c>
      <c r="Q34" s="3">
        <v>6373653000</v>
      </c>
      <c r="R34" s="3">
        <v>4956365800</v>
      </c>
      <c r="S34" s="3">
        <v>3930905100</v>
      </c>
      <c r="T34" s="3">
        <v>3463388700</v>
      </c>
      <c r="U34" s="3">
        <v>1268856200</v>
      </c>
      <c r="V34" s="3">
        <v>915057000</v>
      </c>
      <c r="W34" s="3">
        <v>741849000</v>
      </c>
    </row>
    <row r="35" spans="1:23" x14ac:dyDescent="0.25">
      <c r="A35" s="3" t="s">
        <v>246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25">
      <c r="A36" s="3" t="s">
        <v>247</v>
      </c>
      <c r="B36" s="3" t="s">
        <v>133</v>
      </c>
      <c r="C36" s="3" t="s">
        <v>133</v>
      </c>
      <c r="D36" s="3" t="s">
        <v>133</v>
      </c>
      <c r="E36" s="3" t="s">
        <v>133</v>
      </c>
      <c r="F36" s="3" t="s">
        <v>133</v>
      </c>
      <c r="G36" s="3">
        <v>62552500</v>
      </c>
      <c r="H36" s="3" t="s">
        <v>133</v>
      </c>
      <c r="I36" s="3" t="s">
        <v>133</v>
      </c>
      <c r="J36" s="3" t="s">
        <v>133</v>
      </c>
      <c r="K36" s="3" t="s">
        <v>133</v>
      </c>
      <c r="L36" s="3" t="s">
        <v>133</v>
      </c>
      <c r="M36" s="3" t="s">
        <v>133</v>
      </c>
      <c r="N36" s="3" t="s">
        <v>133</v>
      </c>
      <c r="O36" s="3" t="s">
        <v>133</v>
      </c>
      <c r="P36" s="3" t="s">
        <v>133</v>
      </c>
      <c r="Q36" s="3" t="s">
        <v>133</v>
      </c>
      <c r="R36" s="3" t="s">
        <v>133</v>
      </c>
      <c r="S36" s="3" t="s">
        <v>133</v>
      </c>
      <c r="T36" s="3" t="s">
        <v>133</v>
      </c>
      <c r="U36" s="3">
        <v>129000000</v>
      </c>
      <c r="V36" s="3">
        <v>117100000</v>
      </c>
      <c r="W36" s="3">
        <v>147000000</v>
      </c>
    </row>
    <row r="37" spans="1:23" x14ac:dyDescent="0.25">
      <c r="A37" s="3" t="s">
        <v>248</v>
      </c>
      <c r="B37" s="3">
        <v>1513676600</v>
      </c>
      <c r="C37" s="3">
        <v>1178296400</v>
      </c>
      <c r="D37" s="3">
        <v>992055900</v>
      </c>
      <c r="E37" s="3">
        <v>1040608200</v>
      </c>
      <c r="F37" s="3">
        <v>880976100</v>
      </c>
      <c r="G37" s="3">
        <v>707534600</v>
      </c>
      <c r="H37" s="3">
        <v>284748300</v>
      </c>
      <c r="I37" s="3">
        <v>345281000</v>
      </c>
      <c r="J37" s="3">
        <v>172343600</v>
      </c>
      <c r="K37" s="3">
        <v>232013100</v>
      </c>
      <c r="L37" s="3">
        <v>139121400</v>
      </c>
      <c r="M37" s="3">
        <v>121289100</v>
      </c>
      <c r="N37" s="3">
        <v>59682000</v>
      </c>
      <c r="O37" s="3">
        <v>41247700</v>
      </c>
      <c r="P37" s="3">
        <v>30329200</v>
      </c>
      <c r="Q37" s="3">
        <v>35782800</v>
      </c>
      <c r="R37" s="3">
        <v>40004700</v>
      </c>
      <c r="S37" s="3">
        <v>24208800</v>
      </c>
      <c r="T37" s="3">
        <v>10085000</v>
      </c>
      <c r="U37" s="3">
        <v>29849900</v>
      </c>
      <c r="V37" s="3">
        <v>30919900</v>
      </c>
      <c r="W37" s="3">
        <v>25627000</v>
      </c>
    </row>
    <row r="38" spans="1:23" x14ac:dyDescent="0.25">
      <c r="A38" s="3" t="s">
        <v>249</v>
      </c>
      <c r="B38" s="3">
        <v>1513676600</v>
      </c>
      <c r="C38" s="3">
        <v>1178296400</v>
      </c>
      <c r="D38" s="3">
        <v>992055900</v>
      </c>
      <c r="E38" s="3">
        <v>1040608200</v>
      </c>
      <c r="F38" s="3">
        <v>880976100</v>
      </c>
      <c r="G38" s="3">
        <v>707534600</v>
      </c>
      <c r="H38" s="3">
        <v>284748300</v>
      </c>
      <c r="I38" s="3">
        <v>345281000</v>
      </c>
      <c r="J38" s="3">
        <v>172343600</v>
      </c>
      <c r="K38" s="3">
        <v>232013100</v>
      </c>
      <c r="L38" s="3">
        <v>139121400</v>
      </c>
      <c r="M38" s="3">
        <v>121289100</v>
      </c>
      <c r="N38" s="3">
        <v>59682000</v>
      </c>
      <c r="O38" s="3">
        <v>41247700</v>
      </c>
      <c r="P38" s="3">
        <v>30329200</v>
      </c>
      <c r="Q38" s="3">
        <v>35782800</v>
      </c>
      <c r="R38" s="3">
        <v>40004700</v>
      </c>
      <c r="S38" s="3">
        <v>24208800</v>
      </c>
      <c r="T38" s="3">
        <v>10085000</v>
      </c>
      <c r="U38" s="3">
        <v>29849900</v>
      </c>
      <c r="V38" s="3">
        <v>30919900</v>
      </c>
      <c r="W38" s="3">
        <v>25627000</v>
      </c>
    </row>
    <row r="39" spans="1:23" x14ac:dyDescent="0.25">
      <c r="A39" s="3" t="s">
        <v>250</v>
      </c>
      <c r="B39" s="3">
        <v>13740329700</v>
      </c>
      <c r="C39" s="3">
        <v>13576516800</v>
      </c>
      <c r="D39" s="3">
        <v>14429106900</v>
      </c>
      <c r="E39" s="3">
        <v>17541082200</v>
      </c>
      <c r="F39" s="3">
        <v>8261582100</v>
      </c>
      <c r="G39" s="3">
        <v>1476233100</v>
      </c>
      <c r="H39" s="3">
        <v>3045113600</v>
      </c>
      <c r="I39" s="3">
        <v>5091386300</v>
      </c>
      <c r="J39" s="3">
        <v>7026648800</v>
      </c>
      <c r="K39" s="3">
        <v>4738570800</v>
      </c>
      <c r="L39" s="3">
        <v>3516423900</v>
      </c>
      <c r="M39" s="3">
        <v>2936266400</v>
      </c>
      <c r="N39" s="3">
        <v>1125288200</v>
      </c>
      <c r="O39" s="3">
        <v>2141468800</v>
      </c>
      <c r="P39" s="3">
        <v>1543198300</v>
      </c>
      <c r="Q39" s="3">
        <v>1036893700</v>
      </c>
      <c r="R39" s="3">
        <v>745368400</v>
      </c>
      <c r="S39" s="3">
        <v>452516800</v>
      </c>
      <c r="T39" s="3">
        <v>306147000</v>
      </c>
      <c r="U39" s="3">
        <v>385340200</v>
      </c>
      <c r="V39" s="3">
        <v>86012400</v>
      </c>
      <c r="W39" s="3">
        <v>93845100</v>
      </c>
    </row>
    <row r="40" spans="1:23" x14ac:dyDescent="0.25">
      <c r="A40" s="3" t="s">
        <v>251</v>
      </c>
      <c r="B40" s="3" t="s">
        <v>133</v>
      </c>
      <c r="C40" s="3" t="s">
        <v>133</v>
      </c>
      <c r="D40" s="3" t="s">
        <v>133</v>
      </c>
      <c r="E40" s="3" t="s">
        <v>133</v>
      </c>
      <c r="F40" s="3" t="s">
        <v>133</v>
      </c>
      <c r="G40" s="3" t="s">
        <v>133</v>
      </c>
      <c r="H40" s="3" t="s">
        <v>133</v>
      </c>
      <c r="I40" s="3" t="s">
        <v>133</v>
      </c>
      <c r="J40" s="3" t="s">
        <v>133</v>
      </c>
      <c r="K40" s="3" t="s">
        <v>133</v>
      </c>
      <c r="L40" s="3" t="s">
        <v>133</v>
      </c>
      <c r="M40" s="3" t="s">
        <v>133</v>
      </c>
      <c r="N40" s="3" t="s">
        <v>133</v>
      </c>
      <c r="O40" s="3" t="s">
        <v>133</v>
      </c>
      <c r="P40" s="3" t="s">
        <v>133</v>
      </c>
      <c r="Q40" s="3" t="s">
        <v>133</v>
      </c>
      <c r="R40" s="3" t="s">
        <v>133</v>
      </c>
      <c r="S40" s="3" t="s">
        <v>133</v>
      </c>
      <c r="T40" s="3" t="s">
        <v>133</v>
      </c>
      <c r="U40" s="3" t="s">
        <v>133</v>
      </c>
      <c r="V40" s="3" t="s">
        <v>133</v>
      </c>
      <c r="W40" s="3" t="s">
        <v>133</v>
      </c>
    </row>
    <row r="41" spans="1:23" x14ac:dyDescent="0.25">
      <c r="A41" s="3" t="s">
        <v>252</v>
      </c>
      <c r="B41" s="3">
        <v>2445071000</v>
      </c>
      <c r="C41" s="3">
        <v>2034514700</v>
      </c>
      <c r="D41" s="3">
        <v>1901644200</v>
      </c>
      <c r="E41" s="3">
        <v>1628507300</v>
      </c>
      <c r="F41" s="3">
        <v>975477700</v>
      </c>
      <c r="G41" s="3">
        <v>988643800</v>
      </c>
      <c r="H41" s="3">
        <v>260284500</v>
      </c>
      <c r="I41" s="3">
        <v>269657800</v>
      </c>
      <c r="J41" s="3">
        <v>577522900</v>
      </c>
      <c r="K41" s="3">
        <v>500258700</v>
      </c>
      <c r="L41" s="3">
        <v>463948600</v>
      </c>
      <c r="M41" s="3">
        <v>361007500</v>
      </c>
      <c r="N41" s="3">
        <v>54596400</v>
      </c>
      <c r="O41" s="3">
        <v>109191200</v>
      </c>
      <c r="P41" s="3">
        <v>94549200</v>
      </c>
      <c r="Q41" s="3">
        <v>62895100</v>
      </c>
      <c r="R41" s="3">
        <v>55513800</v>
      </c>
      <c r="S41" s="3">
        <v>61785500</v>
      </c>
      <c r="T41" s="3">
        <v>19823100</v>
      </c>
      <c r="U41" s="3">
        <v>6707000</v>
      </c>
      <c r="V41" s="3">
        <v>890300</v>
      </c>
      <c r="W41" s="3" t="s">
        <v>133</v>
      </c>
    </row>
    <row r="42" spans="1:23" x14ac:dyDescent="0.25">
      <c r="A42" s="3" t="s">
        <v>253</v>
      </c>
      <c r="B42" s="3">
        <v>8755949300</v>
      </c>
      <c r="C42" s="3">
        <v>10771076000</v>
      </c>
      <c r="D42" s="3">
        <v>7726135700</v>
      </c>
      <c r="E42" s="3">
        <v>4272289200</v>
      </c>
      <c r="F42" s="3">
        <v>2515516200</v>
      </c>
      <c r="G42" s="3">
        <v>2105178200</v>
      </c>
      <c r="H42" s="3">
        <v>3311880900</v>
      </c>
      <c r="I42" s="3">
        <v>2430093500</v>
      </c>
      <c r="J42" s="3">
        <v>788080900</v>
      </c>
      <c r="K42" s="3">
        <v>419883000</v>
      </c>
      <c r="L42" s="3">
        <v>140525000</v>
      </c>
      <c r="M42" s="3">
        <v>256300300</v>
      </c>
      <c r="N42" s="3">
        <v>407747400</v>
      </c>
      <c r="O42" s="3">
        <v>811005400</v>
      </c>
      <c r="P42" s="3">
        <v>919289000</v>
      </c>
      <c r="Q42" s="3">
        <v>600137500</v>
      </c>
      <c r="R42" s="3">
        <v>425108400</v>
      </c>
      <c r="S42" s="3">
        <v>331080100</v>
      </c>
      <c r="T42" s="3">
        <v>247668500</v>
      </c>
      <c r="U42" s="3">
        <v>162973500</v>
      </c>
      <c r="V42" s="3">
        <v>278351000</v>
      </c>
      <c r="W42" s="3">
        <v>162312200</v>
      </c>
    </row>
    <row r="43" spans="1:23" x14ac:dyDescent="0.25">
      <c r="A43" s="3" t="s">
        <v>254</v>
      </c>
      <c r="B43" s="3">
        <v>3589516600</v>
      </c>
      <c r="C43" s="3">
        <v>3404771100</v>
      </c>
      <c r="D43" s="3">
        <v>3063362900</v>
      </c>
      <c r="E43" s="3">
        <v>1759120200</v>
      </c>
      <c r="F43" s="3">
        <v>1450548700</v>
      </c>
      <c r="G43" s="3">
        <v>1247251400</v>
      </c>
      <c r="H43" s="3">
        <v>1632072000</v>
      </c>
      <c r="I43" s="3">
        <v>1389984100</v>
      </c>
      <c r="J43" s="3">
        <v>916123200</v>
      </c>
      <c r="K43" s="3">
        <v>1137464700</v>
      </c>
      <c r="L43" s="3">
        <v>848038900</v>
      </c>
      <c r="M43" s="3">
        <v>575906400</v>
      </c>
      <c r="N43" s="3">
        <v>465302200</v>
      </c>
      <c r="O43" s="3">
        <v>300028400</v>
      </c>
      <c r="P43" s="3">
        <v>306530600</v>
      </c>
      <c r="Q43" s="3">
        <v>413485800</v>
      </c>
      <c r="R43" s="3">
        <v>214321800</v>
      </c>
      <c r="S43" s="3">
        <v>183031400</v>
      </c>
      <c r="T43" s="3">
        <v>341800000</v>
      </c>
      <c r="U43" s="3">
        <v>111197900</v>
      </c>
      <c r="V43" s="3">
        <v>59024900</v>
      </c>
      <c r="W43" s="3">
        <v>18613200</v>
      </c>
    </row>
    <row r="44" spans="1:23" x14ac:dyDescent="0.25">
      <c r="A44" s="3" t="s">
        <v>255</v>
      </c>
      <c r="B44" s="3">
        <v>11100</v>
      </c>
      <c r="C44" s="3">
        <v>42770500</v>
      </c>
      <c r="D44" s="3">
        <v>23414600</v>
      </c>
      <c r="E44" s="3">
        <v>34481600</v>
      </c>
      <c r="F44" s="3">
        <v>27409400</v>
      </c>
      <c r="G44" s="3">
        <v>15365200</v>
      </c>
      <c r="H44" s="3">
        <v>27383900</v>
      </c>
      <c r="I44" s="3" t="s">
        <v>133</v>
      </c>
      <c r="J44" s="3" t="s">
        <v>133</v>
      </c>
      <c r="K44" s="3" t="s">
        <v>133</v>
      </c>
      <c r="L44" s="3" t="s">
        <v>133</v>
      </c>
      <c r="M44" s="3" t="s">
        <v>133</v>
      </c>
      <c r="N44" s="3" t="s">
        <v>133</v>
      </c>
      <c r="O44" s="3" t="s">
        <v>133</v>
      </c>
      <c r="P44" s="3" t="s">
        <v>133</v>
      </c>
      <c r="Q44" s="3" t="s">
        <v>133</v>
      </c>
      <c r="R44" s="3" t="s">
        <v>133</v>
      </c>
      <c r="S44" s="3" t="s">
        <v>133</v>
      </c>
      <c r="T44" s="3" t="s">
        <v>133</v>
      </c>
      <c r="U44" s="3" t="s">
        <v>133</v>
      </c>
      <c r="V44" s="3" t="s">
        <v>133</v>
      </c>
      <c r="W44" s="3" t="s">
        <v>133</v>
      </c>
    </row>
    <row r="45" spans="1:23" x14ac:dyDescent="0.25">
      <c r="A45" s="3" t="s">
        <v>256</v>
      </c>
      <c r="B45" s="3">
        <v>446880000</v>
      </c>
      <c r="C45" s="3" t="s">
        <v>133</v>
      </c>
      <c r="D45" s="3" t="s">
        <v>133</v>
      </c>
      <c r="E45" s="3" t="s">
        <v>133</v>
      </c>
      <c r="F45" s="3" t="s">
        <v>133</v>
      </c>
      <c r="G45" s="3" t="s">
        <v>133</v>
      </c>
      <c r="H45" s="3" t="s">
        <v>133</v>
      </c>
      <c r="I45" s="3" t="s">
        <v>133</v>
      </c>
      <c r="J45" s="3" t="s">
        <v>133</v>
      </c>
      <c r="K45" s="3">
        <v>318584200</v>
      </c>
      <c r="L45" s="3">
        <v>137207700</v>
      </c>
      <c r="M45" s="3" t="s">
        <v>133</v>
      </c>
      <c r="N45" s="3">
        <v>41807000</v>
      </c>
      <c r="O45" s="3" t="s">
        <v>133</v>
      </c>
      <c r="P45" s="3">
        <v>37181800</v>
      </c>
      <c r="Q45" s="3">
        <v>17440900</v>
      </c>
      <c r="R45" s="3">
        <v>1212800</v>
      </c>
      <c r="S45" s="3">
        <v>55577500</v>
      </c>
      <c r="T45" s="3">
        <v>165107800</v>
      </c>
      <c r="U45" s="3">
        <v>5617000</v>
      </c>
      <c r="V45" s="3" t="s">
        <v>133</v>
      </c>
      <c r="W45" s="3" t="s">
        <v>133</v>
      </c>
    </row>
    <row r="46" spans="1:23" x14ac:dyDescent="0.25">
      <c r="A46" s="3" t="s">
        <v>257</v>
      </c>
      <c r="B46" s="3" t="s">
        <v>133</v>
      </c>
      <c r="C46" s="3">
        <v>3362000600</v>
      </c>
      <c r="D46" s="3">
        <v>3039948300</v>
      </c>
      <c r="E46" s="3">
        <v>1724638600</v>
      </c>
      <c r="F46" s="3">
        <v>1423139200</v>
      </c>
      <c r="G46" s="3">
        <v>1231886200</v>
      </c>
      <c r="H46" s="3">
        <v>1604688200</v>
      </c>
      <c r="I46" s="3">
        <v>1389984100</v>
      </c>
      <c r="J46" s="3">
        <v>916123200</v>
      </c>
      <c r="K46" s="3">
        <v>818880600</v>
      </c>
      <c r="L46" s="3">
        <v>710831200</v>
      </c>
      <c r="M46" s="3">
        <v>575906400</v>
      </c>
      <c r="N46" s="3">
        <v>423495200</v>
      </c>
      <c r="O46" s="3">
        <v>300028400</v>
      </c>
      <c r="P46" s="3">
        <v>269348800</v>
      </c>
      <c r="Q46" s="3">
        <v>396044900</v>
      </c>
      <c r="R46" s="3">
        <v>213109000</v>
      </c>
      <c r="S46" s="3">
        <v>127453900</v>
      </c>
      <c r="T46" s="3">
        <v>176692100</v>
      </c>
      <c r="U46" s="3">
        <v>105580900</v>
      </c>
      <c r="V46" s="3">
        <v>59024900</v>
      </c>
      <c r="W46" s="3">
        <v>18613200</v>
      </c>
    </row>
    <row r="47" spans="1:23" x14ac:dyDescent="0.25">
      <c r="A47" s="3" t="s">
        <v>258</v>
      </c>
      <c r="B47" s="3" t="s">
        <v>133</v>
      </c>
      <c r="C47" s="3" t="s">
        <v>133</v>
      </c>
      <c r="D47" s="3" t="s">
        <v>133</v>
      </c>
      <c r="E47" s="3" t="s">
        <v>133</v>
      </c>
      <c r="F47" s="3" t="s">
        <v>133</v>
      </c>
      <c r="G47" s="3" t="s">
        <v>133</v>
      </c>
      <c r="H47" s="3" t="s">
        <v>133</v>
      </c>
      <c r="I47" s="3" t="s">
        <v>133</v>
      </c>
      <c r="J47" s="3" t="s">
        <v>133</v>
      </c>
      <c r="K47" s="3" t="s">
        <v>133</v>
      </c>
      <c r="L47" s="3" t="s">
        <v>133</v>
      </c>
      <c r="M47" s="3" t="s">
        <v>133</v>
      </c>
      <c r="N47" s="3" t="s">
        <v>133</v>
      </c>
      <c r="O47" s="3" t="s">
        <v>133</v>
      </c>
      <c r="P47" s="3" t="s">
        <v>133</v>
      </c>
      <c r="Q47" s="3" t="s">
        <v>133</v>
      </c>
      <c r="R47" s="3" t="s">
        <v>133</v>
      </c>
      <c r="S47" s="3" t="s">
        <v>133</v>
      </c>
      <c r="T47" s="3" t="s">
        <v>133</v>
      </c>
      <c r="U47" s="3" t="s">
        <v>133</v>
      </c>
      <c r="V47" s="3">
        <v>57360000</v>
      </c>
      <c r="W47" s="3" t="s">
        <v>133</v>
      </c>
    </row>
    <row r="48" spans="1:23" x14ac:dyDescent="0.25">
      <c r="A48" s="3" t="s">
        <v>259</v>
      </c>
      <c r="B48" s="3" t="s">
        <v>133</v>
      </c>
      <c r="C48" s="3" t="s">
        <v>133</v>
      </c>
      <c r="D48" s="3" t="s">
        <v>133</v>
      </c>
      <c r="E48" s="3" t="s">
        <v>133</v>
      </c>
      <c r="F48" s="3" t="s">
        <v>133</v>
      </c>
      <c r="G48" s="3" t="s">
        <v>133</v>
      </c>
      <c r="H48" s="3" t="s">
        <v>133</v>
      </c>
      <c r="I48" s="3" t="s">
        <v>133</v>
      </c>
      <c r="J48" s="3" t="s">
        <v>133</v>
      </c>
      <c r="K48" s="3" t="s">
        <v>133</v>
      </c>
      <c r="L48" s="3" t="s">
        <v>133</v>
      </c>
      <c r="M48" s="3" t="s">
        <v>133</v>
      </c>
      <c r="N48" s="3" t="s">
        <v>133</v>
      </c>
      <c r="O48" s="3" t="s">
        <v>133</v>
      </c>
      <c r="P48" s="3" t="s">
        <v>133</v>
      </c>
      <c r="Q48" s="3" t="s">
        <v>133</v>
      </c>
      <c r="R48" s="3" t="s">
        <v>133</v>
      </c>
      <c r="S48" s="3" t="s">
        <v>133</v>
      </c>
      <c r="T48" s="3" t="s">
        <v>133</v>
      </c>
      <c r="U48" s="3" t="s">
        <v>133</v>
      </c>
      <c r="V48" s="3" t="s">
        <v>133</v>
      </c>
      <c r="W48" s="3" t="s">
        <v>133</v>
      </c>
    </row>
    <row r="49" spans="1:23" x14ac:dyDescent="0.25">
      <c r="A49" s="3" t="s">
        <v>28</v>
      </c>
      <c r="B49" s="3">
        <v>41093299200</v>
      </c>
      <c r="C49" s="3">
        <v>42438186800</v>
      </c>
      <c r="D49" s="3">
        <v>38574919400</v>
      </c>
      <c r="E49" s="3">
        <v>37020425400</v>
      </c>
      <c r="F49" s="3">
        <v>20051723000</v>
      </c>
      <c r="G49" s="3">
        <v>10543844400</v>
      </c>
      <c r="H49" s="3">
        <v>11307288400</v>
      </c>
      <c r="I49" s="3">
        <v>9526402600</v>
      </c>
      <c r="J49" s="3">
        <v>9480719400</v>
      </c>
      <c r="K49" s="3">
        <v>7028190200</v>
      </c>
      <c r="L49" s="3">
        <v>5108057800</v>
      </c>
      <c r="M49" s="3">
        <v>4250769500</v>
      </c>
      <c r="N49" s="3">
        <v>2112616100</v>
      </c>
      <c r="O49" s="3">
        <v>3402941500</v>
      </c>
      <c r="P49" s="3">
        <v>2895201400</v>
      </c>
      <c r="Q49" s="3">
        <v>2156645200</v>
      </c>
      <c r="R49" s="3">
        <v>1485541700</v>
      </c>
      <c r="S49" s="3">
        <v>1056171100</v>
      </c>
      <c r="T49" s="3">
        <v>925757000</v>
      </c>
      <c r="U49" s="3">
        <v>825076600</v>
      </c>
      <c r="V49" s="3">
        <v>629695100</v>
      </c>
      <c r="W49" s="3">
        <v>447397500</v>
      </c>
    </row>
    <row r="50" spans="1:23" x14ac:dyDescent="0.25">
      <c r="A50" s="3" t="s">
        <v>260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25">
      <c r="A51" s="3" t="s">
        <v>261</v>
      </c>
      <c r="B51" s="3" t="s">
        <v>133</v>
      </c>
      <c r="C51" s="3" t="s">
        <v>133</v>
      </c>
      <c r="D51" s="3" t="s">
        <v>133</v>
      </c>
      <c r="E51" s="3" t="s">
        <v>133</v>
      </c>
      <c r="F51" s="3" t="s">
        <v>133</v>
      </c>
      <c r="G51" s="3" t="s">
        <v>133</v>
      </c>
      <c r="H51" s="3" t="s">
        <v>133</v>
      </c>
      <c r="I51" s="3" t="s">
        <v>133</v>
      </c>
      <c r="J51" s="3" t="s">
        <v>133</v>
      </c>
      <c r="K51" s="3" t="s">
        <v>133</v>
      </c>
      <c r="L51" s="3" t="s">
        <v>133</v>
      </c>
      <c r="M51" s="3" t="s">
        <v>133</v>
      </c>
      <c r="N51" s="3" t="s">
        <v>133</v>
      </c>
      <c r="O51" s="3" t="s">
        <v>133</v>
      </c>
      <c r="P51" s="3" t="s">
        <v>133</v>
      </c>
      <c r="Q51" s="3" t="s">
        <v>133</v>
      </c>
      <c r="R51" s="3" t="s">
        <v>133</v>
      </c>
      <c r="S51" s="3" t="s">
        <v>133</v>
      </c>
      <c r="T51" s="3" t="s">
        <v>133</v>
      </c>
      <c r="U51" s="3" t="s">
        <v>133</v>
      </c>
      <c r="V51" s="3" t="s">
        <v>133</v>
      </c>
      <c r="W51" s="3">
        <v>60360000</v>
      </c>
    </row>
    <row r="52" spans="1:23" x14ac:dyDescent="0.25">
      <c r="A52" s="3" t="s">
        <v>262</v>
      </c>
      <c r="B52" s="3" t="s">
        <v>133</v>
      </c>
      <c r="C52" s="3" t="s">
        <v>133</v>
      </c>
      <c r="D52" s="3">
        <v>15570000</v>
      </c>
      <c r="E52" s="3">
        <v>15570000</v>
      </c>
      <c r="F52" s="3">
        <v>15570000</v>
      </c>
      <c r="G52" s="3">
        <v>17770000</v>
      </c>
      <c r="H52" s="3">
        <v>17770000</v>
      </c>
      <c r="I52" s="3">
        <v>17770000</v>
      </c>
      <c r="J52" s="3">
        <v>16770000</v>
      </c>
      <c r="K52" s="3">
        <v>10000000</v>
      </c>
      <c r="L52" s="3">
        <v>10000000</v>
      </c>
      <c r="M52" s="3" t="s">
        <v>133</v>
      </c>
      <c r="N52" s="3" t="s">
        <v>133</v>
      </c>
      <c r="O52" s="3" t="s">
        <v>133</v>
      </c>
      <c r="P52" s="3" t="s">
        <v>133</v>
      </c>
      <c r="Q52" s="3">
        <v>300000</v>
      </c>
      <c r="R52" s="3">
        <v>300000</v>
      </c>
      <c r="S52" s="3" t="s">
        <v>133</v>
      </c>
      <c r="T52" s="3" t="s">
        <v>133</v>
      </c>
      <c r="U52" s="3" t="s">
        <v>133</v>
      </c>
      <c r="V52" s="3" t="s">
        <v>133</v>
      </c>
      <c r="W52" s="3" t="s">
        <v>133</v>
      </c>
    </row>
    <row r="53" spans="1:23" x14ac:dyDescent="0.25">
      <c r="A53" s="3" t="s">
        <v>263</v>
      </c>
      <c r="B53" s="3" t="s">
        <v>133</v>
      </c>
      <c r="C53" s="3" t="s">
        <v>133</v>
      </c>
      <c r="D53" s="3" t="s">
        <v>133</v>
      </c>
      <c r="E53" s="3" t="s">
        <v>133</v>
      </c>
      <c r="F53" s="3" t="s">
        <v>133</v>
      </c>
      <c r="G53" s="3" t="s">
        <v>133</v>
      </c>
      <c r="H53" s="3" t="s">
        <v>133</v>
      </c>
      <c r="I53" s="3" t="s">
        <v>133</v>
      </c>
      <c r="J53" s="3" t="s">
        <v>133</v>
      </c>
      <c r="K53" s="3" t="s">
        <v>133</v>
      </c>
      <c r="L53" s="3" t="s">
        <v>133</v>
      </c>
      <c r="M53" s="3" t="s">
        <v>133</v>
      </c>
      <c r="N53" s="3" t="s">
        <v>133</v>
      </c>
      <c r="O53" s="3" t="s">
        <v>133</v>
      </c>
      <c r="P53" s="3" t="s">
        <v>133</v>
      </c>
      <c r="Q53" s="3" t="s">
        <v>133</v>
      </c>
      <c r="R53" s="3" t="s">
        <v>133</v>
      </c>
      <c r="S53" s="3" t="s">
        <v>133</v>
      </c>
      <c r="T53" s="3" t="s">
        <v>133</v>
      </c>
      <c r="U53" s="3" t="s">
        <v>133</v>
      </c>
      <c r="V53" s="3" t="s">
        <v>133</v>
      </c>
      <c r="W53" s="3" t="s">
        <v>133</v>
      </c>
    </row>
    <row r="54" spans="1:23" x14ac:dyDescent="0.25">
      <c r="A54" s="3" t="s">
        <v>264</v>
      </c>
      <c r="B54" s="3" t="s">
        <v>133</v>
      </c>
      <c r="C54" s="3" t="s">
        <v>133</v>
      </c>
      <c r="D54" s="3">
        <v>15570000</v>
      </c>
      <c r="E54" s="3">
        <v>15570000</v>
      </c>
      <c r="F54" s="3">
        <v>15570000</v>
      </c>
      <c r="G54" s="3">
        <v>17770000</v>
      </c>
      <c r="H54" s="3">
        <v>17770000</v>
      </c>
      <c r="I54" s="3">
        <v>17770000</v>
      </c>
      <c r="J54" s="3">
        <v>16770000</v>
      </c>
      <c r="K54" s="3">
        <v>10000000</v>
      </c>
      <c r="L54" s="3">
        <v>10000000</v>
      </c>
      <c r="M54" s="3" t="s">
        <v>133</v>
      </c>
      <c r="N54" s="3" t="s">
        <v>133</v>
      </c>
      <c r="O54" s="3" t="s">
        <v>133</v>
      </c>
      <c r="P54" s="3" t="s">
        <v>133</v>
      </c>
      <c r="Q54" s="3">
        <v>300000</v>
      </c>
      <c r="R54" s="3">
        <v>300000</v>
      </c>
      <c r="S54" s="3" t="s">
        <v>133</v>
      </c>
      <c r="T54" s="3" t="s">
        <v>133</v>
      </c>
      <c r="U54" s="3" t="s">
        <v>133</v>
      </c>
      <c r="V54" s="3" t="s">
        <v>133</v>
      </c>
      <c r="W54" s="3" t="s">
        <v>133</v>
      </c>
    </row>
    <row r="55" spans="1:23" x14ac:dyDescent="0.25">
      <c r="A55" s="3" t="s">
        <v>265</v>
      </c>
      <c r="B55" s="3">
        <v>72692600</v>
      </c>
      <c r="C55" s="3" t="s">
        <v>133</v>
      </c>
      <c r="D55" s="3" t="s">
        <v>133</v>
      </c>
      <c r="E55" s="3" t="s">
        <v>133</v>
      </c>
      <c r="F55" s="3" t="s">
        <v>133</v>
      </c>
      <c r="G55" s="3" t="s">
        <v>133</v>
      </c>
      <c r="H55" s="3" t="s">
        <v>133</v>
      </c>
      <c r="I55" s="3" t="s">
        <v>133</v>
      </c>
      <c r="J55" s="3" t="s">
        <v>133</v>
      </c>
      <c r="K55" s="3" t="s">
        <v>133</v>
      </c>
      <c r="L55" s="3" t="s">
        <v>133</v>
      </c>
      <c r="M55" s="3" t="s">
        <v>133</v>
      </c>
      <c r="N55" s="3" t="s">
        <v>133</v>
      </c>
      <c r="O55" s="3" t="s">
        <v>133</v>
      </c>
      <c r="P55" s="3" t="s">
        <v>133</v>
      </c>
      <c r="Q55" s="3" t="s">
        <v>133</v>
      </c>
      <c r="R55" s="3" t="s">
        <v>133</v>
      </c>
      <c r="S55" s="3" t="s">
        <v>133</v>
      </c>
      <c r="T55" s="3" t="s">
        <v>133</v>
      </c>
      <c r="U55" s="3" t="s">
        <v>133</v>
      </c>
      <c r="V55" s="3" t="s">
        <v>133</v>
      </c>
      <c r="W55" s="3" t="s">
        <v>133</v>
      </c>
    </row>
    <row r="56" spans="1:23" x14ac:dyDescent="0.25">
      <c r="A56" s="3" t="s">
        <v>29</v>
      </c>
      <c r="B56" s="3">
        <v>72692600</v>
      </c>
      <c r="C56" s="3" t="s">
        <v>133</v>
      </c>
      <c r="D56" s="3">
        <v>15570000</v>
      </c>
      <c r="E56" s="3">
        <v>15570000</v>
      </c>
      <c r="F56" s="3">
        <v>15570000</v>
      </c>
      <c r="G56" s="3">
        <v>17770000</v>
      </c>
      <c r="H56" s="3">
        <v>17770000</v>
      </c>
      <c r="I56" s="3">
        <v>17770000</v>
      </c>
      <c r="J56" s="3">
        <v>16770000</v>
      </c>
      <c r="K56" s="3">
        <v>10000000</v>
      </c>
      <c r="L56" s="3">
        <v>10000000</v>
      </c>
      <c r="M56" s="3" t="s">
        <v>133</v>
      </c>
      <c r="N56" s="3" t="s">
        <v>133</v>
      </c>
      <c r="O56" s="3" t="s">
        <v>133</v>
      </c>
      <c r="P56" s="3" t="s">
        <v>133</v>
      </c>
      <c r="Q56" s="3">
        <v>300000</v>
      </c>
      <c r="R56" s="3">
        <v>300000</v>
      </c>
      <c r="S56" s="3" t="s">
        <v>133</v>
      </c>
      <c r="T56" s="3" t="s">
        <v>133</v>
      </c>
      <c r="U56" s="3" t="s">
        <v>133</v>
      </c>
      <c r="V56" s="3" t="s">
        <v>133</v>
      </c>
      <c r="W56" s="3">
        <v>60360000</v>
      </c>
    </row>
    <row r="57" spans="1:23" x14ac:dyDescent="0.25">
      <c r="A57" s="3" t="s">
        <v>30</v>
      </c>
      <c r="B57" s="3">
        <v>41165991800</v>
      </c>
      <c r="C57" s="3">
        <v>42438186800</v>
      </c>
      <c r="D57" s="3">
        <v>38590489400</v>
      </c>
      <c r="E57" s="3">
        <v>37035995400</v>
      </c>
      <c r="F57" s="3">
        <v>20067293000</v>
      </c>
      <c r="G57" s="3">
        <v>10561614400</v>
      </c>
      <c r="H57" s="3">
        <v>11325058400</v>
      </c>
      <c r="I57" s="3">
        <v>9544172600</v>
      </c>
      <c r="J57" s="3">
        <v>9497489400</v>
      </c>
      <c r="K57" s="3">
        <v>7038190200</v>
      </c>
      <c r="L57" s="3">
        <v>5118057800</v>
      </c>
      <c r="M57" s="3">
        <v>4250769500</v>
      </c>
      <c r="N57" s="3">
        <v>2112616100</v>
      </c>
      <c r="O57" s="3">
        <v>3402941500</v>
      </c>
      <c r="P57" s="3">
        <v>2895201400</v>
      </c>
      <c r="Q57" s="3">
        <v>2156945200</v>
      </c>
      <c r="R57" s="3">
        <v>1485841700</v>
      </c>
      <c r="S57" s="3">
        <v>1056171100</v>
      </c>
      <c r="T57" s="3">
        <v>925757000</v>
      </c>
      <c r="U57" s="3">
        <v>825076600</v>
      </c>
      <c r="V57" s="3">
        <v>629695100</v>
      </c>
      <c r="W57" s="3">
        <v>507757500</v>
      </c>
    </row>
    <row r="58" spans="1:23" x14ac:dyDescent="0.25">
      <c r="A58" s="3" t="s">
        <v>266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1:23" x14ac:dyDescent="0.25">
      <c r="A59" s="3" t="s">
        <v>267</v>
      </c>
      <c r="B59" s="3">
        <v>1256197800</v>
      </c>
      <c r="C59" s="3">
        <v>1256197800</v>
      </c>
      <c r="D59" s="3">
        <v>1256197800</v>
      </c>
      <c r="E59" s="3">
        <v>1256197800</v>
      </c>
      <c r="F59" s="3">
        <v>1256197800</v>
      </c>
      <c r="G59" s="3">
        <v>1141998000</v>
      </c>
      <c r="H59" s="3">
        <v>1038180000</v>
      </c>
      <c r="I59" s="3">
        <v>1038180000</v>
      </c>
      <c r="J59" s="3">
        <v>1038180000</v>
      </c>
      <c r="K59" s="3">
        <v>943800000</v>
      </c>
      <c r="L59" s="3">
        <v>943800000</v>
      </c>
      <c r="M59" s="3">
        <v>943800000</v>
      </c>
      <c r="N59" s="3">
        <v>943800000</v>
      </c>
      <c r="O59" s="3">
        <v>943800000</v>
      </c>
      <c r="P59" s="3">
        <v>471900000</v>
      </c>
      <c r="Q59" s="3">
        <v>393250000</v>
      </c>
      <c r="R59" s="3">
        <v>275000000</v>
      </c>
      <c r="S59" s="3">
        <v>275000000</v>
      </c>
      <c r="T59" s="3">
        <v>250000000</v>
      </c>
      <c r="U59" s="3">
        <v>185000000</v>
      </c>
      <c r="V59" s="3">
        <v>185000000</v>
      </c>
      <c r="W59" s="3" t="s">
        <v>133</v>
      </c>
    </row>
    <row r="60" spans="1:23" x14ac:dyDescent="0.25">
      <c r="A60" s="3" t="s">
        <v>268</v>
      </c>
      <c r="B60" s="3">
        <v>1374964415.72</v>
      </c>
      <c r="C60" s="3">
        <v>1374964415.72</v>
      </c>
      <c r="D60" s="3">
        <v>1374964415.72</v>
      </c>
      <c r="E60" s="3">
        <v>1374964415.72</v>
      </c>
      <c r="F60" s="3">
        <v>1374964415.72</v>
      </c>
      <c r="G60" s="3">
        <v>1374964415.72</v>
      </c>
      <c r="H60" s="3">
        <v>1374964415.72</v>
      </c>
      <c r="I60" s="3">
        <v>1374964415.72</v>
      </c>
      <c r="J60" s="3">
        <v>1374964415.72</v>
      </c>
      <c r="K60" s="3">
        <v>1374964415.72</v>
      </c>
      <c r="L60" s="3">
        <v>1374964415.72</v>
      </c>
      <c r="M60" s="3">
        <v>1374964415.72</v>
      </c>
      <c r="N60" s="3">
        <v>1374964415.72</v>
      </c>
      <c r="O60" s="3">
        <v>1374449260.6099999</v>
      </c>
      <c r="P60" s="3">
        <v>1846119450.6099999</v>
      </c>
      <c r="Q60" s="3">
        <v>1923937320.54</v>
      </c>
      <c r="R60" s="3">
        <v>2014484980.54</v>
      </c>
      <c r="S60" s="3">
        <v>2014320830.54</v>
      </c>
      <c r="T60" s="3">
        <v>2039189510.54</v>
      </c>
      <c r="U60" s="3">
        <v>88432681.620000005</v>
      </c>
      <c r="V60" s="3">
        <v>88432681.620000005</v>
      </c>
      <c r="W60" s="3" t="s">
        <v>133</v>
      </c>
    </row>
    <row r="61" spans="1:23" x14ac:dyDescent="0.25">
      <c r="A61" s="3" t="s">
        <v>269</v>
      </c>
      <c r="B61" s="3">
        <v>-7198700</v>
      </c>
      <c r="C61" s="3">
        <v>-7065700</v>
      </c>
      <c r="D61" s="3">
        <v>-7401600</v>
      </c>
      <c r="E61" s="3">
        <v>-11240800</v>
      </c>
      <c r="F61" s="3">
        <v>-13034100</v>
      </c>
      <c r="G61" s="3">
        <v>-619000</v>
      </c>
      <c r="H61" s="3" t="s">
        <v>133</v>
      </c>
      <c r="I61" s="3" t="s">
        <v>133</v>
      </c>
      <c r="J61" s="3" t="s">
        <v>133</v>
      </c>
      <c r="K61" s="3" t="s">
        <v>133</v>
      </c>
      <c r="L61" s="3" t="s">
        <v>133</v>
      </c>
      <c r="M61" s="3" t="s">
        <v>133</v>
      </c>
      <c r="N61" s="3" t="s">
        <v>133</v>
      </c>
      <c r="O61" s="3" t="s">
        <v>133</v>
      </c>
      <c r="P61" s="3" t="s">
        <v>133</v>
      </c>
      <c r="Q61" s="3" t="s">
        <v>133</v>
      </c>
      <c r="R61" s="3" t="s">
        <v>133</v>
      </c>
      <c r="S61" s="3" t="s">
        <v>133</v>
      </c>
      <c r="T61" s="3" t="s">
        <v>133</v>
      </c>
      <c r="U61" s="3" t="s">
        <v>133</v>
      </c>
      <c r="V61" s="3" t="s">
        <v>133</v>
      </c>
      <c r="W61" s="3" t="s">
        <v>133</v>
      </c>
    </row>
    <row r="62" spans="1:23" x14ac:dyDescent="0.25">
      <c r="A62" s="3" t="s">
        <v>270</v>
      </c>
      <c r="B62" s="3">
        <v>16595699000</v>
      </c>
      <c r="C62" s="3">
        <v>13444221200</v>
      </c>
      <c r="D62" s="3">
        <v>8215595500</v>
      </c>
      <c r="E62" s="3">
        <v>7135650000</v>
      </c>
      <c r="F62" s="3">
        <v>6210524500</v>
      </c>
      <c r="G62" s="3">
        <v>5249407200</v>
      </c>
      <c r="H62" s="3">
        <v>4220803900</v>
      </c>
      <c r="I62" s="3">
        <v>3036434500</v>
      </c>
      <c r="J62" s="3">
        <v>2640916400</v>
      </c>
      <c r="K62" s="3">
        <v>2176754200</v>
      </c>
      <c r="L62" s="3">
        <v>1585666100</v>
      </c>
      <c r="M62" s="3">
        <v>1001133800</v>
      </c>
      <c r="N62" s="3">
        <v>838321000</v>
      </c>
      <c r="O62" s="3">
        <v>620731200</v>
      </c>
      <c r="P62" s="3">
        <v>967252300</v>
      </c>
      <c r="Q62" s="3">
        <v>648560900</v>
      </c>
      <c r="R62" s="3">
        <v>424392200</v>
      </c>
      <c r="S62" s="3">
        <v>275187800</v>
      </c>
      <c r="T62" s="3">
        <v>163612500</v>
      </c>
      <c r="U62" s="3">
        <v>63435400</v>
      </c>
      <c r="V62" s="3">
        <v>6166100</v>
      </c>
      <c r="W62" s="3" t="s">
        <v>133</v>
      </c>
    </row>
    <row r="63" spans="1:23" x14ac:dyDescent="0.25">
      <c r="A63" s="3" t="s">
        <v>271</v>
      </c>
      <c r="B63" s="3">
        <v>115892337400</v>
      </c>
      <c r="C63" s="3">
        <v>95981944000</v>
      </c>
      <c r="D63" s="3">
        <v>80011307500</v>
      </c>
      <c r="E63" s="3">
        <v>62717808000</v>
      </c>
      <c r="F63" s="3">
        <v>54878964500</v>
      </c>
      <c r="G63" s="3">
        <v>45566057300</v>
      </c>
      <c r="H63" s="3">
        <v>35974971900</v>
      </c>
      <c r="I63" s="3">
        <v>28700075200</v>
      </c>
      <c r="J63" s="3">
        <v>19937119200</v>
      </c>
      <c r="K63" s="3">
        <v>13903255500</v>
      </c>
      <c r="L63" s="3">
        <v>10561552300</v>
      </c>
      <c r="M63" s="3">
        <v>7924671300</v>
      </c>
      <c r="N63" s="3">
        <v>5077020400</v>
      </c>
      <c r="O63" s="3">
        <v>3124438500</v>
      </c>
      <c r="P63" s="3">
        <v>1665055800</v>
      </c>
      <c r="Q63" s="3">
        <v>1006775600</v>
      </c>
      <c r="R63" s="3">
        <v>634515300</v>
      </c>
      <c r="S63" s="3">
        <v>287721800</v>
      </c>
      <c r="T63" s="3">
        <v>78113600</v>
      </c>
      <c r="U63" s="3">
        <v>105552600</v>
      </c>
      <c r="V63" s="3">
        <v>5763100</v>
      </c>
      <c r="W63" s="3" t="s">
        <v>133</v>
      </c>
    </row>
    <row r="64" spans="1:23" x14ac:dyDescent="0.25">
      <c r="A64" s="3" t="s">
        <v>31</v>
      </c>
      <c r="B64" s="3">
        <v>136010349900</v>
      </c>
      <c r="C64" s="3">
        <v>112838564300</v>
      </c>
      <c r="D64" s="3">
        <v>91451522800</v>
      </c>
      <c r="E64" s="3">
        <v>72894137800</v>
      </c>
      <c r="F64" s="3">
        <v>63925978400</v>
      </c>
      <c r="G64" s="3">
        <v>53430402400</v>
      </c>
      <c r="H64" s="3">
        <v>42622216500</v>
      </c>
      <c r="I64" s="3">
        <v>34149654100</v>
      </c>
      <c r="J64" s="3">
        <v>24991180000</v>
      </c>
      <c r="K64" s="3">
        <v>18398774100</v>
      </c>
      <c r="L64" s="3">
        <v>14465982800</v>
      </c>
      <c r="M64" s="3">
        <v>11244569500</v>
      </c>
      <c r="N64" s="3">
        <v>8234105800</v>
      </c>
      <c r="O64" s="3">
        <v>6063419000</v>
      </c>
      <c r="P64" s="3">
        <v>5091897600</v>
      </c>
      <c r="Q64" s="3">
        <v>4169148800</v>
      </c>
      <c r="R64" s="3">
        <v>3439142500</v>
      </c>
      <c r="S64" s="3">
        <v>2852230500</v>
      </c>
      <c r="T64" s="3">
        <v>2530915700</v>
      </c>
      <c r="U64" s="3">
        <v>442420700</v>
      </c>
      <c r="V64" s="3">
        <v>285361900</v>
      </c>
      <c r="W64" s="3">
        <v>234091500</v>
      </c>
    </row>
    <row r="65" spans="1:23" x14ac:dyDescent="0.25">
      <c r="A65" s="3" t="s">
        <v>272</v>
      </c>
      <c r="B65" s="3">
        <v>5866030400</v>
      </c>
      <c r="C65" s="3">
        <v>4569923600</v>
      </c>
      <c r="D65" s="3">
        <v>4568104600</v>
      </c>
      <c r="E65" s="3">
        <v>3004405100</v>
      </c>
      <c r="F65" s="3">
        <v>2308192000</v>
      </c>
      <c r="G65" s="3">
        <v>1881148400</v>
      </c>
      <c r="H65" s="3">
        <v>1506875800</v>
      </c>
      <c r="I65" s="3">
        <v>1304382300</v>
      </c>
      <c r="J65" s="3">
        <v>412199600</v>
      </c>
      <c r="K65" s="3">
        <v>150615600</v>
      </c>
      <c r="L65" s="3">
        <v>185582600</v>
      </c>
      <c r="M65" s="3">
        <v>258848800</v>
      </c>
      <c r="N65" s="3">
        <v>134750000</v>
      </c>
      <c r="O65" s="3">
        <v>104433000</v>
      </c>
      <c r="P65" s="3">
        <v>70497500</v>
      </c>
      <c r="Q65" s="3">
        <v>47558900</v>
      </c>
      <c r="R65" s="3">
        <v>31381600</v>
      </c>
      <c r="S65" s="3">
        <v>22503500</v>
      </c>
      <c r="T65" s="3">
        <v>6716000</v>
      </c>
      <c r="U65" s="3">
        <v>1358900</v>
      </c>
      <c r="V65" s="3" t="s">
        <v>133</v>
      </c>
      <c r="W65" s="3" t="s">
        <v>133</v>
      </c>
    </row>
    <row r="66" spans="1:23" x14ac:dyDescent="0.25">
      <c r="A66" s="3" t="s">
        <v>32</v>
      </c>
      <c r="B66" s="3">
        <v>141876380200</v>
      </c>
      <c r="C66" s="3">
        <v>117408487900</v>
      </c>
      <c r="D66" s="3">
        <v>96019627500</v>
      </c>
      <c r="E66" s="3">
        <v>75898542900</v>
      </c>
      <c r="F66" s="3">
        <v>66234170400</v>
      </c>
      <c r="G66" s="3">
        <v>55311550800</v>
      </c>
      <c r="H66" s="3">
        <v>44129092300</v>
      </c>
      <c r="I66" s="3">
        <v>35454036400</v>
      </c>
      <c r="J66" s="3">
        <v>25403379600</v>
      </c>
      <c r="K66" s="3">
        <v>18549389700</v>
      </c>
      <c r="L66" s="3">
        <v>14651565400</v>
      </c>
      <c r="M66" s="3">
        <v>11503418300</v>
      </c>
      <c r="N66" s="3">
        <v>8368855800</v>
      </c>
      <c r="O66" s="3">
        <v>6167852000</v>
      </c>
      <c r="P66" s="3">
        <v>5162395100</v>
      </c>
      <c r="Q66" s="3">
        <v>4216707700</v>
      </c>
      <c r="R66" s="3">
        <v>3470524100</v>
      </c>
      <c r="S66" s="3">
        <v>2874734000</v>
      </c>
      <c r="T66" s="3">
        <v>2537631700</v>
      </c>
      <c r="U66" s="3">
        <v>443779600</v>
      </c>
      <c r="V66" s="3">
        <v>285361900</v>
      </c>
      <c r="W66" s="3">
        <v>234091500</v>
      </c>
    </row>
    <row r="67" spans="1:23" x14ac:dyDescent="0.25">
      <c r="A67" s="3" t="s">
        <v>273</v>
      </c>
      <c r="B67" s="3">
        <v>183042372000</v>
      </c>
      <c r="C67" s="3">
        <v>159846674700</v>
      </c>
      <c r="D67" s="3">
        <v>134610116900</v>
      </c>
      <c r="E67" s="3">
        <v>112934538300</v>
      </c>
      <c r="F67" s="3">
        <v>86301463400</v>
      </c>
      <c r="G67" s="3">
        <v>65873165200</v>
      </c>
      <c r="H67" s="3">
        <v>55454150700</v>
      </c>
      <c r="I67" s="3">
        <v>44998209000</v>
      </c>
      <c r="J67" s="3">
        <v>34900869000</v>
      </c>
      <c r="K67" s="3">
        <v>25587579900</v>
      </c>
      <c r="L67" s="3">
        <v>19769623100</v>
      </c>
      <c r="M67" s="3">
        <v>15754187800</v>
      </c>
      <c r="N67" s="3">
        <v>10481471800</v>
      </c>
      <c r="O67" s="3">
        <v>9570793600</v>
      </c>
      <c r="P67" s="3">
        <v>8057596500</v>
      </c>
      <c r="Q67" s="3">
        <v>6373653000</v>
      </c>
      <c r="R67" s="3">
        <v>4956365800</v>
      </c>
      <c r="S67" s="3">
        <v>3930905100</v>
      </c>
      <c r="T67" s="3">
        <v>3463388700</v>
      </c>
      <c r="U67" s="3">
        <v>1268856200</v>
      </c>
      <c r="V67" s="3">
        <v>915057000</v>
      </c>
      <c r="W67" s="3">
        <v>741849000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983AA-557E-490D-9845-275036CB4985}">
  <sheetPr codeName="Sheet4"/>
  <dimension ref="A2:BT64"/>
  <sheetViews>
    <sheetView workbookViewId="0">
      <selection activeCell="BT64" sqref="BT64"/>
    </sheetView>
  </sheetViews>
  <sheetFormatPr defaultRowHeight="15" x14ac:dyDescent="0.25"/>
  <cols>
    <col min="1" max="1" width="25" style="2" customWidth="1"/>
    <col min="2" max="72" width="10" style="2" customWidth="1"/>
    <col min="73" max="256" width="9.140625" style="2"/>
    <col min="257" max="257" width="25" style="2" customWidth="1"/>
    <col min="258" max="328" width="10" style="2" customWidth="1"/>
    <col min="329" max="512" width="9.140625" style="2"/>
    <col min="513" max="513" width="25" style="2" customWidth="1"/>
    <col min="514" max="584" width="10" style="2" customWidth="1"/>
    <col min="585" max="768" width="9.140625" style="2"/>
    <col min="769" max="769" width="25" style="2" customWidth="1"/>
    <col min="770" max="840" width="10" style="2" customWidth="1"/>
    <col min="841" max="1024" width="9.140625" style="2"/>
    <col min="1025" max="1025" width="25" style="2" customWidth="1"/>
    <col min="1026" max="1096" width="10" style="2" customWidth="1"/>
    <col min="1097" max="1280" width="9.140625" style="2"/>
    <col min="1281" max="1281" width="25" style="2" customWidth="1"/>
    <col min="1282" max="1352" width="10" style="2" customWidth="1"/>
    <col min="1353" max="1536" width="9.140625" style="2"/>
    <col min="1537" max="1537" width="25" style="2" customWidth="1"/>
    <col min="1538" max="1608" width="10" style="2" customWidth="1"/>
    <col min="1609" max="1792" width="9.140625" style="2"/>
    <col min="1793" max="1793" width="25" style="2" customWidth="1"/>
    <col min="1794" max="1864" width="10" style="2" customWidth="1"/>
    <col min="1865" max="2048" width="9.140625" style="2"/>
    <col min="2049" max="2049" width="25" style="2" customWidth="1"/>
    <col min="2050" max="2120" width="10" style="2" customWidth="1"/>
    <col min="2121" max="2304" width="9.140625" style="2"/>
    <col min="2305" max="2305" width="25" style="2" customWidth="1"/>
    <col min="2306" max="2376" width="10" style="2" customWidth="1"/>
    <col min="2377" max="2560" width="9.140625" style="2"/>
    <col min="2561" max="2561" width="25" style="2" customWidth="1"/>
    <col min="2562" max="2632" width="10" style="2" customWidth="1"/>
    <col min="2633" max="2816" width="9.140625" style="2"/>
    <col min="2817" max="2817" width="25" style="2" customWidth="1"/>
    <col min="2818" max="2888" width="10" style="2" customWidth="1"/>
    <col min="2889" max="3072" width="9.140625" style="2"/>
    <col min="3073" max="3073" width="25" style="2" customWidth="1"/>
    <col min="3074" max="3144" width="10" style="2" customWidth="1"/>
    <col min="3145" max="3328" width="9.140625" style="2"/>
    <col min="3329" max="3329" width="25" style="2" customWidth="1"/>
    <col min="3330" max="3400" width="10" style="2" customWidth="1"/>
    <col min="3401" max="3584" width="9.140625" style="2"/>
    <col min="3585" max="3585" width="25" style="2" customWidth="1"/>
    <col min="3586" max="3656" width="10" style="2" customWidth="1"/>
    <col min="3657" max="3840" width="9.140625" style="2"/>
    <col min="3841" max="3841" width="25" style="2" customWidth="1"/>
    <col min="3842" max="3912" width="10" style="2" customWidth="1"/>
    <col min="3913" max="4096" width="9.140625" style="2"/>
    <col min="4097" max="4097" width="25" style="2" customWidth="1"/>
    <col min="4098" max="4168" width="10" style="2" customWidth="1"/>
    <col min="4169" max="4352" width="9.140625" style="2"/>
    <col min="4353" max="4353" width="25" style="2" customWidth="1"/>
    <col min="4354" max="4424" width="10" style="2" customWidth="1"/>
    <col min="4425" max="4608" width="9.140625" style="2"/>
    <col min="4609" max="4609" width="25" style="2" customWidth="1"/>
    <col min="4610" max="4680" width="10" style="2" customWidth="1"/>
    <col min="4681" max="4864" width="9.140625" style="2"/>
    <col min="4865" max="4865" width="25" style="2" customWidth="1"/>
    <col min="4866" max="4936" width="10" style="2" customWidth="1"/>
    <col min="4937" max="5120" width="9.140625" style="2"/>
    <col min="5121" max="5121" width="25" style="2" customWidth="1"/>
    <col min="5122" max="5192" width="10" style="2" customWidth="1"/>
    <col min="5193" max="5376" width="9.140625" style="2"/>
    <col min="5377" max="5377" width="25" style="2" customWidth="1"/>
    <col min="5378" max="5448" width="10" style="2" customWidth="1"/>
    <col min="5449" max="5632" width="9.140625" style="2"/>
    <col min="5633" max="5633" width="25" style="2" customWidth="1"/>
    <col min="5634" max="5704" width="10" style="2" customWidth="1"/>
    <col min="5705" max="5888" width="9.140625" style="2"/>
    <col min="5889" max="5889" width="25" style="2" customWidth="1"/>
    <col min="5890" max="5960" width="10" style="2" customWidth="1"/>
    <col min="5961" max="6144" width="9.140625" style="2"/>
    <col min="6145" max="6145" width="25" style="2" customWidth="1"/>
    <col min="6146" max="6216" width="10" style="2" customWidth="1"/>
    <col min="6217" max="6400" width="9.140625" style="2"/>
    <col min="6401" max="6401" width="25" style="2" customWidth="1"/>
    <col min="6402" max="6472" width="10" style="2" customWidth="1"/>
    <col min="6473" max="6656" width="9.140625" style="2"/>
    <col min="6657" max="6657" width="25" style="2" customWidth="1"/>
    <col min="6658" max="6728" width="10" style="2" customWidth="1"/>
    <col min="6729" max="6912" width="9.140625" style="2"/>
    <col min="6913" max="6913" width="25" style="2" customWidth="1"/>
    <col min="6914" max="6984" width="10" style="2" customWidth="1"/>
    <col min="6985" max="7168" width="9.140625" style="2"/>
    <col min="7169" max="7169" width="25" style="2" customWidth="1"/>
    <col min="7170" max="7240" width="10" style="2" customWidth="1"/>
    <col min="7241" max="7424" width="9.140625" style="2"/>
    <col min="7425" max="7425" width="25" style="2" customWidth="1"/>
    <col min="7426" max="7496" width="10" style="2" customWidth="1"/>
    <col min="7497" max="7680" width="9.140625" style="2"/>
    <col min="7681" max="7681" width="25" style="2" customWidth="1"/>
    <col min="7682" max="7752" width="10" style="2" customWidth="1"/>
    <col min="7753" max="7936" width="9.140625" style="2"/>
    <col min="7937" max="7937" width="25" style="2" customWidth="1"/>
    <col min="7938" max="8008" width="10" style="2" customWidth="1"/>
    <col min="8009" max="8192" width="9.140625" style="2"/>
    <col min="8193" max="8193" width="25" style="2" customWidth="1"/>
    <col min="8194" max="8264" width="10" style="2" customWidth="1"/>
    <col min="8265" max="8448" width="9.140625" style="2"/>
    <col min="8449" max="8449" width="25" style="2" customWidth="1"/>
    <col min="8450" max="8520" width="10" style="2" customWidth="1"/>
    <col min="8521" max="8704" width="9.140625" style="2"/>
    <col min="8705" max="8705" width="25" style="2" customWidth="1"/>
    <col min="8706" max="8776" width="10" style="2" customWidth="1"/>
    <col min="8777" max="8960" width="9.140625" style="2"/>
    <col min="8961" max="8961" width="25" style="2" customWidth="1"/>
    <col min="8962" max="9032" width="10" style="2" customWidth="1"/>
    <col min="9033" max="9216" width="9.140625" style="2"/>
    <col min="9217" max="9217" width="25" style="2" customWidth="1"/>
    <col min="9218" max="9288" width="10" style="2" customWidth="1"/>
    <col min="9289" max="9472" width="9.140625" style="2"/>
    <col min="9473" max="9473" width="25" style="2" customWidth="1"/>
    <col min="9474" max="9544" width="10" style="2" customWidth="1"/>
    <col min="9545" max="9728" width="9.140625" style="2"/>
    <col min="9729" max="9729" width="25" style="2" customWidth="1"/>
    <col min="9730" max="9800" width="10" style="2" customWidth="1"/>
    <col min="9801" max="9984" width="9.140625" style="2"/>
    <col min="9985" max="9985" width="25" style="2" customWidth="1"/>
    <col min="9986" max="10056" width="10" style="2" customWidth="1"/>
    <col min="10057" max="10240" width="9.140625" style="2"/>
    <col min="10241" max="10241" width="25" style="2" customWidth="1"/>
    <col min="10242" max="10312" width="10" style="2" customWidth="1"/>
    <col min="10313" max="10496" width="9.140625" style="2"/>
    <col min="10497" max="10497" width="25" style="2" customWidth="1"/>
    <col min="10498" max="10568" width="10" style="2" customWidth="1"/>
    <col min="10569" max="10752" width="9.140625" style="2"/>
    <col min="10753" max="10753" width="25" style="2" customWidth="1"/>
    <col min="10754" max="10824" width="10" style="2" customWidth="1"/>
    <col min="10825" max="11008" width="9.140625" style="2"/>
    <col min="11009" max="11009" width="25" style="2" customWidth="1"/>
    <col min="11010" max="11080" width="10" style="2" customWidth="1"/>
    <col min="11081" max="11264" width="9.140625" style="2"/>
    <col min="11265" max="11265" width="25" style="2" customWidth="1"/>
    <col min="11266" max="11336" width="10" style="2" customWidth="1"/>
    <col min="11337" max="11520" width="9.140625" style="2"/>
    <col min="11521" max="11521" width="25" style="2" customWidth="1"/>
    <col min="11522" max="11592" width="10" style="2" customWidth="1"/>
    <col min="11593" max="11776" width="9.140625" style="2"/>
    <col min="11777" max="11777" width="25" style="2" customWidth="1"/>
    <col min="11778" max="11848" width="10" style="2" customWidth="1"/>
    <col min="11849" max="12032" width="9.140625" style="2"/>
    <col min="12033" max="12033" width="25" style="2" customWidth="1"/>
    <col min="12034" max="12104" width="10" style="2" customWidth="1"/>
    <col min="12105" max="12288" width="9.140625" style="2"/>
    <col min="12289" max="12289" width="25" style="2" customWidth="1"/>
    <col min="12290" max="12360" width="10" style="2" customWidth="1"/>
    <col min="12361" max="12544" width="9.140625" style="2"/>
    <col min="12545" max="12545" width="25" style="2" customWidth="1"/>
    <col min="12546" max="12616" width="10" style="2" customWidth="1"/>
    <col min="12617" max="12800" width="9.140625" style="2"/>
    <col min="12801" max="12801" width="25" style="2" customWidth="1"/>
    <col min="12802" max="12872" width="10" style="2" customWidth="1"/>
    <col min="12873" max="13056" width="9.140625" style="2"/>
    <col min="13057" max="13057" width="25" style="2" customWidth="1"/>
    <col min="13058" max="13128" width="10" style="2" customWidth="1"/>
    <col min="13129" max="13312" width="9.140625" style="2"/>
    <col min="13313" max="13313" width="25" style="2" customWidth="1"/>
    <col min="13314" max="13384" width="10" style="2" customWidth="1"/>
    <col min="13385" max="13568" width="9.140625" style="2"/>
    <col min="13569" max="13569" width="25" style="2" customWidth="1"/>
    <col min="13570" max="13640" width="10" style="2" customWidth="1"/>
    <col min="13641" max="13824" width="9.140625" style="2"/>
    <col min="13825" max="13825" width="25" style="2" customWidth="1"/>
    <col min="13826" max="13896" width="10" style="2" customWidth="1"/>
    <col min="13897" max="14080" width="9.140625" style="2"/>
    <col min="14081" max="14081" width="25" style="2" customWidth="1"/>
    <col min="14082" max="14152" width="10" style="2" customWidth="1"/>
    <col min="14153" max="14336" width="9.140625" style="2"/>
    <col min="14337" max="14337" width="25" style="2" customWidth="1"/>
    <col min="14338" max="14408" width="10" style="2" customWidth="1"/>
    <col min="14409" max="14592" width="9.140625" style="2"/>
    <col min="14593" max="14593" width="25" style="2" customWidth="1"/>
    <col min="14594" max="14664" width="10" style="2" customWidth="1"/>
    <col min="14665" max="14848" width="9.140625" style="2"/>
    <col min="14849" max="14849" width="25" style="2" customWidth="1"/>
    <col min="14850" max="14920" width="10" style="2" customWidth="1"/>
    <col min="14921" max="15104" width="9.140625" style="2"/>
    <col min="15105" max="15105" width="25" style="2" customWidth="1"/>
    <col min="15106" max="15176" width="10" style="2" customWidth="1"/>
    <col min="15177" max="15360" width="9.140625" style="2"/>
    <col min="15361" max="15361" width="25" style="2" customWidth="1"/>
    <col min="15362" max="15432" width="10" style="2" customWidth="1"/>
    <col min="15433" max="15616" width="9.140625" style="2"/>
    <col min="15617" max="15617" width="25" style="2" customWidth="1"/>
    <col min="15618" max="15688" width="10" style="2" customWidth="1"/>
    <col min="15689" max="15872" width="9.140625" style="2"/>
    <col min="15873" max="15873" width="25" style="2" customWidth="1"/>
    <col min="15874" max="15944" width="10" style="2" customWidth="1"/>
    <col min="15945" max="16128" width="9.140625" style="2"/>
    <col min="16129" max="16129" width="25" style="2" customWidth="1"/>
    <col min="16130" max="16200" width="10" style="2" customWidth="1"/>
    <col min="16201" max="16384" width="9.140625" style="2"/>
  </cols>
  <sheetData>
    <row r="2" spans="1:72" x14ac:dyDescent="0.25">
      <c r="A2" s="2" t="s">
        <v>10</v>
      </c>
      <c r="B2" s="2" t="s">
        <v>56</v>
      </c>
      <c r="C2" s="2" t="s">
        <v>57</v>
      </c>
      <c r="D2" s="2" t="s">
        <v>58</v>
      </c>
      <c r="E2" s="2" t="s">
        <v>59</v>
      </c>
      <c r="F2" s="2" t="s">
        <v>60</v>
      </c>
      <c r="G2" s="2" t="s">
        <v>61</v>
      </c>
      <c r="H2" s="2" t="s">
        <v>62</v>
      </c>
      <c r="I2" s="2" t="s">
        <v>63</v>
      </c>
      <c r="J2" s="2" t="s">
        <v>64</v>
      </c>
      <c r="K2" s="2" t="s">
        <v>65</v>
      </c>
      <c r="L2" s="2" t="s">
        <v>66</v>
      </c>
      <c r="M2" s="2" t="s">
        <v>67</v>
      </c>
      <c r="N2" s="2" t="s">
        <v>68</v>
      </c>
      <c r="O2" s="2" t="s">
        <v>69</v>
      </c>
      <c r="P2" s="2" t="s">
        <v>70</v>
      </c>
      <c r="Q2" s="2" t="s">
        <v>71</v>
      </c>
      <c r="R2" s="2" t="s">
        <v>72</v>
      </c>
      <c r="S2" s="2" t="s">
        <v>73</v>
      </c>
      <c r="T2" s="2" t="s">
        <v>74</v>
      </c>
      <c r="U2" s="2" t="s">
        <v>75</v>
      </c>
      <c r="V2" s="2" t="s">
        <v>76</v>
      </c>
      <c r="W2" s="2" t="s">
        <v>77</v>
      </c>
      <c r="X2" s="2" t="s">
        <v>78</v>
      </c>
      <c r="Y2" s="2" t="s">
        <v>79</v>
      </c>
      <c r="Z2" s="2" t="s">
        <v>80</v>
      </c>
      <c r="AA2" s="2" t="s">
        <v>81</v>
      </c>
      <c r="AB2" s="2" t="s">
        <v>82</v>
      </c>
      <c r="AC2" s="2" t="s">
        <v>83</v>
      </c>
      <c r="AD2" s="2" t="s">
        <v>84</v>
      </c>
      <c r="AE2" s="2" t="s">
        <v>85</v>
      </c>
      <c r="AF2" s="2" t="s">
        <v>86</v>
      </c>
      <c r="AG2" s="2" t="s">
        <v>87</v>
      </c>
      <c r="AH2" s="2" t="s">
        <v>88</v>
      </c>
      <c r="AI2" s="2" t="s">
        <v>89</v>
      </c>
      <c r="AJ2" s="2" t="s">
        <v>90</v>
      </c>
      <c r="AK2" s="2" t="s">
        <v>91</v>
      </c>
      <c r="AL2" s="2" t="s">
        <v>92</v>
      </c>
      <c r="AM2" s="2" t="s">
        <v>93</v>
      </c>
      <c r="AN2" s="2" t="s">
        <v>94</v>
      </c>
      <c r="AO2" s="2" t="s">
        <v>95</v>
      </c>
      <c r="AP2" s="2" t="s">
        <v>96</v>
      </c>
      <c r="AQ2" s="2" t="s">
        <v>97</v>
      </c>
      <c r="AR2" s="2" t="s">
        <v>98</v>
      </c>
      <c r="AS2" s="2" t="s">
        <v>99</v>
      </c>
      <c r="AT2" s="2" t="s">
        <v>100</v>
      </c>
      <c r="AU2" s="2" t="s">
        <v>101</v>
      </c>
      <c r="AV2" s="2" t="s">
        <v>102</v>
      </c>
      <c r="AW2" s="2" t="s">
        <v>103</v>
      </c>
      <c r="AX2" s="2" t="s">
        <v>104</v>
      </c>
      <c r="AY2" s="2" t="s">
        <v>105</v>
      </c>
      <c r="AZ2" s="2" t="s">
        <v>106</v>
      </c>
      <c r="BA2" s="2" t="s">
        <v>107</v>
      </c>
      <c r="BB2" s="2" t="s">
        <v>108</v>
      </c>
      <c r="BC2" s="2" t="s">
        <v>109</v>
      </c>
      <c r="BD2" s="2" t="s">
        <v>110</v>
      </c>
      <c r="BE2" s="2" t="s">
        <v>111</v>
      </c>
      <c r="BF2" s="2" t="s">
        <v>112</v>
      </c>
      <c r="BG2" s="2" t="s">
        <v>113</v>
      </c>
      <c r="BH2" s="2" t="s">
        <v>114</v>
      </c>
      <c r="BI2" s="2" t="s">
        <v>115</v>
      </c>
      <c r="BJ2" s="2" t="s">
        <v>116</v>
      </c>
      <c r="BK2" s="2" t="s">
        <v>117</v>
      </c>
      <c r="BL2" s="2" t="s">
        <v>118</v>
      </c>
      <c r="BM2" s="2" t="s">
        <v>119</v>
      </c>
      <c r="BN2" s="2" t="s">
        <v>120</v>
      </c>
      <c r="BO2" s="2" t="s">
        <v>121</v>
      </c>
      <c r="BP2" s="2" t="s">
        <v>122</v>
      </c>
      <c r="BQ2" s="2" t="s">
        <v>123</v>
      </c>
      <c r="BR2" s="2" t="s">
        <v>124</v>
      </c>
      <c r="BS2" s="2" t="s">
        <v>125</v>
      </c>
      <c r="BT2" s="2" t="s">
        <v>126</v>
      </c>
    </row>
    <row r="3" spans="1:72" x14ac:dyDescent="0.25">
      <c r="A3" s="3" t="s">
        <v>164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</row>
    <row r="4" spans="1:72" x14ac:dyDescent="0.25">
      <c r="A4" s="3" t="s">
        <v>165</v>
      </c>
      <c r="B4" s="3">
        <v>24902307500</v>
      </c>
      <c r="C4" s="3">
        <v>24580226800</v>
      </c>
      <c r="D4" s="3">
        <v>21866006000</v>
      </c>
      <c r="E4" s="3">
        <v>28811899000</v>
      </c>
      <c r="F4" s="3">
        <v>22839155200</v>
      </c>
      <c r="G4" s="3">
        <v>20570901300</v>
      </c>
      <c r="H4" s="3">
        <v>22758183100</v>
      </c>
      <c r="I4" s="3">
        <v>26649365400</v>
      </c>
      <c r="J4" s="3">
        <v>23007843600</v>
      </c>
      <c r="K4" s="3">
        <v>15245393400</v>
      </c>
      <c r="L4" s="3">
        <v>19366093300</v>
      </c>
      <c r="M4" s="3">
        <v>15520475800</v>
      </c>
      <c r="N4" s="3">
        <v>20748600600</v>
      </c>
      <c r="O4" s="3">
        <v>10761192500</v>
      </c>
      <c r="P4" s="3">
        <v>17391210400</v>
      </c>
      <c r="Q4" s="3">
        <v>14626914400</v>
      </c>
      <c r="R4" s="3">
        <v>20636168900</v>
      </c>
      <c r="S4" s="3">
        <v>10259059000</v>
      </c>
      <c r="T4" s="3">
        <v>15490821800</v>
      </c>
      <c r="U4" s="3">
        <v>12605839000</v>
      </c>
      <c r="V4" s="3">
        <v>7492538200</v>
      </c>
      <c r="W4" s="3">
        <v>6729202100</v>
      </c>
      <c r="X4" s="3">
        <v>10255492600</v>
      </c>
      <c r="Y4" s="3">
        <v>11341046700</v>
      </c>
      <c r="Z4" s="3">
        <v>7985271300</v>
      </c>
      <c r="AA4" s="3">
        <v>6820426000</v>
      </c>
      <c r="AB4" s="3">
        <v>7238091700</v>
      </c>
      <c r="AC4" s="3">
        <v>10953873600</v>
      </c>
      <c r="AD4" s="3">
        <v>10320340400</v>
      </c>
      <c r="AE4" s="3">
        <v>5798898500</v>
      </c>
      <c r="AF4" s="3">
        <v>6160758000</v>
      </c>
      <c r="AG4" s="3">
        <v>9085447300</v>
      </c>
      <c r="AH4" s="3">
        <v>7291198800</v>
      </c>
      <c r="AI4" s="3">
        <v>6769634300</v>
      </c>
      <c r="AJ4" s="3">
        <v>5766087200</v>
      </c>
      <c r="AK4" s="3">
        <v>5635501600</v>
      </c>
      <c r="AL4" s="3">
        <v>6477161500</v>
      </c>
      <c r="AM4" s="3">
        <v>5002304500</v>
      </c>
      <c r="AN4" s="3">
        <v>6544163600</v>
      </c>
      <c r="AO4" s="3">
        <v>4199664400</v>
      </c>
      <c r="AP4" s="3">
        <v>4378430900</v>
      </c>
      <c r="AQ4" s="3">
        <v>3286781900</v>
      </c>
      <c r="AR4" s="3">
        <v>3073704700</v>
      </c>
      <c r="AS4" s="3">
        <v>4296521300</v>
      </c>
      <c r="AT4" s="3">
        <v>3261070700</v>
      </c>
      <c r="AU4" s="3">
        <v>2327886600</v>
      </c>
      <c r="AV4" s="3">
        <v>1870765300</v>
      </c>
      <c r="AW4" s="3">
        <v>3869373000</v>
      </c>
      <c r="AX4" s="3">
        <v>2836868800</v>
      </c>
      <c r="AY4" s="3">
        <v>2008939900</v>
      </c>
      <c r="AZ4" s="3">
        <v>2560049000</v>
      </c>
      <c r="BA4" s="3">
        <v>2139533700</v>
      </c>
      <c r="BB4" s="3">
        <v>1915486600</v>
      </c>
      <c r="BC4" s="3">
        <v>1421185100</v>
      </c>
      <c r="BD4" s="3">
        <v>1961548900</v>
      </c>
      <c r="BE4" s="3">
        <v>1700472000</v>
      </c>
      <c r="BF4" s="3">
        <v>1719030300</v>
      </c>
      <c r="BG4" s="3">
        <v>1126115000</v>
      </c>
      <c r="BH4" s="3">
        <v>1615997400</v>
      </c>
      <c r="BI4" s="3">
        <v>1657774200</v>
      </c>
      <c r="BJ4" s="3">
        <v>1242588100</v>
      </c>
      <c r="BK4" s="3">
        <v>815752500</v>
      </c>
      <c r="BL4" s="3">
        <v>1260553700</v>
      </c>
      <c r="BM4" s="3">
        <v>1175415400</v>
      </c>
      <c r="BN4" s="3">
        <v>1011105800</v>
      </c>
      <c r="BO4" s="3">
        <v>634568100</v>
      </c>
      <c r="BP4" s="3">
        <v>825380800</v>
      </c>
      <c r="BQ4" s="3">
        <v>976927100</v>
      </c>
      <c r="BR4" s="3">
        <v>927842400</v>
      </c>
      <c r="BS4" s="3">
        <v>525585900</v>
      </c>
      <c r="BT4" s="3">
        <v>627433000</v>
      </c>
    </row>
    <row r="5" spans="1:72" x14ac:dyDescent="0.25">
      <c r="A5" s="3" t="s">
        <v>166</v>
      </c>
      <c r="B5" s="3" t="s">
        <v>133</v>
      </c>
      <c r="C5" s="3" t="s">
        <v>133</v>
      </c>
      <c r="D5" s="3" t="s">
        <v>133</v>
      </c>
      <c r="E5" s="3" t="s">
        <v>133</v>
      </c>
      <c r="F5" s="3" t="s">
        <v>133</v>
      </c>
      <c r="G5" s="3" t="s">
        <v>133</v>
      </c>
      <c r="H5" s="3" t="s">
        <v>133</v>
      </c>
      <c r="I5" s="3" t="s">
        <v>133</v>
      </c>
      <c r="J5" s="3" t="s">
        <v>133</v>
      </c>
      <c r="K5" s="3" t="s">
        <v>133</v>
      </c>
      <c r="L5" s="3" t="s">
        <v>133</v>
      </c>
      <c r="M5" s="3" t="s">
        <v>133</v>
      </c>
      <c r="N5" s="3" t="s">
        <v>133</v>
      </c>
      <c r="O5" s="3" t="s">
        <v>133</v>
      </c>
      <c r="P5" s="3" t="s">
        <v>133</v>
      </c>
      <c r="Q5" s="3" t="s">
        <v>133</v>
      </c>
      <c r="R5" s="3" t="s">
        <v>133</v>
      </c>
      <c r="S5" s="3" t="s">
        <v>133</v>
      </c>
      <c r="T5" s="3" t="s">
        <v>133</v>
      </c>
      <c r="U5" s="3" t="s">
        <v>133</v>
      </c>
      <c r="V5" s="3" t="s">
        <v>133</v>
      </c>
      <c r="W5" s="3" t="s">
        <v>133</v>
      </c>
      <c r="X5" s="3" t="s">
        <v>133</v>
      </c>
      <c r="Y5" s="3" t="s">
        <v>133</v>
      </c>
      <c r="Z5" s="3" t="s">
        <v>133</v>
      </c>
      <c r="AA5" s="3" t="s">
        <v>133</v>
      </c>
      <c r="AB5" s="3" t="s">
        <v>133</v>
      </c>
      <c r="AC5" s="3" t="s">
        <v>133</v>
      </c>
      <c r="AD5" s="3" t="s">
        <v>133</v>
      </c>
      <c r="AE5" s="3" t="s">
        <v>133</v>
      </c>
      <c r="AF5" s="3" t="s">
        <v>133</v>
      </c>
      <c r="AG5" s="3" t="s">
        <v>133</v>
      </c>
      <c r="AH5" s="3" t="s">
        <v>133</v>
      </c>
      <c r="AI5" s="3" t="s">
        <v>133</v>
      </c>
      <c r="AJ5" s="3" t="s">
        <v>133</v>
      </c>
      <c r="AK5" s="3" t="s">
        <v>133</v>
      </c>
      <c r="AL5" s="3" t="s">
        <v>133</v>
      </c>
      <c r="AM5" s="3" t="s">
        <v>133</v>
      </c>
      <c r="AN5" s="3" t="s">
        <v>133</v>
      </c>
      <c r="AO5" s="3" t="s">
        <v>133</v>
      </c>
      <c r="AP5" s="3" t="s">
        <v>133</v>
      </c>
      <c r="AQ5" s="3" t="s">
        <v>133</v>
      </c>
      <c r="AR5" s="3" t="s">
        <v>133</v>
      </c>
      <c r="AS5" s="3" t="s">
        <v>133</v>
      </c>
      <c r="AT5" s="3" t="s">
        <v>133</v>
      </c>
      <c r="AU5" s="3" t="s">
        <v>133</v>
      </c>
      <c r="AV5" s="3" t="s">
        <v>133</v>
      </c>
      <c r="AW5" s="3" t="s">
        <v>133</v>
      </c>
      <c r="AX5" s="3" t="s">
        <v>133</v>
      </c>
      <c r="AY5" s="3" t="s">
        <v>133</v>
      </c>
      <c r="AZ5" s="3" t="s">
        <v>133</v>
      </c>
      <c r="BA5" s="3" t="s">
        <v>133</v>
      </c>
      <c r="BB5" s="3" t="s">
        <v>133</v>
      </c>
      <c r="BC5" s="3" t="s">
        <v>133</v>
      </c>
      <c r="BD5" s="3" t="s">
        <v>133</v>
      </c>
      <c r="BE5" s="3" t="s">
        <v>133</v>
      </c>
      <c r="BF5" s="3">
        <v>216200</v>
      </c>
      <c r="BG5" s="3" t="s">
        <v>133</v>
      </c>
      <c r="BH5" s="3" t="s">
        <v>133</v>
      </c>
      <c r="BI5" s="3">
        <v>50028400</v>
      </c>
      <c r="BJ5" s="3" t="s">
        <v>133</v>
      </c>
      <c r="BK5" s="3">
        <v>72800</v>
      </c>
      <c r="BL5" s="3">
        <v>455900</v>
      </c>
      <c r="BM5" s="3" t="s">
        <v>133</v>
      </c>
      <c r="BN5" s="3" t="s">
        <v>133</v>
      </c>
      <c r="BO5" s="3" t="s">
        <v>133</v>
      </c>
      <c r="BP5" s="3" t="s">
        <v>133</v>
      </c>
      <c r="BQ5" s="3">
        <v>80816000</v>
      </c>
      <c r="BR5" s="3" t="s">
        <v>133</v>
      </c>
      <c r="BS5" s="3" t="s">
        <v>133</v>
      </c>
      <c r="BT5" s="3" t="s">
        <v>133</v>
      </c>
    </row>
    <row r="6" spans="1:72" x14ac:dyDescent="0.25">
      <c r="A6" s="3" t="s">
        <v>167</v>
      </c>
      <c r="B6" s="3">
        <v>40019600</v>
      </c>
      <c r="C6" s="3">
        <v>36657700</v>
      </c>
      <c r="D6" s="3">
        <v>50194800</v>
      </c>
      <c r="E6" s="3">
        <v>15136800</v>
      </c>
      <c r="F6" s="3">
        <v>31886800</v>
      </c>
      <c r="G6" s="3">
        <v>1081741200</v>
      </c>
      <c r="H6" s="3">
        <v>105317000</v>
      </c>
      <c r="I6" s="3">
        <v>27454300</v>
      </c>
      <c r="J6" s="3">
        <v>105537700</v>
      </c>
      <c r="K6" s="3">
        <v>-18600500</v>
      </c>
      <c r="L6" s="3">
        <v>507166800</v>
      </c>
      <c r="M6" s="3">
        <v>-36891200</v>
      </c>
      <c r="N6" s="3">
        <v>145782300</v>
      </c>
      <c r="O6" s="3">
        <v>173279600</v>
      </c>
      <c r="P6" s="3">
        <v>259991400</v>
      </c>
      <c r="Q6" s="3">
        <v>138386000</v>
      </c>
      <c r="R6" s="3">
        <v>11062200</v>
      </c>
      <c r="S6" s="3">
        <v>13983800</v>
      </c>
      <c r="T6" s="3">
        <v>25710700</v>
      </c>
      <c r="U6" s="3">
        <v>17053800</v>
      </c>
      <c r="V6" s="3">
        <v>74301100</v>
      </c>
      <c r="W6" s="3">
        <v>36451400</v>
      </c>
      <c r="X6" s="3">
        <v>25840900</v>
      </c>
      <c r="Y6" s="3">
        <v>-22425700</v>
      </c>
      <c r="Z6" s="3">
        <v>79741100</v>
      </c>
      <c r="AA6" s="3">
        <v>47179900</v>
      </c>
      <c r="AB6" s="3">
        <v>195234100</v>
      </c>
      <c r="AC6" s="3">
        <v>193315800</v>
      </c>
      <c r="AD6" s="3">
        <v>109696500</v>
      </c>
      <c r="AE6" s="3">
        <v>66278700</v>
      </c>
      <c r="AF6" s="3">
        <v>216075800</v>
      </c>
      <c r="AG6" s="3">
        <v>120480800</v>
      </c>
      <c r="AH6" s="3">
        <v>75656900</v>
      </c>
      <c r="AI6" s="3">
        <v>23034100</v>
      </c>
      <c r="AJ6" s="3">
        <v>168499400</v>
      </c>
      <c r="AK6" s="3">
        <v>83761900</v>
      </c>
      <c r="AL6" s="3">
        <v>21320400</v>
      </c>
      <c r="AM6" s="3">
        <v>18319200</v>
      </c>
      <c r="AN6" s="3">
        <v>58272700</v>
      </c>
      <c r="AO6" s="3">
        <v>74163700</v>
      </c>
      <c r="AP6" s="3">
        <v>12270300</v>
      </c>
      <c r="AQ6" s="3">
        <v>3567800</v>
      </c>
      <c r="AR6" s="3">
        <v>48194900</v>
      </c>
      <c r="AS6" s="3">
        <v>79327600</v>
      </c>
      <c r="AT6" s="3">
        <v>2868300</v>
      </c>
      <c r="AU6" s="3">
        <v>10655300</v>
      </c>
      <c r="AV6" s="3">
        <v>93036900</v>
      </c>
      <c r="AW6" s="3">
        <v>30450700</v>
      </c>
      <c r="AX6" s="3">
        <v>20631000</v>
      </c>
      <c r="AY6" s="3">
        <v>21140000</v>
      </c>
      <c r="AZ6" s="3">
        <v>170134100</v>
      </c>
      <c r="BA6" s="3">
        <v>46778400</v>
      </c>
      <c r="BB6" s="3">
        <v>589500</v>
      </c>
      <c r="BC6" s="3">
        <v>11992300</v>
      </c>
      <c r="BD6" s="3">
        <v>36324600</v>
      </c>
      <c r="BE6" s="3">
        <v>15012400</v>
      </c>
      <c r="BF6" s="3">
        <v>-12695800</v>
      </c>
      <c r="BG6" s="3">
        <v>37061500</v>
      </c>
      <c r="BH6" s="3">
        <v>3466800</v>
      </c>
      <c r="BI6" s="3">
        <v>-1784200</v>
      </c>
      <c r="BJ6" s="3">
        <v>2840800</v>
      </c>
      <c r="BK6" s="3">
        <v>6454500</v>
      </c>
      <c r="BL6" s="3">
        <v>8576600</v>
      </c>
      <c r="BM6" s="3">
        <v>23332400</v>
      </c>
      <c r="BN6" s="3">
        <v>10761700</v>
      </c>
      <c r="BO6" s="3">
        <v>5598500</v>
      </c>
      <c r="BP6" s="3">
        <v>7883600</v>
      </c>
      <c r="BQ6" s="3">
        <v>14695300</v>
      </c>
      <c r="BR6" s="3">
        <v>21425900</v>
      </c>
      <c r="BS6" s="3">
        <v>7081400</v>
      </c>
      <c r="BT6" s="3">
        <v>1706600</v>
      </c>
    </row>
    <row r="7" spans="1:72" x14ac:dyDescent="0.25">
      <c r="A7" s="3" t="s">
        <v>168</v>
      </c>
      <c r="B7" s="3">
        <v>26441532200</v>
      </c>
      <c r="C7" s="3">
        <v>26970566800</v>
      </c>
      <c r="D7" s="3">
        <v>19618049900</v>
      </c>
      <c r="E7" s="3">
        <v>29996633800</v>
      </c>
      <c r="F7" s="3">
        <v>11196141100</v>
      </c>
      <c r="G7" s="3">
        <v>34800637500</v>
      </c>
      <c r="H7" s="3">
        <v>23451024600</v>
      </c>
      <c r="I7" s="3">
        <v>20319036300</v>
      </c>
      <c r="J7" s="3">
        <v>29681944400</v>
      </c>
      <c r="K7" s="3">
        <v>20942470900</v>
      </c>
      <c r="L7" s="3">
        <v>18402183800</v>
      </c>
      <c r="M7" s="3">
        <v>14867105300</v>
      </c>
      <c r="N7" s="3">
        <v>24648304800</v>
      </c>
      <c r="O7" s="3">
        <v>9919401300</v>
      </c>
      <c r="P7" s="3">
        <v>17934651100</v>
      </c>
      <c r="Q7" s="3">
        <v>13452674400</v>
      </c>
      <c r="R7" s="3">
        <v>25752276500</v>
      </c>
      <c r="S7" s="3">
        <v>11345955200</v>
      </c>
      <c r="T7" s="3">
        <v>16728239600</v>
      </c>
      <c r="U7" s="3">
        <v>12462923900</v>
      </c>
      <c r="V7" s="3">
        <v>11036450300</v>
      </c>
      <c r="W7" s="3">
        <v>7155703300</v>
      </c>
      <c r="X7" s="3">
        <v>9358829300</v>
      </c>
      <c r="Y7" s="3">
        <v>11369643900</v>
      </c>
      <c r="Z7" s="3">
        <v>8158561900</v>
      </c>
      <c r="AA7" s="3">
        <v>8735586200</v>
      </c>
      <c r="AB7" s="3">
        <v>7224057700</v>
      </c>
      <c r="AC7" s="3">
        <v>10772639700</v>
      </c>
      <c r="AD7" s="3">
        <v>10467914300</v>
      </c>
      <c r="AE7" s="3">
        <v>9095737100</v>
      </c>
      <c r="AF7" s="3">
        <v>6376833900</v>
      </c>
      <c r="AG7" s="3">
        <v>9205928200</v>
      </c>
      <c r="AH7" s="3">
        <v>7366855700</v>
      </c>
      <c r="AI7" s="3">
        <v>6792668400</v>
      </c>
      <c r="AJ7" s="3">
        <v>5934586600</v>
      </c>
      <c r="AK7" s="3">
        <v>5719263500</v>
      </c>
      <c r="AL7" s="3">
        <v>6498481900</v>
      </c>
      <c r="AM7" s="3">
        <v>5020623800</v>
      </c>
      <c r="AN7" s="3">
        <v>6602436400</v>
      </c>
      <c r="AO7" s="3">
        <v>4273828200</v>
      </c>
      <c r="AP7" s="3">
        <v>4390701200</v>
      </c>
      <c r="AQ7" s="3">
        <v>3290530700</v>
      </c>
      <c r="AR7" s="3">
        <v>3121899600</v>
      </c>
      <c r="AS7" s="3">
        <v>4375848900</v>
      </c>
      <c r="AT7" s="3">
        <v>3263938900</v>
      </c>
      <c r="AU7" s="3">
        <v>2338541900</v>
      </c>
      <c r="AV7" s="3">
        <v>1963802100</v>
      </c>
      <c r="AW7" s="3">
        <v>3899823700</v>
      </c>
      <c r="AX7" s="3">
        <v>2857499800</v>
      </c>
      <c r="AY7" s="3">
        <v>2030079900</v>
      </c>
      <c r="AZ7" s="3">
        <v>2730183000</v>
      </c>
      <c r="BA7" s="3">
        <v>2183360000</v>
      </c>
      <c r="BB7" s="3">
        <v>1916076100</v>
      </c>
      <c r="BC7" s="3">
        <v>1436129300</v>
      </c>
      <c r="BD7" s="3">
        <v>1997873500</v>
      </c>
      <c r="BE7" s="3">
        <v>1715211900</v>
      </c>
      <c r="BF7" s="3">
        <v>1706550700</v>
      </c>
      <c r="BG7" s="3">
        <v>1163232700</v>
      </c>
      <c r="BH7" s="3">
        <v>1619464200</v>
      </c>
      <c r="BI7" s="3">
        <v>1706018500</v>
      </c>
      <c r="BJ7" s="3">
        <v>1245428900</v>
      </c>
      <c r="BK7" s="3">
        <v>822279800</v>
      </c>
      <c r="BL7" s="3">
        <v>1269586300</v>
      </c>
      <c r="BM7" s="3">
        <v>1322009900</v>
      </c>
      <c r="BN7" s="3">
        <v>1021520400</v>
      </c>
      <c r="BO7" s="3">
        <v>640513700</v>
      </c>
      <c r="BP7" s="3">
        <v>833264400</v>
      </c>
      <c r="BQ7" s="3">
        <v>1072438500</v>
      </c>
      <c r="BR7" s="3">
        <v>949869600</v>
      </c>
      <c r="BS7" s="3">
        <v>532667300</v>
      </c>
      <c r="BT7" s="3">
        <v>629139500</v>
      </c>
    </row>
    <row r="8" spans="1:72" x14ac:dyDescent="0.25">
      <c r="A8" s="3" t="s">
        <v>169</v>
      </c>
      <c r="B8" s="3">
        <v>2179428100</v>
      </c>
      <c r="C8" s="3">
        <v>1838503800</v>
      </c>
      <c r="D8" s="3">
        <v>1544584400</v>
      </c>
      <c r="E8" s="3">
        <v>1431440800</v>
      </c>
      <c r="F8" s="3">
        <v>1299261000</v>
      </c>
      <c r="G8" s="3">
        <v>1024757800</v>
      </c>
      <c r="H8" s="3">
        <v>1766489100</v>
      </c>
      <c r="I8" s="3">
        <v>1622161900</v>
      </c>
      <c r="J8" s="3">
        <v>1399720400</v>
      </c>
      <c r="K8" s="3">
        <v>935248100</v>
      </c>
      <c r="L8" s="3">
        <v>1341387600</v>
      </c>
      <c r="M8" s="3">
        <v>1489895500</v>
      </c>
      <c r="N8" s="3">
        <v>1240129100</v>
      </c>
      <c r="O8" s="3">
        <v>806127200</v>
      </c>
      <c r="P8" s="3">
        <v>1339616800</v>
      </c>
      <c r="Q8" s="3">
        <v>1082962600</v>
      </c>
      <c r="R8" s="3">
        <v>385740200</v>
      </c>
      <c r="S8" s="3">
        <v>430123100</v>
      </c>
      <c r="T8" s="3">
        <v>874194600</v>
      </c>
      <c r="U8" s="3">
        <v>664315800</v>
      </c>
      <c r="V8" s="3">
        <v>663754900</v>
      </c>
      <c r="W8" s="3">
        <v>618652500</v>
      </c>
      <c r="X8" s="3">
        <v>1021009300</v>
      </c>
      <c r="Y8" s="3">
        <v>785336100</v>
      </c>
      <c r="Z8" s="3">
        <v>596214200</v>
      </c>
      <c r="AA8" s="3">
        <v>525279800</v>
      </c>
      <c r="AB8" s="3">
        <v>931198200</v>
      </c>
      <c r="AC8" s="3">
        <v>1181093300</v>
      </c>
      <c r="AD8" s="3">
        <v>721265600</v>
      </c>
      <c r="AE8" s="3">
        <v>537187700</v>
      </c>
      <c r="AF8" s="3">
        <v>712762300</v>
      </c>
      <c r="AG8" s="3">
        <v>1120050800</v>
      </c>
      <c r="AH8" s="3">
        <v>509447900</v>
      </c>
      <c r="AI8" s="3">
        <v>583092000</v>
      </c>
      <c r="AJ8" s="3">
        <v>494802900</v>
      </c>
      <c r="AK8" s="3">
        <v>871387200</v>
      </c>
      <c r="AL8" s="3">
        <v>451721400</v>
      </c>
      <c r="AM8" s="3">
        <v>374484000</v>
      </c>
      <c r="AN8" s="3">
        <v>656095100</v>
      </c>
      <c r="AO8" s="3">
        <v>603824400</v>
      </c>
      <c r="AP8" s="3">
        <v>383625100</v>
      </c>
      <c r="AQ8" s="3">
        <v>330411500</v>
      </c>
      <c r="AR8" s="3">
        <v>351943200</v>
      </c>
      <c r="AS8" s="3">
        <v>634775000</v>
      </c>
      <c r="AT8" s="3">
        <v>354560500</v>
      </c>
      <c r="AU8" s="3">
        <v>272010900</v>
      </c>
      <c r="AV8" s="3">
        <v>295729600</v>
      </c>
      <c r="AW8" s="3">
        <v>420222600</v>
      </c>
      <c r="AX8" s="3">
        <v>264706700</v>
      </c>
      <c r="AY8" s="3">
        <v>247297900</v>
      </c>
      <c r="AZ8" s="3">
        <v>282490600</v>
      </c>
      <c r="BA8" s="3">
        <v>321310200</v>
      </c>
      <c r="BB8" s="3">
        <v>210010200</v>
      </c>
      <c r="BC8" s="3">
        <v>254759100</v>
      </c>
      <c r="BD8" s="3">
        <v>312227400</v>
      </c>
      <c r="BE8" s="3">
        <v>291066000</v>
      </c>
      <c r="BF8" s="3">
        <v>129499100</v>
      </c>
      <c r="BG8" s="3">
        <v>144360700</v>
      </c>
      <c r="BH8" s="3">
        <v>242178400</v>
      </c>
      <c r="BI8" s="3">
        <v>557855600</v>
      </c>
      <c r="BJ8" s="3">
        <v>17419700</v>
      </c>
      <c r="BK8" s="3">
        <v>232494600</v>
      </c>
      <c r="BL8" s="3">
        <v>142994900</v>
      </c>
      <c r="BM8" s="3">
        <v>291398300</v>
      </c>
      <c r="BN8" s="3">
        <v>227127700</v>
      </c>
      <c r="BO8" s="3">
        <v>87372500</v>
      </c>
      <c r="BP8" s="3">
        <v>258467400</v>
      </c>
      <c r="BQ8" s="3">
        <v>225841700</v>
      </c>
      <c r="BR8" s="3">
        <v>99757300</v>
      </c>
      <c r="BS8" s="3">
        <v>224338000</v>
      </c>
      <c r="BT8" s="3">
        <v>88592900</v>
      </c>
    </row>
    <row r="9" spans="1:72" x14ac:dyDescent="0.25">
      <c r="A9" s="3" t="s">
        <v>170</v>
      </c>
      <c r="B9" s="3">
        <v>1435547800</v>
      </c>
      <c r="C9" s="3">
        <v>1505959600</v>
      </c>
      <c r="D9" s="3">
        <v>3663093000</v>
      </c>
      <c r="E9" s="3">
        <v>1668995500</v>
      </c>
      <c r="F9" s="3">
        <v>1423489900</v>
      </c>
      <c r="G9" s="3">
        <v>1345809700</v>
      </c>
      <c r="H9" s="3">
        <v>3231567900</v>
      </c>
      <c r="I9" s="3">
        <v>1536944400</v>
      </c>
      <c r="J9" s="3">
        <v>1144166300</v>
      </c>
      <c r="K9" s="3">
        <v>1611905600</v>
      </c>
      <c r="L9" s="3">
        <v>2360121400</v>
      </c>
      <c r="M9" s="3">
        <v>1078384800</v>
      </c>
      <c r="N9" s="3">
        <v>1005917800</v>
      </c>
      <c r="O9" s="3">
        <v>1031028800</v>
      </c>
      <c r="P9" s="3">
        <v>2374274700</v>
      </c>
      <c r="Q9" s="3">
        <v>972019100</v>
      </c>
      <c r="R9" s="3">
        <v>1003563600</v>
      </c>
      <c r="S9" s="3">
        <v>1081549400</v>
      </c>
      <c r="T9" s="3">
        <v>1617022200</v>
      </c>
      <c r="U9" s="3">
        <v>1044489100</v>
      </c>
      <c r="V9" s="3">
        <v>873435800</v>
      </c>
      <c r="W9" s="3">
        <v>950266500</v>
      </c>
      <c r="X9" s="3">
        <v>1668686000</v>
      </c>
      <c r="Y9" s="3">
        <v>779426200</v>
      </c>
      <c r="Z9" s="3">
        <v>966720800</v>
      </c>
      <c r="AA9" s="3">
        <v>719987000</v>
      </c>
      <c r="AB9" s="3">
        <v>927475800</v>
      </c>
      <c r="AC9" s="3">
        <v>1340851800</v>
      </c>
      <c r="AD9" s="3">
        <v>582561100</v>
      </c>
      <c r="AE9" s="3">
        <v>693021100</v>
      </c>
      <c r="AF9" s="3">
        <v>519174100</v>
      </c>
      <c r="AG9" s="3">
        <v>1134774500</v>
      </c>
      <c r="AH9" s="3">
        <v>392849200</v>
      </c>
      <c r="AI9" s="3">
        <v>467795200</v>
      </c>
      <c r="AJ9" s="3">
        <v>958500100</v>
      </c>
      <c r="AK9" s="3">
        <v>550266300</v>
      </c>
      <c r="AL9" s="3">
        <v>380938300</v>
      </c>
      <c r="AM9" s="3">
        <v>451390700</v>
      </c>
      <c r="AN9" s="3">
        <v>542976600</v>
      </c>
      <c r="AO9" s="3">
        <v>401058900</v>
      </c>
      <c r="AP9" s="3">
        <v>264262400</v>
      </c>
      <c r="AQ9" s="3">
        <v>298196200</v>
      </c>
      <c r="AR9" s="3">
        <v>529296000</v>
      </c>
      <c r="AS9" s="3">
        <v>330660600</v>
      </c>
      <c r="AT9" s="3">
        <v>243271000</v>
      </c>
      <c r="AU9" s="3">
        <v>193962600</v>
      </c>
      <c r="AV9" s="3">
        <v>461410900</v>
      </c>
      <c r="AW9" s="3">
        <v>251124600</v>
      </c>
      <c r="AX9" s="3">
        <v>166478700</v>
      </c>
      <c r="AY9" s="3">
        <v>160105700</v>
      </c>
      <c r="AZ9" s="3">
        <v>231677900</v>
      </c>
      <c r="BA9" s="3">
        <v>198269800</v>
      </c>
      <c r="BB9" s="3">
        <v>116380100</v>
      </c>
      <c r="BC9" s="3">
        <v>124074300</v>
      </c>
      <c r="BD9" s="3">
        <v>184609700</v>
      </c>
      <c r="BE9" s="3">
        <v>148883000</v>
      </c>
      <c r="BF9" s="3">
        <v>78458000</v>
      </c>
      <c r="BG9" s="3">
        <v>50185000</v>
      </c>
      <c r="BH9" s="3">
        <v>127524700</v>
      </c>
      <c r="BI9" s="3">
        <v>83402400</v>
      </c>
      <c r="BJ9" s="3">
        <v>40268100</v>
      </c>
      <c r="BK9" s="3">
        <v>39182200</v>
      </c>
      <c r="BL9" s="3">
        <v>87945200</v>
      </c>
      <c r="BM9" s="3">
        <v>38317100</v>
      </c>
      <c r="BN9" s="3">
        <v>21103900</v>
      </c>
      <c r="BO9" s="3">
        <v>68192500</v>
      </c>
      <c r="BP9" s="3">
        <v>32225300</v>
      </c>
      <c r="BQ9" s="3">
        <v>89604300</v>
      </c>
      <c r="BR9" s="3">
        <v>39272500</v>
      </c>
      <c r="BS9" s="3">
        <v>33811000</v>
      </c>
      <c r="BT9" s="3">
        <v>43095000</v>
      </c>
    </row>
    <row r="10" spans="1:72" x14ac:dyDescent="0.25">
      <c r="A10" s="3" t="s">
        <v>171</v>
      </c>
      <c r="B10" s="3">
        <v>9992678158.7399998</v>
      </c>
      <c r="C10" s="3">
        <v>9811952122.4300003</v>
      </c>
      <c r="D10" s="3">
        <v>13413959049.77</v>
      </c>
      <c r="E10" s="3">
        <v>7299700032.8999996</v>
      </c>
      <c r="F10" s="3">
        <v>8141789304.25</v>
      </c>
      <c r="G10" s="3">
        <v>7123192806.1499996</v>
      </c>
      <c r="H10" s="3">
        <v>17276670612.119999</v>
      </c>
      <c r="I10" s="3">
        <v>4453266913.0799999</v>
      </c>
      <c r="J10" s="3">
        <v>6069262198.4200001</v>
      </c>
      <c r="K10" s="3">
        <v>7477625255.5699997</v>
      </c>
      <c r="L10" s="3">
        <v>14032023758.85</v>
      </c>
      <c r="M10" s="3">
        <v>4005920251.6900001</v>
      </c>
      <c r="N10" s="3">
        <v>5775340485.4799995</v>
      </c>
      <c r="O10" s="3">
        <v>5807783987.2200003</v>
      </c>
      <c r="P10" s="3">
        <v>7476603778.6599998</v>
      </c>
      <c r="Q10" s="3">
        <v>4593774253.4899998</v>
      </c>
      <c r="R10" s="3">
        <v>4053776418.7600002</v>
      </c>
      <c r="S10" s="3">
        <v>3691794305.0900002</v>
      </c>
      <c r="T10" s="3">
        <v>5171171353.8599997</v>
      </c>
      <c r="U10" s="3">
        <v>3866576394.77</v>
      </c>
      <c r="V10" s="3">
        <v>2686988096.6500001</v>
      </c>
      <c r="W10" s="3">
        <v>3083574127.7600002</v>
      </c>
      <c r="X10" s="3">
        <v>4365910314.0299997</v>
      </c>
      <c r="Y10" s="3">
        <v>3576480411.79</v>
      </c>
      <c r="Z10" s="3">
        <v>3373370583.0700002</v>
      </c>
      <c r="AA10" s="3">
        <v>3161724869.9299998</v>
      </c>
      <c r="AB10" s="3">
        <v>4384874947.6199999</v>
      </c>
      <c r="AC10" s="3">
        <v>3124604395.4400001</v>
      </c>
      <c r="AD10" s="3">
        <v>3030844677.73</v>
      </c>
      <c r="AE10" s="3">
        <v>2791036445.21</v>
      </c>
      <c r="AF10" s="3">
        <v>3586865460.8299999</v>
      </c>
      <c r="AG10" s="3">
        <v>2297340695.46</v>
      </c>
      <c r="AH10" s="3">
        <v>2723985918.4699998</v>
      </c>
      <c r="AI10" s="3">
        <v>2400163317.73</v>
      </c>
      <c r="AJ10" s="3">
        <v>2749350387.5599999</v>
      </c>
      <c r="AK10" s="3">
        <v>2747255990.3400002</v>
      </c>
      <c r="AL10" s="3">
        <v>1712104394.48</v>
      </c>
      <c r="AM10" s="3">
        <v>2050108606.5899999</v>
      </c>
      <c r="AN10" s="3">
        <v>1776810163.4300001</v>
      </c>
      <c r="AO10" s="3">
        <v>844532738.04999995</v>
      </c>
      <c r="AP10" s="3">
        <v>1266317706.53</v>
      </c>
      <c r="AQ10" s="3">
        <v>1541523400.4000001</v>
      </c>
      <c r="AR10" s="3">
        <v>1233363458.3900001</v>
      </c>
      <c r="AS10" s="3">
        <v>1071749973.9400001</v>
      </c>
      <c r="AT10" s="3">
        <v>935785254.98000002</v>
      </c>
      <c r="AU10" s="3">
        <v>1009408566.21</v>
      </c>
      <c r="AV10" s="3">
        <v>1143406307.3599999</v>
      </c>
      <c r="AW10" s="3">
        <v>907890092.98000002</v>
      </c>
      <c r="AX10" s="3">
        <v>714441699.12</v>
      </c>
      <c r="AY10" s="3">
        <v>1016740844.15</v>
      </c>
      <c r="AZ10" s="3">
        <v>1027796155.85</v>
      </c>
      <c r="BA10" s="3">
        <v>1284488559.5599999</v>
      </c>
      <c r="BB10" s="3">
        <v>660706744.07000005</v>
      </c>
      <c r="BC10" s="3">
        <v>676385941.14999998</v>
      </c>
      <c r="BD10" s="3">
        <v>980951193.45000005</v>
      </c>
      <c r="BE10" s="3">
        <v>541650455.57000005</v>
      </c>
      <c r="BF10" s="3">
        <v>481258159.06999999</v>
      </c>
      <c r="BG10" s="3">
        <v>509269895.39999998</v>
      </c>
      <c r="BH10" s="3">
        <v>858102495.55999994</v>
      </c>
      <c r="BI10" s="3">
        <v>355442369.97000003</v>
      </c>
      <c r="BJ10" s="3">
        <v>357984326.29000002</v>
      </c>
      <c r="BK10" s="3">
        <v>354519883.88999999</v>
      </c>
      <c r="BL10" s="3">
        <v>532790492.80000001</v>
      </c>
      <c r="BM10" s="3">
        <v>210020955.30000001</v>
      </c>
      <c r="BN10" s="3">
        <v>285002669.14999998</v>
      </c>
      <c r="BO10" s="3">
        <v>229050068.06999999</v>
      </c>
      <c r="BP10" s="3">
        <v>574275212.45000005</v>
      </c>
      <c r="BQ10" s="3">
        <v>107261605.73999999</v>
      </c>
      <c r="BR10" s="3">
        <v>226183461.12</v>
      </c>
      <c r="BS10" s="3">
        <v>256601394.66</v>
      </c>
      <c r="BT10" s="3">
        <v>395885115.44</v>
      </c>
    </row>
    <row r="11" spans="1:72" x14ac:dyDescent="0.25">
      <c r="A11" s="3" t="s">
        <v>172</v>
      </c>
      <c r="B11" s="3">
        <v>1300534600</v>
      </c>
      <c r="C11" s="3">
        <v>570652500</v>
      </c>
      <c r="D11" s="3">
        <v>1119744600</v>
      </c>
      <c r="E11" s="3">
        <v>1028588100</v>
      </c>
      <c r="F11" s="3">
        <v>1910065400</v>
      </c>
      <c r="G11" s="3">
        <v>1471343700</v>
      </c>
      <c r="H11" s="3">
        <v>905420000</v>
      </c>
      <c r="I11" s="3">
        <v>747353100</v>
      </c>
      <c r="J11" s="3">
        <v>1010270500</v>
      </c>
      <c r="K11" s="3">
        <v>600572700</v>
      </c>
      <c r="L11" s="3">
        <v>577570600</v>
      </c>
      <c r="M11" s="3">
        <v>994978000</v>
      </c>
      <c r="N11" s="3">
        <v>640420900</v>
      </c>
      <c r="O11" s="3">
        <v>766522100</v>
      </c>
      <c r="P11" s="3">
        <v>538375400</v>
      </c>
      <c r="Q11" s="3">
        <v>1218452900</v>
      </c>
      <c r="R11" s="3">
        <v>373671800</v>
      </c>
      <c r="S11" s="3">
        <v>277466500</v>
      </c>
      <c r="T11" s="3">
        <v>501895500</v>
      </c>
      <c r="U11" s="3">
        <v>460201000</v>
      </c>
      <c r="V11" s="3">
        <v>441014700</v>
      </c>
      <c r="W11" s="3">
        <v>306753300</v>
      </c>
      <c r="X11" s="3">
        <v>659473500</v>
      </c>
      <c r="Y11" s="3">
        <v>652970700</v>
      </c>
      <c r="Z11" s="3">
        <v>599972800</v>
      </c>
      <c r="AA11" s="3">
        <v>589868500</v>
      </c>
      <c r="AB11" s="3">
        <v>773929700</v>
      </c>
      <c r="AC11" s="3">
        <v>336119500</v>
      </c>
      <c r="AD11" s="3">
        <v>360326000</v>
      </c>
      <c r="AE11" s="3">
        <v>479654800</v>
      </c>
      <c r="AF11" s="3">
        <v>767803000</v>
      </c>
      <c r="AG11" s="3">
        <v>294016900</v>
      </c>
      <c r="AH11" s="3">
        <v>638716800</v>
      </c>
      <c r="AI11" s="3">
        <v>221409300</v>
      </c>
      <c r="AJ11" s="3">
        <v>392432100</v>
      </c>
      <c r="AK11" s="3">
        <v>428727200</v>
      </c>
      <c r="AL11" s="3">
        <v>254677600</v>
      </c>
      <c r="AM11" s="3">
        <v>227874500</v>
      </c>
      <c r="AN11" s="3">
        <v>215422600</v>
      </c>
      <c r="AO11" s="3">
        <v>187342600</v>
      </c>
      <c r="AP11" s="3">
        <v>278472100</v>
      </c>
      <c r="AQ11" s="3">
        <v>178788400</v>
      </c>
      <c r="AR11" s="3">
        <v>182525000</v>
      </c>
      <c r="AS11" s="3">
        <v>192268300</v>
      </c>
      <c r="AT11" s="3">
        <v>200968000</v>
      </c>
      <c r="AU11" s="3">
        <v>184207300</v>
      </c>
      <c r="AV11" s="3">
        <v>194020100</v>
      </c>
      <c r="AW11" s="3">
        <v>141703600</v>
      </c>
      <c r="AX11" s="3">
        <v>138948400</v>
      </c>
      <c r="AY11" s="3">
        <v>102941200</v>
      </c>
      <c r="AZ11" s="3">
        <v>195531300</v>
      </c>
      <c r="BA11" s="3">
        <v>184247500</v>
      </c>
      <c r="BB11" s="3">
        <v>66532800</v>
      </c>
      <c r="BC11" s="3">
        <v>75640000</v>
      </c>
      <c r="BD11" s="3">
        <v>139542100</v>
      </c>
      <c r="BE11" s="3">
        <v>112004600</v>
      </c>
      <c r="BF11" s="3">
        <v>121366100</v>
      </c>
      <c r="BG11" s="3">
        <v>88977500</v>
      </c>
      <c r="BH11" s="3">
        <v>166738600</v>
      </c>
      <c r="BI11" s="3">
        <v>-100669300</v>
      </c>
      <c r="BJ11" s="3">
        <v>382641200</v>
      </c>
      <c r="BK11" s="3">
        <v>1759700</v>
      </c>
      <c r="BL11" s="3">
        <v>263574700</v>
      </c>
      <c r="BM11" s="3">
        <v>179164200</v>
      </c>
      <c r="BN11" s="3">
        <v>77626400</v>
      </c>
      <c r="BO11" s="3">
        <v>112499800</v>
      </c>
      <c r="BP11" s="3">
        <v>149679900</v>
      </c>
      <c r="BQ11" s="3">
        <v>147403300</v>
      </c>
      <c r="BR11" s="3">
        <v>111311800</v>
      </c>
      <c r="BS11" s="3">
        <v>60995000</v>
      </c>
      <c r="BT11" s="3">
        <v>92454300</v>
      </c>
    </row>
    <row r="12" spans="1:72" x14ac:dyDescent="0.25">
      <c r="A12" s="3" t="s">
        <v>173</v>
      </c>
      <c r="B12" s="3">
        <v>13951492800</v>
      </c>
      <c r="C12" s="3">
        <v>16652712700</v>
      </c>
      <c r="D12" s="3">
        <v>17314940500</v>
      </c>
      <c r="E12" s="3">
        <v>12101423200</v>
      </c>
      <c r="F12" s="3">
        <v>7967659300</v>
      </c>
      <c r="G12" s="3">
        <v>11902927500</v>
      </c>
      <c r="H12" s="3">
        <v>22261814600</v>
      </c>
      <c r="I12" s="3">
        <v>7155087800</v>
      </c>
      <c r="J12" s="3">
        <v>19195689400</v>
      </c>
      <c r="K12" s="3">
        <v>8142940700</v>
      </c>
      <c r="L12" s="3">
        <v>13466683000</v>
      </c>
      <c r="M12" s="3">
        <v>15500836400</v>
      </c>
      <c r="N12" s="3">
        <v>8796898000</v>
      </c>
      <c r="O12" s="3">
        <v>9093015900</v>
      </c>
      <c r="P12" s="3">
        <v>11825676000</v>
      </c>
      <c r="Q12" s="3">
        <v>8536757400</v>
      </c>
      <c r="R12" s="3">
        <v>6820906100</v>
      </c>
      <c r="S12" s="3">
        <v>5178037300</v>
      </c>
      <c r="T12" s="3">
        <v>9292195200</v>
      </c>
      <c r="U12" s="3">
        <v>6449977100</v>
      </c>
      <c r="V12" s="3">
        <v>4514745300</v>
      </c>
      <c r="W12" s="3">
        <v>4365648600</v>
      </c>
      <c r="X12" s="3">
        <v>7247195700</v>
      </c>
      <c r="Y12" s="3">
        <v>6416518700</v>
      </c>
      <c r="Z12" s="3">
        <v>4767908000</v>
      </c>
      <c r="AA12" s="3">
        <v>4620758500</v>
      </c>
      <c r="AB12" s="3">
        <v>7050142000</v>
      </c>
      <c r="AC12" s="3">
        <v>7362732800</v>
      </c>
      <c r="AD12" s="3">
        <v>6437820900</v>
      </c>
      <c r="AE12" s="3">
        <v>4670941500</v>
      </c>
      <c r="AF12" s="3">
        <v>5586605000</v>
      </c>
      <c r="AG12" s="3">
        <v>4846182900</v>
      </c>
      <c r="AH12" s="3">
        <v>4264999900</v>
      </c>
      <c r="AI12" s="3">
        <v>3672459900</v>
      </c>
      <c r="AJ12" s="3">
        <v>4595085600</v>
      </c>
      <c r="AK12" s="3">
        <v>4597636800</v>
      </c>
      <c r="AL12" s="3">
        <v>2799441700</v>
      </c>
      <c r="AM12" s="3">
        <v>3103857900</v>
      </c>
      <c r="AN12" s="3">
        <v>3191304400</v>
      </c>
      <c r="AO12" s="3">
        <v>2036758600</v>
      </c>
      <c r="AP12" s="3">
        <v>2192677400</v>
      </c>
      <c r="AQ12" s="3">
        <v>2348919500</v>
      </c>
      <c r="AR12" s="3">
        <v>2297127700</v>
      </c>
      <c r="AS12" s="3">
        <v>2229453800</v>
      </c>
      <c r="AT12" s="3">
        <v>1734584700</v>
      </c>
      <c r="AU12" s="3">
        <v>1659589300</v>
      </c>
      <c r="AV12" s="3">
        <v>2094566800</v>
      </c>
      <c r="AW12" s="3">
        <v>1720940800</v>
      </c>
      <c r="AX12" s="3">
        <v>1284575500</v>
      </c>
      <c r="AY12" s="3">
        <v>1527085700</v>
      </c>
      <c r="AZ12" s="3">
        <v>1737495900</v>
      </c>
      <c r="BA12" s="3">
        <v>1988316100</v>
      </c>
      <c r="BB12" s="3">
        <v>1053629900</v>
      </c>
      <c r="BC12" s="3">
        <v>1130859400</v>
      </c>
      <c r="BD12" s="3">
        <v>1617330400</v>
      </c>
      <c r="BE12" s="3">
        <v>1093604000</v>
      </c>
      <c r="BF12" s="3">
        <v>810581300</v>
      </c>
      <c r="BG12" s="3">
        <v>792793100</v>
      </c>
      <c r="BH12" s="3">
        <v>1394544100</v>
      </c>
      <c r="BI12" s="3">
        <v>896031100</v>
      </c>
      <c r="BJ12" s="3">
        <v>798313400</v>
      </c>
      <c r="BK12" s="3">
        <v>627956300</v>
      </c>
      <c r="BL12" s="3">
        <v>1027305200</v>
      </c>
      <c r="BM12" s="3">
        <v>718900600</v>
      </c>
      <c r="BN12" s="3">
        <v>610860700</v>
      </c>
      <c r="BO12" s="3">
        <v>497114800</v>
      </c>
      <c r="BP12" s="3">
        <v>1014647800</v>
      </c>
      <c r="BQ12" s="3">
        <v>570110900</v>
      </c>
      <c r="BR12" s="3">
        <v>476525000</v>
      </c>
      <c r="BS12" s="3">
        <v>575745400</v>
      </c>
      <c r="BT12" s="3">
        <v>620027300</v>
      </c>
    </row>
    <row r="13" spans="1:72" x14ac:dyDescent="0.25">
      <c r="A13" s="3" t="s">
        <v>17</v>
      </c>
      <c r="B13" s="3">
        <v>12490039400</v>
      </c>
      <c r="C13" s="3">
        <v>10317854100</v>
      </c>
      <c r="D13" s="3">
        <v>2303109400</v>
      </c>
      <c r="E13" s="3">
        <v>17895210700</v>
      </c>
      <c r="F13" s="3">
        <v>3228481800</v>
      </c>
      <c r="G13" s="3">
        <v>22897710100</v>
      </c>
      <c r="H13" s="3">
        <v>1189210100</v>
      </c>
      <c r="I13" s="3">
        <v>13163948500</v>
      </c>
      <c r="J13" s="3">
        <v>10486255000</v>
      </c>
      <c r="K13" s="3">
        <v>12799530300</v>
      </c>
      <c r="L13" s="3">
        <v>4935500700</v>
      </c>
      <c r="M13" s="3">
        <v>-633731100</v>
      </c>
      <c r="N13" s="3">
        <v>15851406800</v>
      </c>
      <c r="O13" s="3">
        <v>826385300</v>
      </c>
      <c r="P13" s="3">
        <v>6108975100</v>
      </c>
      <c r="Q13" s="3">
        <v>4915917000</v>
      </c>
      <c r="R13" s="3">
        <v>18931370300</v>
      </c>
      <c r="S13" s="3">
        <v>6167917900</v>
      </c>
      <c r="T13" s="3">
        <v>7436044300</v>
      </c>
      <c r="U13" s="3">
        <v>6012946800</v>
      </c>
      <c r="V13" s="3">
        <v>6521705000</v>
      </c>
      <c r="W13" s="3">
        <v>2790054700</v>
      </c>
      <c r="X13" s="3">
        <v>2111633600</v>
      </c>
      <c r="Y13" s="3">
        <v>4953125200</v>
      </c>
      <c r="Z13" s="3">
        <v>3390653900</v>
      </c>
      <c r="AA13" s="3">
        <v>4114827600</v>
      </c>
      <c r="AB13" s="3">
        <v>173915700</v>
      </c>
      <c r="AC13" s="3">
        <v>3409906900</v>
      </c>
      <c r="AD13" s="3">
        <v>4030093500</v>
      </c>
      <c r="AE13" s="3">
        <v>4424795600</v>
      </c>
      <c r="AF13" s="3">
        <v>790228900</v>
      </c>
      <c r="AG13" s="3">
        <v>4359745300</v>
      </c>
      <c r="AH13" s="3">
        <v>3101855800</v>
      </c>
      <c r="AI13" s="3">
        <v>3120208500</v>
      </c>
      <c r="AJ13" s="3">
        <v>1339501000</v>
      </c>
      <c r="AK13" s="3">
        <v>1121626700</v>
      </c>
      <c r="AL13" s="3">
        <v>3699040100</v>
      </c>
      <c r="AM13" s="3">
        <v>1916765900</v>
      </c>
      <c r="AN13" s="3">
        <v>3411131900</v>
      </c>
      <c r="AO13" s="3">
        <v>2237069600</v>
      </c>
      <c r="AP13" s="3">
        <v>2198023800</v>
      </c>
      <c r="AQ13" s="3">
        <v>941611200</v>
      </c>
      <c r="AR13" s="3">
        <v>824771900</v>
      </c>
      <c r="AS13" s="3">
        <v>2146395100</v>
      </c>
      <c r="AT13" s="3">
        <v>1529354300</v>
      </c>
      <c r="AU13" s="3">
        <v>678952500</v>
      </c>
      <c r="AV13" s="3">
        <v>-130764700</v>
      </c>
      <c r="AW13" s="3">
        <v>2178882800</v>
      </c>
      <c r="AX13" s="3">
        <v>1572924300</v>
      </c>
      <c r="AY13" s="3">
        <v>502994300</v>
      </c>
      <c r="AZ13" s="3">
        <v>992687200</v>
      </c>
      <c r="BA13" s="3">
        <v>195044000</v>
      </c>
      <c r="BB13" s="3">
        <v>862446200</v>
      </c>
      <c r="BC13" s="3">
        <v>305270000</v>
      </c>
      <c r="BD13" s="3">
        <v>380543100</v>
      </c>
      <c r="BE13" s="3">
        <v>621607800</v>
      </c>
      <c r="BF13" s="3">
        <v>895969400</v>
      </c>
      <c r="BG13" s="3">
        <v>370439600</v>
      </c>
      <c r="BH13" s="3">
        <v>224920100</v>
      </c>
      <c r="BI13" s="3">
        <v>809987400</v>
      </c>
      <c r="BJ13" s="3">
        <v>447115600</v>
      </c>
      <c r="BK13" s="3">
        <v>194323500</v>
      </c>
      <c r="BL13" s="3">
        <v>242281100</v>
      </c>
      <c r="BM13" s="3">
        <v>603109300</v>
      </c>
      <c r="BN13" s="3">
        <v>410659700</v>
      </c>
      <c r="BO13" s="3">
        <v>143398800</v>
      </c>
      <c r="BP13" s="3">
        <v>-181383400</v>
      </c>
      <c r="BQ13" s="3">
        <v>502327600</v>
      </c>
      <c r="BR13" s="3">
        <v>473344600</v>
      </c>
      <c r="BS13" s="3">
        <v>-43078100</v>
      </c>
      <c r="BT13" s="3">
        <v>9112200</v>
      </c>
    </row>
    <row r="14" spans="1:72" x14ac:dyDescent="0.25">
      <c r="A14" s="3" t="s">
        <v>174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</row>
    <row r="15" spans="1:72" x14ac:dyDescent="0.25">
      <c r="A15" s="3" t="s">
        <v>175</v>
      </c>
      <c r="B15" s="3" t="s">
        <v>133</v>
      </c>
      <c r="C15" s="3" t="s">
        <v>133</v>
      </c>
      <c r="D15" s="3" t="s">
        <v>133</v>
      </c>
      <c r="E15" s="3" t="s">
        <v>133</v>
      </c>
      <c r="F15" s="3" t="s">
        <v>133</v>
      </c>
      <c r="G15" s="3" t="s">
        <v>133</v>
      </c>
      <c r="H15" s="3" t="s">
        <v>133</v>
      </c>
      <c r="I15" s="3" t="s">
        <v>133</v>
      </c>
      <c r="J15" s="3" t="s">
        <v>133</v>
      </c>
      <c r="K15" s="3" t="s">
        <v>133</v>
      </c>
      <c r="L15" s="3" t="s">
        <v>133</v>
      </c>
      <c r="M15" s="3" t="s">
        <v>133</v>
      </c>
      <c r="N15" s="3" t="s">
        <v>133</v>
      </c>
      <c r="O15" s="3" t="s">
        <v>133</v>
      </c>
      <c r="P15" s="3" t="s">
        <v>133</v>
      </c>
      <c r="Q15" s="3" t="s">
        <v>133</v>
      </c>
      <c r="R15" s="3" t="s">
        <v>133</v>
      </c>
      <c r="S15" s="3" t="s">
        <v>133</v>
      </c>
      <c r="T15" s="3" t="s">
        <v>133</v>
      </c>
      <c r="U15" s="3">
        <v>50000</v>
      </c>
      <c r="V15" s="3">
        <v>50000000</v>
      </c>
      <c r="W15" s="3" t="s">
        <v>133</v>
      </c>
      <c r="X15" s="3">
        <v>10000000</v>
      </c>
      <c r="Y15" s="3" t="s">
        <v>133</v>
      </c>
      <c r="Z15" s="3" t="s">
        <v>133</v>
      </c>
      <c r="AA15" s="3" t="s">
        <v>133</v>
      </c>
      <c r="AB15" s="3" t="s">
        <v>133</v>
      </c>
      <c r="AC15" s="3" t="s">
        <v>133</v>
      </c>
      <c r="AD15" s="3" t="s">
        <v>133</v>
      </c>
      <c r="AE15" s="3" t="s">
        <v>133</v>
      </c>
      <c r="AF15" s="3" t="s">
        <v>133</v>
      </c>
      <c r="AG15" s="3" t="s">
        <v>133</v>
      </c>
      <c r="AH15" s="3" t="s">
        <v>133</v>
      </c>
      <c r="AI15" s="3" t="s">
        <v>133</v>
      </c>
      <c r="AJ15" s="3">
        <v>10000000</v>
      </c>
      <c r="AK15" s="3" t="s">
        <v>133</v>
      </c>
      <c r="AL15" s="3" t="s">
        <v>133</v>
      </c>
      <c r="AM15" s="3" t="s">
        <v>133</v>
      </c>
      <c r="AN15" s="3" t="s">
        <v>133</v>
      </c>
      <c r="AO15" s="3" t="s">
        <v>133</v>
      </c>
      <c r="AP15" s="3" t="s">
        <v>133</v>
      </c>
      <c r="AQ15" s="3" t="s">
        <v>133</v>
      </c>
      <c r="AR15" s="3">
        <v>17000000</v>
      </c>
      <c r="AS15" s="3" t="s">
        <v>133</v>
      </c>
      <c r="AT15" s="3" t="s">
        <v>133</v>
      </c>
      <c r="AU15" s="3" t="s">
        <v>133</v>
      </c>
      <c r="AV15" s="3" t="s">
        <v>133</v>
      </c>
      <c r="AW15" s="3" t="s">
        <v>133</v>
      </c>
      <c r="AX15" s="3" t="s">
        <v>133</v>
      </c>
      <c r="AY15" s="3" t="s">
        <v>133</v>
      </c>
      <c r="AZ15" s="3">
        <v>21000000</v>
      </c>
      <c r="BA15" s="3" t="s">
        <v>133</v>
      </c>
      <c r="BB15" s="3" t="s">
        <v>133</v>
      </c>
      <c r="BC15" s="3" t="s">
        <v>133</v>
      </c>
      <c r="BD15" s="3" t="s">
        <v>133</v>
      </c>
      <c r="BE15" s="3" t="s">
        <v>133</v>
      </c>
      <c r="BF15" s="3" t="s">
        <v>133</v>
      </c>
      <c r="BG15" s="3" t="s">
        <v>133</v>
      </c>
      <c r="BH15" s="3" t="s">
        <v>133</v>
      </c>
      <c r="BI15" s="3" t="s">
        <v>133</v>
      </c>
      <c r="BJ15" s="3" t="s">
        <v>133</v>
      </c>
      <c r="BK15" s="3" t="s">
        <v>133</v>
      </c>
      <c r="BL15" s="3" t="s">
        <v>133</v>
      </c>
      <c r="BM15" s="3" t="s">
        <v>133</v>
      </c>
      <c r="BN15" s="3" t="s">
        <v>133</v>
      </c>
      <c r="BO15" s="3" t="s">
        <v>133</v>
      </c>
      <c r="BP15" s="3" t="s">
        <v>133</v>
      </c>
      <c r="BQ15" s="3" t="s">
        <v>133</v>
      </c>
      <c r="BR15" s="3" t="s">
        <v>133</v>
      </c>
      <c r="BS15" s="3" t="s">
        <v>133</v>
      </c>
      <c r="BT15" s="3" t="s">
        <v>133</v>
      </c>
    </row>
    <row r="16" spans="1:72" x14ac:dyDescent="0.25">
      <c r="A16" s="3" t="s">
        <v>176</v>
      </c>
      <c r="B16" s="3" t="s">
        <v>133</v>
      </c>
      <c r="C16" s="3" t="s">
        <v>133</v>
      </c>
      <c r="D16" s="3" t="s">
        <v>133</v>
      </c>
      <c r="E16" s="3" t="s">
        <v>133</v>
      </c>
      <c r="F16" s="3" t="s">
        <v>133</v>
      </c>
      <c r="G16" s="3" t="s">
        <v>133</v>
      </c>
      <c r="H16" s="3" t="s">
        <v>133</v>
      </c>
      <c r="I16" s="3" t="s">
        <v>133</v>
      </c>
      <c r="J16" s="3" t="s">
        <v>133</v>
      </c>
      <c r="K16" s="3" t="s">
        <v>133</v>
      </c>
      <c r="L16" s="3" t="s">
        <v>133</v>
      </c>
      <c r="M16" s="3" t="s">
        <v>133</v>
      </c>
      <c r="N16" s="3" t="s">
        <v>133</v>
      </c>
      <c r="O16" s="3" t="s">
        <v>133</v>
      </c>
      <c r="P16" s="3" t="s">
        <v>133</v>
      </c>
      <c r="Q16" s="3" t="s">
        <v>133</v>
      </c>
      <c r="R16" s="3" t="s">
        <v>133</v>
      </c>
      <c r="S16" s="3" t="s">
        <v>133</v>
      </c>
      <c r="T16" s="3" t="s">
        <v>133</v>
      </c>
      <c r="U16" s="3">
        <v>300</v>
      </c>
      <c r="V16" s="3">
        <v>526800</v>
      </c>
      <c r="W16" s="3">
        <v>3010000</v>
      </c>
      <c r="X16" s="3">
        <v>332200</v>
      </c>
      <c r="Y16" s="3">
        <v>85300</v>
      </c>
      <c r="Z16" s="3" t="s">
        <v>133</v>
      </c>
      <c r="AA16" s="3" t="s">
        <v>133</v>
      </c>
      <c r="AB16" s="3" t="s">
        <v>133</v>
      </c>
      <c r="AC16" s="3" t="s">
        <v>133</v>
      </c>
      <c r="AD16" s="3" t="s">
        <v>133</v>
      </c>
      <c r="AE16" s="3" t="s">
        <v>133</v>
      </c>
      <c r="AF16" s="3" t="s">
        <v>133</v>
      </c>
      <c r="AG16" s="3" t="s">
        <v>133</v>
      </c>
      <c r="AH16" s="3" t="s">
        <v>133</v>
      </c>
      <c r="AI16" s="3">
        <v>3010000</v>
      </c>
      <c r="AJ16" s="3">
        <v>1119000</v>
      </c>
      <c r="AK16" s="3" t="s">
        <v>133</v>
      </c>
      <c r="AL16" s="3" t="s">
        <v>133</v>
      </c>
      <c r="AM16" s="3" t="s">
        <v>133</v>
      </c>
      <c r="AN16" s="3" t="s">
        <v>133</v>
      </c>
      <c r="AO16" s="3" t="s">
        <v>133</v>
      </c>
      <c r="AP16" s="3" t="s">
        <v>133</v>
      </c>
      <c r="AQ16" s="3">
        <v>2500</v>
      </c>
      <c r="AR16" s="3">
        <v>1728900</v>
      </c>
      <c r="AS16" s="3" t="s">
        <v>133</v>
      </c>
      <c r="AT16" s="3" t="s">
        <v>133</v>
      </c>
      <c r="AU16" s="3" t="s">
        <v>133</v>
      </c>
      <c r="AV16" s="3" t="s">
        <v>133</v>
      </c>
      <c r="AW16" s="3" t="s">
        <v>133</v>
      </c>
      <c r="AX16" s="3" t="s">
        <v>133</v>
      </c>
      <c r="AY16" s="3" t="s">
        <v>133</v>
      </c>
      <c r="AZ16" s="3">
        <v>2123100</v>
      </c>
      <c r="BA16" s="3" t="s">
        <v>133</v>
      </c>
      <c r="BB16" s="3" t="s">
        <v>133</v>
      </c>
      <c r="BC16" s="3" t="s">
        <v>133</v>
      </c>
      <c r="BD16" s="3" t="s">
        <v>133</v>
      </c>
      <c r="BE16" s="3" t="s">
        <v>133</v>
      </c>
      <c r="BF16" s="3" t="s">
        <v>133</v>
      </c>
      <c r="BG16" s="3" t="s">
        <v>133</v>
      </c>
      <c r="BH16" s="3" t="s">
        <v>133</v>
      </c>
      <c r="BI16" s="3" t="s">
        <v>133</v>
      </c>
      <c r="BJ16" s="3" t="s">
        <v>133</v>
      </c>
      <c r="BK16" s="3" t="s">
        <v>133</v>
      </c>
      <c r="BL16" s="3" t="s">
        <v>133</v>
      </c>
      <c r="BM16" s="3" t="s">
        <v>133</v>
      </c>
      <c r="BN16" s="3" t="s">
        <v>133</v>
      </c>
      <c r="BO16" s="3" t="s">
        <v>133</v>
      </c>
      <c r="BP16" s="3" t="s">
        <v>133</v>
      </c>
      <c r="BQ16" s="3" t="s">
        <v>133</v>
      </c>
      <c r="BR16" s="3" t="s">
        <v>133</v>
      </c>
      <c r="BS16" s="3" t="s">
        <v>133</v>
      </c>
      <c r="BT16" s="3" t="s">
        <v>133</v>
      </c>
    </row>
    <row r="17" spans="1:72" x14ac:dyDescent="0.25">
      <c r="A17" s="3" t="s">
        <v>18</v>
      </c>
      <c r="B17" s="3" t="s">
        <v>133</v>
      </c>
      <c r="C17" s="3" t="s">
        <v>133</v>
      </c>
      <c r="D17" s="3" t="s">
        <v>133</v>
      </c>
      <c r="E17" s="3" t="s">
        <v>133</v>
      </c>
      <c r="F17" s="3" t="s">
        <v>133</v>
      </c>
      <c r="G17" s="3" t="s">
        <v>133</v>
      </c>
      <c r="H17" s="3" t="s">
        <v>133</v>
      </c>
      <c r="I17" s="3" t="s">
        <v>133</v>
      </c>
      <c r="J17" s="3" t="s">
        <v>133</v>
      </c>
      <c r="K17" s="3" t="s">
        <v>133</v>
      </c>
      <c r="L17" s="3" t="s">
        <v>133</v>
      </c>
      <c r="M17" s="3" t="s">
        <v>133</v>
      </c>
      <c r="N17" s="3" t="s">
        <v>133</v>
      </c>
      <c r="O17" s="3" t="s">
        <v>133</v>
      </c>
      <c r="P17" s="3" t="s">
        <v>133</v>
      </c>
      <c r="Q17" s="3">
        <v>16900</v>
      </c>
      <c r="R17" s="3">
        <v>1300</v>
      </c>
      <c r="S17" s="3">
        <v>-43500</v>
      </c>
      <c r="T17" s="3">
        <v>117300</v>
      </c>
      <c r="U17" s="3">
        <v>8771700</v>
      </c>
      <c r="V17" s="3" t="s">
        <v>133</v>
      </c>
      <c r="W17" s="3" t="s">
        <v>133</v>
      </c>
      <c r="X17" s="3" t="s">
        <v>133</v>
      </c>
      <c r="Y17" s="3">
        <v>9179300</v>
      </c>
      <c r="Z17" s="3" t="s">
        <v>133</v>
      </c>
      <c r="AA17" s="3">
        <v>874300</v>
      </c>
      <c r="AB17" s="3">
        <v>173400</v>
      </c>
      <c r="AC17" s="3" t="s">
        <v>133</v>
      </c>
      <c r="AD17" s="3" t="s">
        <v>133</v>
      </c>
      <c r="AE17" s="3" t="s">
        <v>133</v>
      </c>
      <c r="AF17" s="3" t="s">
        <v>133</v>
      </c>
      <c r="AG17" s="3" t="s">
        <v>133</v>
      </c>
      <c r="AH17" s="3" t="s">
        <v>133</v>
      </c>
      <c r="AI17" s="3" t="s">
        <v>133</v>
      </c>
      <c r="AJ17" s="3" t="s">
        <v>133</v>
      </c>
      <c r="AK17" s="3">
        <v>1600</v>
      </c>
      <c r="AL17" s="3" t="s">
        <v>133</v>
      </c>
      <c r="AM17" s="3" t="s">
        <v>133</v>
      </c>
      <c r="AN17" s="3">
        <v>40000</v>
      </c>
      <c r="AO17" s="3" t="s">
        <v>133</v>
      </c>
      <c r="AP17" s="3" t="s">
        <v>133</v>
      </c>
      <c r="AQ17" s="3" t="s">
        <v>133</v>
      </c>
      <c r="AR17" s="3">
        <v>2500</v>
      </c>
      <c r="AS17" s="3" t="s">
        <v>133</v>
      </c>
      <c r="AT17" s="3" t="s">
        <v>133</v>
      </c>
      <c r="AU17" s="3" t="s">
        <v>133</v>
      </c>
      <c r="AV17" s="3" t="s">
        <v>133</v>
      </c>
      <c r="AW17" s="3" t="s">
        <v>133</v>
      </c>
      <c r="AX17" s="3" t="s">
        <v>133</v>
      </c>
      <c r="AY17" s="3" t="s">
        <v>133</v>
      </c>
      <c r="AZ17" s="3" t="s">
        <v>133</v>
      </c>
      <c r="BA17" s="3" t="s">
        <v>133</v>
      </c>
      <c r="BB17" s="3" t="s">
        <v>133</v>
      </c>
      <c r="BC17" s="3" t="s">
        <v>133</v>
      </c>
      <c r="BD17" s="3" t="s">
        <v>133</v>
      </c>
      <c r="BE17" s="3" t="s">
        <v>133</v>
      </c>
      <c r="BF17" s="3" t="s">
        <v>133</v>
      </c>
      <c r="BG17" s="3" t="s">
        <v>133</v>
      </c>
      <c r="BH17" s="3" t="s">
        <v>133</v>
      </c>
      <c r="BI17" s="3" t="s">
        <v>133</v>
      </c>
      <c r="BJ17" s="3" t="s">
        <v>133</v>
      </c>
      <c r="BK17" s="3" t="s">
        <v>133</v>
      </c>
      <c r="BL17" s="3" t="s">
        <v>133</v>
      </c>
      <c r="BM17" s="3" t="s">
        <v>133</v>
      </c>
      <c r="BN17" s="3" t="s">
        <v>133</v>
      </c>
      <c r="BO17" s="3" t="s">
        <v>133</v>
      </c>
      <c r="BP17" s="3" t="s">
        <v>133</v>
      </c>
      <c r="BQ17" s="3" t="s">
        <v>133</v>
      </c>
      <c r="BR17" s="3" t="s">
        <v>133</v>
      </c>
      <c r="BS17" s="3" t="s">
        <v>133</v>
      </c>
      <c r="BT17" s="3" t="s">
        <v>133</v>
      </c>
    </row>
    <row r="18" spans="1:72" x14ac:dyDescent="0.25">
      <c r="A18" s="3" t="s">
        <v>177</v>
      </c>
      <c r="B18" s="3" t="s">
        <v>133</v>
      </c>
      <c r="C18" s="3" t="s">
        <v>133</v>
      </c>
      <c r="D18" s="3" t="s">
        <v>133</v>
      </c>
      <c r="E18" s="3" t="s">
        <v>133</v>
      </c>
      <c r="F18" s="3">
        <v>3243300</v>
      </c>
      <c r="G18" s="3">
        <v>3463800</v>
      </c>
      <c r="H18" s="3">
        <v>614000</v>
      </c>
      <c r="I18" s="3">
        <v>2833700</v>
      </c>
      <c r="J18" s="3">
        <v>7594800</v>
      </c>
      <c r="K18" s="3">
        <v>665500</v>
      </c>
      <c r="L18" s="3">
        <v>150200</v>
      </c>
      <c r="M18" s="3">
        <v>3314700</v>
      </c>
      <c r="N18" s="3">
        <v>680600</v>
      </c>
      <c r="O18" s="3">
        <v>4099500</v>
      </c>
      <c r="P18" s="3">
        <v>13336000</v>
      </c>
      <c r="Q18" s="3">
        <v>115000</v>
      </c>
      <c r="R18" s="3">
        <v>1491000</v>
      </c>
      <c r="S18" s="3">
        <v>1803100</v>
      </c>
      <c r="T18" s="3">
        <v>2153300</v>
      </c>
      <c r="U18" s="3">
        <v>1855200</v>
      </c>
      <c r="V18" s="3">
        <v>5062400</v>
      </c>
      <c r="W18" s="3">
        <v>21347100</v>
      </c>
      <c r="X18" s="3">
        <v>5093200</v>
      </c>
      <c r="Y18" s="3">
        <v>1724100</v>
      </c>
      <c r="Z18" s="3" t="s">
        <v>133</v>
      </c>
      <c r="AA18" s="3">
        <v>16574000</v>
      </c>
      <c r="AB18" s="3">
        <v>88428700</v>
      </c>
      <c r="AC18" s="3">
        <v>115752000</v>
      </c>
      <c r="AD18" s="3">
        <v>98266100</v>
      </c>
      <c r="AE18" s="3">
        <v>134244900</v>
      </c>
      <c r="AF18" s="3">
        <v>408123200</v>
      </c>
      <c r="AG18" s="3">
        <v>153273400</v>
      </c>
      <c r="AH18" s="3">
        <v>40444900</v>
      </c>
      <c r="AI18" s="3" t="s">
        <v>133</v>
      </c>
      <c r="AJ18" s="3" t="s">
        <v>133</v>
      </c>
      <c r="AK18" s="3">
        <v>137932000</v>
      </c>
      <c r="AL18" s="3">
        <v>6654600</v>
      </c>
      <c r="AM18" s="3">
        <v>56747200</v>
      </c>
      <c r="AN18" s="3">
        <v>11200000</v>
      </c>
      <c r="AO18" s="3">
        <v>-346600</v>
      </c>
      <c r="AP18" s="3">
        <v>2482100</v>
      </c>
      <c r="AQ18" s="3" t="s">
        <v>133</v>
      </c>
      <c r="AR18" s="3" t="s">
        <v>133</v>
      </c>
      <c r="AS18" s="3" t="s">
        <v>133</v>
      </c>
      <c r="AT18" s="3" t="s">
        <v>133</v>
      </c>
      <c r="AU18" s="3" t="s">
        <v>133</v>
      </c>
      <c r="AV18" s="3" t="s">
        <v>133</v>
      </c>
      <c r="AW18" s="3" t="s">
        <v>133</v>
      </c>
      <c r="AX18" s="3" t="s">
        <v>133</v>
      </c>
      <c r="AY18" s="3" t="s">
        <v>133</v>
      </c>
      <c r="AZ18" s="3" t="s">
        <v>133</v>
      </c>
      <c r="BA18" s="3" t="s">
        <v>133</v>
      </c>
      <c r="BB18" s="3" t="s">
        <v>133</v>
      </c>
      <c r="BC18" s="3" t="s">
        <v>133</v>
      </c>
      <c r="BD18" s="3" t="s">
        <v>133</v>
      </c>
      <c r="BE18" s="3" t="s">
        <v>133</v>
      </c>
      <c r="BF18" s="3" t="s">
        <v>133</v>
      </c>
      <c r="BG18" s="3" t="s">
        <v>133</v>
      </c>
      <c r="BH18" s="3" t="s">
        <v>133</v>
      </c>
      <c r="BI18" s="3" t="s">
        <v>133</v>
      </c>
      <c r="BJ18" s="3" t="s">
        <v>133</v>
      </c>
      <c r="BK18" s="3" t="s">
        <v>133</v>
      </c>
      <c r="BL18" s="3" t="s">
        <v>133</v>
      </c>
      <c r="BM18" s="3" t="s">
        <v>133</v>
      </c>
      <c r="BN18" s="3" t="s">
        <v>133</v>
      </c>
      <c r="BO18" s="3" t="s">
        <v>133</v>
      </c>
      <c r="BP18" s="3" t="s">
        <v>133</v>
      </c>
      <c r="BQ18" s="3" t="s">
        <v>133</v>
      </c>
      <c r="BR18" s="3" t="s">
        <v>133</v>
      </c>
      <c r="BS18" s="3" t="s">
        <v>133</v>
      </c>
      <c r="BT18" s="3" t="s">
        <v>133</v>
      </c>
    </row>
    <row r="19" spans="1:72" x14ac:dyDescent="0.25">
      <c r="A19" s="3" t="s">
        <v>178</v>
      </c>
      <c r="B19" s="3" t="s">
        <v>133</v>
      </c>
      <c r="C19" s="3" t="s">
        <v>133</v>
      </c>
      <c r="D19" s="3" t="s">
        <v>133</v>
      </c>
      <c r="E19" s="3">
        <v>38080</v>
      </c>
      <c r="F19" s="3">
        <v>3243331.4</v>
      </c>
      <c r="G19" s="3">
        <v>3463764</v>
      </c>
      <c r="H19" s="3">
        <v>613975</v>
      </c>
      <c r="I19" s="3">
        <v>2833650</v>
      </c>
      <c r="J19" s="3">
        <v>7594824.2999999998</v>
      </c>
      <c r="K19" s="3">
        <v>665477</v>
      </c>
      <c r="L19" s="3">
        <v>150230</v>
      </c>
      <c r="M19" s="3">
        <v>3314661.6</v>
      </c>
      <c r="N19" s="3">
        <v>697030</v>
      </c>
      <c r="O19" s="3">
        <v>4099476.29</v>
      </c>
      <c r="P19" s="3">
        <v>13335955.060000001</v>
      </c>
      <c r="Q19" s="3">
        <v>131899.69</v>
      </c>
      <c r="R19" s="3">
        <v>1492294.09</v>
      </c>
      <c r="S19" s="3">
        <v>1759604.8</v>
      </c>
      <c r="T19" s="3">
        <v>2270637.11</v>
      </c>
      <c r="U19" s="3">
        <v>10677146.390000001</v>
      </c>
      <c r="V19" s="3">
        <v>55590443.240000002</v>
      </c>
      <c r="W19" s="3">
        <v>24357052.760000002</v>
      </c>
      <c r="X19" s="3">
        <v>15425353.1</v>
      </c>
      <c r="Y19" s="3">
        <v>15988660.140000001</v>
      </c>
      <c r="Z19" s="3" t="s">
        <v>133</v>
      </c>
      <c r="AA19" s="3">
        <v>20458262</v>
      </c>
      <c r="AB19" s="3">
        <v>88602135</v>
      </c>
      <c r="AC19" s="3">
        <v>115752013.04000001</v>
      </c>
      <c r="AD19" s="3">
        <v>98266089.629999995</v>
      </c>
      <c r="AE19" s="3">
        <v>137254882.47</v>
      </c>
      <c r="AF19" s="3">
        <v>408123249.5</v>
      </c>
      <c r="AG19" s="3">
        <v>153352410.93000001</v>
      </c>
      <c r="AH19" s="3">
        <v>40444863.57</v>
      </c>
      <c r="AI19" s="3">
        <v>149591293.5</v>
      </c>
      <c r="AJ19" s="3">
        <v>11119000</v>
      </c>
      <c r="AK19" s="3">
        <v>137933577.02000001</v>
      </c>
      <c r="AL19" s="3">
        <v>6654646.5499999998</v>
      </c>
      <c r="AM19" s="3">
        <v>59757225.979999997</v>
      </c>
      <c r="AN19" s="3">
        <v>11239977.289999999</v>
      </c>
      <c r="AO19" s="3">
        <v>-346602.69</v>
      </c>
      <c r="AP19" s="3">
        <v>2482106.2000000002</v>
      </c>
      <c r="AQ19" s="3">
        <v>54180223</v>
      </c>
      <c r="AR19" s="3">
        <v>18731400</v>
      </c>
      <c r="AS19" s="3" t="s">
        <v>133</v>
      </c>
      <c r="AT19" s="3" t="s">
        <v>133</v>
      </c>
      <c r="AU19" s="3" t="s">
        <v>133</v>
      </c>
      <c r="AV19" s="3" t="s">
        <v>133</v>
      </c>
      <c r="AW19" s="3" t="s">
        <v>133</v>
      </c>
      <c r="AX19" s="3">
        <v>50000</v>
      </c>
      <c r="AY19" s="3" t="s">
        <v>133</v>
      </c>
      <c r="AZ19" s="3">
        <v>23123100</v>
      </c>
      <c r="BA19" s="3" t="s">
        <v>133</v>
      </c>
      <c r="BB19" s="3" t="s">
        <v>133</v>
      </c>
      <c r="BC19" s="3" t="s">
        <v>133</v>
      </c>
      <c r="BD19" s="3" t="s">
        <v>133</v>
      </c>
      <c r="BE19" s="3" t="s">
        <v>133</v>
      </c>
      <c r="BF19" s="3" t="s">
        <v>133</v>
      </c>
      <c r="BG19" s="3" t="s">
        <v>133</v>
      </c>
      <c r="BH19" s="3" t="s">
        <v>133</v>
      </c>
      <c r="BI19" s="3" t="s">
        <v>133</v>
      </c>
      <c r="BJ19" s="3" t="s">
        <v>133</v>
      </c>
      <c r="BK19" s="3" t="s">
        <v>133</v>
      </c>
      <c r="BL19" s="3" t="s">
        <v>133</v>
      </c>
      <c r="BM19" s="3" t="s">
        <v>133</v>
      </c>
      <c r="BN19" s="3" t="s">
        <v>133</v>
      </c>
      <c r="BO19" s="3" t="s">
        <v>133</v>
      </c>
      <c r="BP19" s="3" t="s">
        <v>133</v>
      </c>
      <c r="BQ19" s="3" t="s">
        <v>133</v>
      </c>
      <c r="BR19" s="3" t="s">
        <v>133</v>
      </c>
      <c r="BS19" s="3" t="s">
        <v>133</v>
      </c>
      <c r="BT19" s="3" t="s">
        <v>133</v>
      </c>
    </row>
    <row r="20" spans="1:72" x14ac:dyDescent="0.25">
      <c r="A20" s="3" t="s">
        <v>19</v>
      </c>
      <c r="B20" s="3">
        <v>650886000</v>
      </c>
      <c r="C20" s="3">
        <v>549804500</v>
      </c>
      <c r="D20" s="3">
        <v>414462400</v>
      </c>
      <c r="E20" s="3">
        <v>1120825300</v>
      </c>
      <c r="F20" s="3">
        <v>903247400</v>
      </c>
      <c r="G20" s="3">
        <v>515309600</v>
      </c>
      <c r="H20" s="3">
        <v>609482400</v>
      </c>
      <c r="I20" s="3">
        <v>590272300</v>
      </c>
      <c r="J20" s="3">
        <v>299838100</v>
      </c>
      <c r="K20" s="3">
        <v>142001000</v>
      </c>
      <c r="L20" s="3">
        <v>574638900</v>
      </c>
      <c r="M20" s="3">
        <v>368022700</v>
      </c>
      <c r="N20" s="3">
        <v>275995200</v>
      </c>
      <c r="O20" s="3">
        <v>173630000</v>
      </c>
      <c r="P20" s="3">
        <v>307369300</v>
      </c>
      <c r="Q20" s="3">
        <v>243908900</v>
      </c>
      <c r="R20" s="3">
        <v>278663200</v>
      </c>
      <c r="S20" s="3">
        <v>129519500</v>
      </c>
      <c r="T20" s="3">
        <v>367086600</v>
      </c>
      <c r="U20" s="3">
        <v>250660300</v>
      </c>
      <c r="V20" s="3">
        <v>534902800</v>
      </c>
      <c r="W20" s="3">
        <v>410177000</v>
      </c>
      <c r="X20" s="3">
        <v>865730300</v>
      </c>
      <c r="Y20" s="3">
        <v>732659300</v>
      </c>
      <c r="Z20" s="3">
        <v>852290700</v>
      </c>
      <c r="AA20" s="3">
        <v>821147200</v>
      </c>
      <c r="AB20" s="3">
        <v>2024967900</v>
      </c>
      <c r="AC20" s="3">
        <v>1461077100</v>
      </c>
      <c r="AD20" s="3">
        <v>1417467000</v>
      </c>
      <c r="AE20" s="3">
        <v>1402256900</v>
      </c>
      <c r="AF20" s="3">
        <v>1124939100</v>
      </c>
      <c r="AG20" s="3">
        <v>1170091800</v>
      </c>
      <c r="AH20" s="3">
        <v>1340491700</v>
      </c>
      <c r="AI20" s="3">
        <v>1022502200</v>
      </c>
      <c r="AJ20" s="3">
        <v>678815000</v>
      </c>
      <c r="AK20" s="3">
        <v>950223000</v>
      </c>
      <c r="AL20" s="3">
        <v>487250100</v>
      </c>
      <c r="AM20" s="3">
        <v>446363600</v>
      </c>
      <c r="AN20" s="3">
        <v>300691500</v>
      </c>
      <c r="AO20" s="3">
        <v>337692100</v>
      </c>
      <c r="AP20" s="3">
        <v>314559400</v>
      </c>
      <c r="AQ20" s="3">
        <v>610622800</v>
      </c>
      <c r="AR20" s="3">
        <v>469039500</v>
      </c>
      <c r="AS20" s="3">
        <v>298100600</v>
      </c>
      <c r="AT20" s="3">
        <v>369483200</v>
      </c>
      <c r="AU20" s="3">
        <v>400138700</v>
      </c>
      <c r="AV20" s="3">
        <v>288879000</v>
      </c>
      <c r="AW20" s="3">
        <v>366866400</v>
      </c>
      <c r="AX20" s="3">
        <v>234085100</v>
      </c>
      <c r="AY20" s="3">
        <v>235117900</v>
      </c>
      <c r="AZ20" s="3">
        <v>174666400</v>
      </c>
      <c r="BA20" s="3">
        <v>226872900</v>
      </c>
      <c r="BB20" s="3">
        <v>213080700</v>
      </c>
      <c r="BC20" s="3">
        <v>149844300</v>
      </c>
      <c r="BD20" s="3">
        <v>182658800</v>
      </c>
      <c r="BE20" s="3">
        <v>193140500</v>
      </c>
      <c r="BF20" s="3">
        <v>232377000</v>
      </c>
      <c r="BG20" s="3">
        <v>207130100</v>
      </c>
      <c r="BH20" s="3">
        <v>104817300</v>
      </c>
      <c r="BI20" s="3">
        <v>152212400</v>
      </c>
      <c r="BJ20" s="3">
        <v>145951200</v>
      </c>
      <c r="BK20" s="3">
        <v>140690900</v>
      </c>
      <c r="BL20" s="3">
        <v>101989200</v>
      </c>
      <c r="BM20" s="3">
        <v>126999100</v>
      </c>
      <c r="BN20" s="3">
        <v>89864200</v>
      </c>
      <c r="BO20" s="3">
        <v>64822800</v>
      </c>
      <c r="BP20" s="3">
        <v>73503900</v>
      </c>
      <c r="BQ20" s="3">
        <v>35016700</v>
      </c>
      <c r="BR20" s="3">
        <v>98629700</v>
      </c>
      <c r="BS20" s="3">
        <v>94583700</v>
      </c>
      <c r="BT20" s="3">
        <v>106650500</v>
      </c>
    </row>
    <row r="21" spans="1:72" x14ac:dyDescent="0.25">
      <c r="A21" s="3" t="s">
        <v>179</v>
      </c>
      <c r="B21" s="3" t="s">
        <v>133</v>
      </c>
      <c r="C21" s="3" t="s">
        <v>133</v>
      </c>
      <c r="D21" s="3" t="s">
        <v>133</v>
      </c>
      <c r="E21" s="3" t="s">
        <v>133</v>
      </c>
      <c r="F21" s="3" t="s">
        <v>133</v>
      </c>
      <c r="G21" s="3" t="s">
        <v>133</v>
      </c>
      <c r="H21" s="3" t="s">
        <v>133</v>
      </c>
      <c r="I21" s="3" t="s">
        <v>133</v>
      </c>
      <c r="J21" s="3" t="s">
        <v>133</v>
      </c>
      <c r="K21" s="3" t="s">
        <v>133</v>
      </c>
      <c r="L21" s="3" t="s">
        <v>133</v>
      </c>
      <c r="M21" s="3" t="s">
        <v>133</v>
      </c>
      <c r="N21" s="3" t="s">
        <v>133</v>
      </c>
      <c r="O21" s="3" t="s">
        <v>133</v>
      </c>
      <c r="P21" s="3" t="s">
        <v>133</v>
      </c>
      <c r="Q21" s="3" t="s">
        <v>133</v>
      </c>
      <c r="R21" s="3" t="s">
        <v>133</v>
      </c>
      <c r="S21" s="3" t="s">
        <v>133</v>
      </c>
      <c r="T21" s="3" t="s">
        <v>133</v>
      </c>
      <c r="U21" s="3">
        <v>50000</v>
      </c>
      <c r="V21" s="3" t="s">
        <v>133</v>
      </c>
      <c r="W21" s="3" t="s">
        <v>133</v>
      </c>
      <c r="X21" s="3" t="s">
        <v>133</v>
      </c>
      <c r="Y21" s="3" t="s">
        <v>133</v>
      </c>
      <c r="Z21" s="3" t="s">
        <v>133</v>
      </c>
      <c r="AA21" s="3" t="s">
        <v>133</v>
      </c>
      <c r="AB21" s="3" t="s">
        <v>133</v>
      </c>
      <c r="AC21" s="3" t="s">
        <v>133</v>
      </c>
      <c r="AD21" s="3" t="s">
        <v>133</v>
      </c>
      <c r="AE21" s="3" t="s">
        <v>133</v>
      </c>
      <c r="AF21" s="3" t="s">
        <v>133</v>
      </c>
      <c r="AG21" s="3" t="s">
        <v>133</v>
      </c>
      <c r="AH21" s="3" t="s">
        <v>133</v>
      </c>
      <c r="AI21" s="3" t="s">
        <v>133</v>
      </c>
      <c r="AJ21" s="3" t="s">
        <v>133</v>
      </c>
      <c r="AK21" s="3" t="s">
        <v>133</v>
      </c>
      <c r="AL21" s="3" t="s">
        <v>133</v>
      </c>
      <c r="AM21" s="3" t="s">
        <v>133</v>
      </c>
      <c r="AN21" s="3" t="s">
        <v>133</v>
      </c>
      <c r="AO21" s="3" t="s">
        <v>133</v>
      </c>
      <c r="AP21" s="3" t="s">
        <v>133</v>
      </c>
      <c r="AQ21" s="3" t="s">
        <v>133</v>
      </c>
      <c r="AR21" s="3" t="s">
        <v>133</v>
      </c>
      <c r="AS21" s="3" t="s">
        <v>133</v>
      </c>
      <c r="AT21" s="3" t="s">
        <v>133</v>
      </c>
      <c r="AU21" s="3" t="s">
        <v>133</v>
      </c>
      <c r="AV21" s="3">
        <v>10000000</v>
      </c>
      <c r="AW21" s="3" t="s">
        <v>133</v>
      </c>
      <c r="AX21" s="3" t="s">
        <v>133</v>
      </c>
      <c r="AY21" s="3" t="s">
        <v>133</v>
      </c>
      <c r="AZ21" s="3" t="s">
        <v>133</v>
      </c>
      <c r="BA21" s="3" t="s">
        <v>133</v>
      </c>
      <c r="BB21" s="3" t="s">
        <v>133</v>
      </c>
      <c r="BC21" s="3" t="s">
        <v>133</v>
      </c>
      <c r="BD21" s="3">
        <v>17000000</v>
      </c>
      <c r="BE21" s="3" t="s">
        <v>133</v>
      </c>
      <c r="BF21" s="3" t="s">
        <v>133</v>
      </c>
      <c r="BG21" s="3" t="s">
        <v>133</v>
      </c>
      <c r="BH21" s="3" t="s">
        <v>133</v>
      </c>
      <c r="BI21" s="3" t="s">
        <v>133</v>
      </c>
      <c r="BJ21" s="3" t="s">
        <v>133</v>
      </c>
      <c r="BK21" s="3" t="s">
        <v>133</v>
      </c>
      <c r="BL21" s="3" t="s">
        <v>133</v>
      </c>
      <c r="BM21" s="3" t="s">
        <v>133</v>
      </c>
      <c r="BN21" s="3" t="s">
        <v>133</v>
      </c>
      <c r="BO21" s="3" t="s">
        <v>133</v>
      </c>
      <c r="BP21" s="3" t="s">
        <v>133</v>
      </c>
      <c r="BQ21" s="3" t="s">
        <v>133</v>
      </c>
      <c r="BR21" s="3" t="s">
        <v>133</v>
      </c>
      <c r="BS21" s="3" t="s">
        <v>133</v>
      </c>
      <c r="BT21" s="3" t="s">
        <v>133</v>
      </c>
    </row>
    <row r="22" spans="1:72" x14ac:dyDescent="0.25">
      <c r="A22" s="3" t="s">
        <v>180</v>
      </c>
      <c r="B22" s="3">
        <v>4859800</v>
      </c>
      <c r="C22" s="3">
        <v>3014400</v>
      </c>
      <c r="D22" s="3">
        <v>5762900</v>
      </c>
      <c r="E22" s="3">
        <v>4628400</v>
      </c>
      <c r="F22" s="3">
        <v>3882500</v>
      </c>
      <c r="G22" s="3">
        <v>6234000</v>
      </c>
      <c r="H22" s="3">
        <v>9435400</v>
      </c>
      <c r="I22" s="3">
        <v>18400200</v>
      </c>
      <c r="J22" s="3">
        <v>-8901200</v>
      </c>
      <c r="K22" s="3">
        <v>6535200</v>
      </c>
      <c r="L22" s="3">
        <v>17422300</v>
      </c>
      <c r="M22" s="3">
        <v>8161900</v>
      </c>
      <c r="N22" s="3">
        <v>1788500</v>
      </c>
      <c r="O22" s="3">
        <v>818400</v>
      </c>
      <c r="P22" s="3">
        <v>6306400</v>
      </c>
      <c r="Q22" s="3">
        <v>85236500</v>
      </c>
      <c r="R22" s="3">
        <v>-59191400</v>
      </c>
      <c r="S22" s="3">
        <v>6402700</v>
      </c>
      <c r="T22" s="3">
        <v>56529400</v>
      </c>
      <c r="U22" s="3">
        <v>25762600</v>
      </c>
      <c r="V22" s="3">
        <v>12966800</v>
      </c>
      <c r="W22" s="3">
        <v>25850100</v>
      </c>
      <c r="X22" s="3">
        <v>3740300</v>
      </c>
      <c r="Y22" s="3">
        <v>-11430900</v>
      </c>
      <c r="Z22" s="3">
        <v>23874100</v>
      </c>
      <c r="AA22" s="3">
        <v>98247400</v>
      </c>
      <c r="AB22" s="3">
        <v>148452900</v>
      </c>
      <c r="AC22" s="3">
        <v>156466200</v>
      </c>
      <c r="AD22" s="3">
        <v>136735700</v>
      </c>
      <c r="AE22" s="3">
        <v>97968300</v>
      </c>
      <c r="AF22" s="3">
        <v>301797400</v>
      </c>
      <c r="AG22" s="3">
        <v>167373000</v>
      </c>
      <c r="AH22" s="3">
        <v>37947600</v>
      </c>
      <c r="AI22" s="3">
        <v>114637200</v>
      </c>
      <c r="AJ22" s="3">
        <v>22125200</v>
      </c>
      <c r="AK22" s="3">
        <v>110557500</v>
      </c>
      <c r="AL22" s="3">
        <v>12567300</v>
      </c>
      <c r="AM22" s="3">
        <v>16740200</v>
      </c>
      <c r="AN22" s="3">
        <v>11610300</v>
      </c>
      <c r="AO22" s="3">
        <v>-1097900</v>
      </c>
      <c r="AP22" s="3">
        <v>13098200</v>
      </c>
      <c r="AQ22" s="3" t="s">
        <v>133</v>
      </c>
      <c r="AR22" s="3" t="s">
        <v>133</v>
      </c>
      <c r="AS22" s="3" t="s">
        <v>133</v>
      </c>
      <c r="AT22" s="3" t="s">
        <v>133</v>
      </c>
      <c r="AU22" s="3" t="s">
        <v>133</v>
      </c>
      <c r="AV22" s="3" t="s">
        <v>133</v>
      </c>
      <c r="AW22" s="3" t="s">
        <v>133</v>
      </c>
      <c r="AX22" s="3" t="s">
        <v>133</v>
      </c>
      <c r="AY22" s="3" t="s">
        <v>133</v>
      </c>
      <c r="AZ22" s="3" t="s">
        <v>133</v>
      </c>
      <c r="BA22" s="3" t="s">
        <v>133</v>
      </c>
      <c r="BB22" s="3" t="s">
        <v>133</v>
      </c>
      <c r="BC22" s="3" t="s">
        <v>133</v>
      </c>
      <c r="BD22" s="3" t="s">
        <v>133</v>
      </c>
      <c r="BE22" s="3" t="s">
        <v>133</v>
      </c>
      <c r="BF22" s="3" t="s">
        <v>133</v>
      </c>
      <c r="BG22" s="3" t="s">
        <v>133</v>
      </c>
      <c r="BH22" s="3" t="s">
        <v>133</v>
      </c>
      <c r="BI22" s="3" t="s">
        <v>133</v>
      </c>
      <c r="BJ22" s="3" t="s">
        <v>133</v>
      </c>
      <c r="BK22" s="3" t="s">
        <v>133</v>
      </c>
      <c r="BL22" s="3" t="s">
        <v>133</v>
      </c>
      <c r="BM22" s="3" t="s">
        <v>133</v>
      </c>
      <c r="BN22" s="3" t="s">
        <v>133</v>
      </c>
      <c r="BO22" s="3" t="s">
        <v>133</v>
      </c>
      <c r="BP22" s="3" t="s">
        <v>133</v>
      </c>
      <c r="BQ22" s="3" t="s">
        <v>133</v>
      </c>
      <c r="BR22" s="3" t="s">
        <v>133</v>
      </c>
      <c r="BS22" s="3" t="s">
        <v>133</v>
      </c>
      <c r="BT22" s="3" t="s">
        <v>133</v>
      </c>
    </row>
    <row r="23" spans="1:72" x14ac:dyDescent="0.25">
      <c r="A23" s="3" t="s">
        <v>181</v>
      </c>
      <c r="B23" s="3">
        <v>655745735.00999999</v>
      </c>
      <c r="C23" s="3">
        <v>552818876.01999998</v>
      </c>
      <c r="D23" s="3">
        <v>420225315.75</v>
      </c>
      <c r="E23" s="3">
        <v>1125453645.3499999</v>
      </c>
      <c r="F23" s="3">
        <v>907129891.54999995</v>
      </c>
      <c r="G23" s="3">
        <v>521543598.23000002</v>
      </c>
      <c r="H23" s="3">
        <v>618917758.51999998</v>
      </c>
      <c r="I23" s="3">
        <v>608672539.45000005</v>
      </c>
      <c r="J23" s="3">
        <v>290936962.43000001</v>
      </c>
      <c r="K23" s="3">
        <v>148536195.46000001</v>
      </c>
      <c r="L23" s="3">
        <v>592061188.51999998</v>
      </c>
      <c r="M23" s="3">
        <v>376184662.85000002</v>
      </c>
      <c r="N23" s="3">
        <v>277783630.18000001</v>
      </c>
      <c r="O23" s="3">
        <v>174448397.34999999</v>
      </c>
      <c r="P23" s="3">
        <v>313675647.17000002</v>
      </c>
      <c r="Q23" s="3">
        <v>329145314.76999998</v>
      </c>
      <c r="R23" s="3">
        <v>219471835.66</v>
      </c>
      <c r="S23" s="3">
        <v>135922136.52000001</v>
      </c>
      <c r="T23" s="3">
        <v>423615952.94</v>
      </c>
      <c r="U23" s="3">
        <v>276472887.94</v>
      </c>
      <c r="V23" s="3">
        <v>547869556.27999997</v>
      </c>
      <c r="W23" s="3">
        <v>461027174.23000002</v>
      </c>
      <c r="X23" s="3">
        <v>869470641.63</v>
      </c>
      <c r="Y23" s="3">
        <v>721228392</v>
      </c>
      <c r="Z23" s="3">
        <v>876164714.85000002</v>
      </c>
      <c r="AA23" s="3">
        <v>934394686</v>
      </c>
      <c r="AB23" s="3">
        <v>2173420844.48</v>
      </c>
      <c r="AC23" s="3">
        <v>1617543271.9100001</v>
      </c>
      <c r="AD23" s="3">
        <v>1554202758.1900001</v>
      </c>
      <c r="AE23" s="3">
        <v>1500225147.47</v>
      </c>
      <c r="AF23" s="3">
        <v>1426736457.02</v>
      </c>
      <c r="AG23" s="3">
        <v>1337464829.96</v>
      </c>
      <c r="AH23" s="3">
        <v>1378439318.54</v>
      </c>
      <c r="AI23" s="3">
        <v>1137139476.27</v>
      </c>
      <c r="AJ23" s="3">
        <v>700940241.5</v>
      </c>
      <c r="AK23" s="3">
        <v>1060780512.0700001</v>
      </c>
      <c r="AL23" s="3">
        <v>499817391.97000003</v>
      </c>
      <c r="AM23" s="3">
        <v>463103823.88999999</v>
      </c>
      <c r="AN23" s="3">
        <v>312301748.81999999</v>
      </c>
      <c r="AO23" s="3">
        <v>336594167.31999999</v>
      </c>
      <c r="AP23" s="3">
        <v>327657599.88999999</v>
      </c>
      <c r="AQ23" s="3">
        <v>705145409.94000006</v>
      </c>
      <c r="AR23" s="3">
        <v>469039504.07999998</v>
      </c>
      <c r="AS23" s="3">
        <v>298100583.67000002</v>
      </c>
      <c r="AT23" s="3">
        <v>369483184.29000002</v>
      </c>
      <c r="AU23" s="3">
        <v>400138745.44</v>
      </c>
      <c r="AV23" s="3">
        <v>298879016.69</v>
      </c>
      <c r="AW23" s="3">
        <v>371866380.92000002</v>
      </c>
      <c r="AX23" s="3">
        <v>234085124.37</v>
      </c>
      <c r="AY23" s="3">
        <v>235117880.22</v>
      </c>
      <c r="AZ23" s="3">
        <v>174666400.53</v>
      </c>
      <c r="BA23" s="3">
        <v>226872859.37</v>
      </c>
      <c r="BB23" s="3">
        <v>213080710.50999999</v>
      </c>
      <c r="BC23" s="3">
        <v>149844264.84</v>
      </c>
      <c r="BD23" s="3">
        <v>199658817.77000001</v>
      </c>
      <c r="BE23" s="3">
        <v>234140500.52000001</v>
      </c>
      <c r="BF23" s="3">
        <v>232376960.43000001</v>
      </c>
      <c r="BG23" s="3">
        <v>207130086.46000001</v>
      </c>
      <c r="BH23" s="3">
        <v>104817335.87</v>
      </c>
      <c r="BI23" s="3">
        <v>152212434.33000001</v>
      </c>
      <c r="BJ23" s="3">
        <v>145951239.40000001</v>
      </c>
      <c r="BK23" s="3">
        <v>140690857.08000001</v>
      </c>
      <c r="BL23" s="3">
        <v>101989194.91</v>
      </c>
      <c r="BM23" s="3">
        <v>126999073.92</v>
      </c>
      <c r="BN23" s="3">
        <v>89864209.310000002</v>
      </c>
      <c r="BO23" s="3">
        <v>64822823.969999999</v>
      </c>
      <c r="BP23" s="3">
        <v>73503913.549999997</v>
      </c>
      <c r="BQ23" s="3">
        <v>35016671.210000001</v>
      </c>
      <c r="BR23" s="3">
        <v>98629652.530000001</v>
      </c>
      <c r="BS23" s="3">
        <v>94583736.700000003</v>
      </c>
      <c r="BT23" s="3">
        <v>106650497.18000001</v>
      </c>
    </row>
    <row r="24" spans="1:72" x14ac:dyDescent="0.25">
      <c r="A24" s="3" t="s">
        <v>20</v>
      </c>
      <c r="B24" s="3">
        <v>-340839213.52999997</v>
      </c>
      <c r="C24" s="3">
        <v>-552818876.01999998</v>
      </c>
      <c r="D24" s="3">
        <v>-420225315.75</v>
      </c>
      <c r="E24" s="3">
        <v>-1125415565.3499999</v>
      </c>
      <c r="F24" s="3">
        <v>-903886560.14999998</v>
      </c>
      <c r="G24" s="3">
        <v>-518079834.23000002</v>
      </c>
      <c r="H24" s="3">
        <v>-618303783.51999998</v>
      </c>
      <c r="I24" s="3">
        <v>-605838889.45000005</v>
      </c>
      <c r="J24" s="3">
        <v>-283342138.13</v>
      </c>
      <c r="K24" s="3">
        <v>-147870718.46000001</v>
      </c>
      <c r="L24" s="3">
        <v>-591910958.51999998</v>
      </c>
      <c r="M24" s="3">
        <v>-372870001.25</v>
      </c>
      <c r="N24" s="3">
        <v>-277086600.18000001</v>
      </c>
      <c r="O24" s="3">
        <v>-170348921.06</v>
      </c>
      <c r="P24" s="3">
        <v>-300339692.11000001</v>
      </c>
      <c r="Q24" s="3">
        <v>-329013415.07999998</v>
      </c>
      <c r="R24" s="3">
        <v>-217979541.56999999</v>
      </c>
      <c r="S24" s="3">
        <v>-134162531.72</v>
      </c>
      <c r="T24" s="3">
        <v>-421345315.82999998</v>
      </c>
      <c r="U24" s="3">
        <v>-265795741.55000001</v>
      </c>
      <c r="V24" s="3">
        <v>-492279113.04000002</v>
      </c>
      <c r="W24" s="3">
        <v>-436670121.47000003</v>
      </c>
      <c r="X24" s="3">
        <v>-854045288.52999997</v>
      </c>
      <c r="Y24" s="3">
        <v>-705239731.86000001</v>
      </c>
      <c r="Z24" s="3">
        <v>-876164714.85000002</v>
      </c>
      <c r="AA24" s="3">
        <v>-913936424</v>
      </c>
      <c r="AB24" s="3">
        <v>-2084818709.48</v>
      </c>
      <c r="AC24" s="3">
        <v>-1501791258.8699999</v>
      </c>
      <c r="AD24" s="3">
        <v>-1455936668.5599999</v>
      </c>
      <c r="AE24" s="3">
        <v>-1362970265</v>
      </c>
      <c r="AF24" s="3">
        <v>-1018613207.52</v>
      </c>
      <c r="AG24" s="3">
        <v>-1184112419.03</v>
      </c>
      <c r="AH24" s="3">
        <v>-1337994454.97</v>
      </c>
      <c r="AI24" s="3">
        <v>-987548182.76999998</v>
      </c>
      <c r="AJ24" s="3">
        <v>-689821241.5</v>
      </c>
      <c r="AK24" s="3">
        <v>-922846935.04999995</v>
      </c>
      <c r="AL24" s="3">
        <v>-493162745.42000002</v>
      </c>
      <c r="AM24" s="3">
        <v>-403346597.91000003</v>
      </c>
      <c r="AN24" s="3">
        <v>-301061771.52999997</v>
      </c>
      <c r="AO24" s="3">
        <v>-336940770.00999999</v>
      </c>
      <c r="AP24" s="3">
        <v>-325175493.69</v>
      </c>
      <c r="AQ24" s="3">
        <v>-650965186.94000006</v>
      </c>
      <c r="AR24" s="3">
        <v>-450308104.07999998</v>
      </c>
      <c r="AS24" s="3">
        <v>-298100583.67000002</v>
      </c>
      <c r="AT24" s="3">
        <v>-369483184.29000002</v>
      </c>
      <c r="AU24" s="3">
        <v>-373058348.18000001</v>
      </c>
      <c r="AV24" s="3">
        <v>-298879016.69</v>
      </c>
      <c r="AW24" s="3">
        <v>-371866380.92000002</v>
      </c>
      <c r="AX24" s="3">
        <v>-234035124.37</v>
      </c>
      <c r="AY24" s="3">
        <v>-235117880.22</v>
      </c>
      <c r="AZ24" s="3">
        <v>-151543300.53</v>
      </c>
      <c r="BA24" s="3">
        <v>-226872859.37</v>
      </c>
      <c r="BB24" s="3">
        <v>-213080710.50999999</v>
      </c>
      <c r="BC24" s="3">
        <v>-149844264.84</v>
      </c>
      <c r="BD24" s="3">
        <v>-199658817.77000001</v>
      </c>
      <c r="BE24" s="3">
        <v>-234134550.52000001</v>
      </c>
      <c r="BF24" s="3">
        <v>-232376960.43000001</v>
      </c>
      <c r="BG24" s="3">
        <v>-207130086.46000001</v>
      </c>
      <c r="BH24" s="3">
        <v>-104817335.87</v>
      </c>
      <c r="BI24" s="3">
        <v>-152212434.33000001</v>
      </c>
      <c r="BJ24" s="3">
        <v>-145951239.40000001</v>
      </c>
      <c r="BK24" s="3">
        <v>-140690857.08000001</v>
      </c>
      <c r="BL24" s="3">
        <v>-101989194.91</v>
      </c>
      <c r="BM24" s="3">
        <v>-126999073.92</v>
      </c>
      <c r="BN24" s="3">
        <v>-89864209.310000002</v>
      </c>
      <c r="BO24" s="3">
        <v>-64822823.969999999</v>
      </c>
      <c r="BP24" s="3">
        <v>-73503913.549999997</v>
      </c>
      <c r="BQ24" s="3">
        <v>-35016671.210000001</v>
      </c>
      <c r="BR24" s="3">
        <v>-98629652.530000001</v>
      </c>
      <c r="BS24" s="3">
        <v>-94583736.700000003</v>
      </c>
      <c r="BT24" s="3">
        <v>-106650497.18000001</v>
      </c>
    </row>
    <row r="25" spans="1:72" x14ac:dyDescent="0.25">
      <c r="A25" s="3" t="s">
        <v>182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</row>
    <row r="26" spans="1:72" x14ac:dyDescent="0.25">
      <c r="A26" s="3" t="s">
        <v>183</v>
      </c>
      <c r="B26" s="3" t="s">
        <v>133</v>
      </c>
      <c r="C26" s="3" t="s">
        <v>133</v>
      </c>
      <c r="D26" s="3" t="s">
        <v>133</v>
      </c>
      <c r="E26" s="3" t="s">
        <v>133</v>
      </c>
      <c r="F26" s="3" t="s">
        <v>133</v>
      </c>
      <c r="G26" s="3" t="s">
        <v>133</v>
      </c>
      <c r="H26" s="3" t="s">
        <v>133</v>
      </c>
      <c r="I26" s="3" t="s">
        <v>133</v>
      </c>
      <c r="J26" s="3" t="s">
        <v>133</v>
      </c>
      <c r="K26" s="3" t="s">
        <v>133</v>
      </c>
      <c r="L26" s="3" t="s">
        <v>133</v>
      </c>
      <c r="M26" s="3" t="s">
        <v>133</v>
      </c>
      <c r="N26" s="3" t="s">
        <v>133</v>
      </c>
      <c r="O26" s="3" t="s">
        <v>133</v>
      </c>
      <c r="P26" s="3" t="s">
        <v>133</v>
      </c>
      <c r="Q26" s="3" t="s">
        <v>133</v>
      </c>
      <c r="R26" s="3" t="s">
        <v>133</v>
      </c>
      <c r="S26" s="3" t="s">
        <v>133</v>
      </c>
      <c r="T26" s="3" t="s">
        <v>133</v>
      </c>
      <c r="U26" s="3" t="s">
        <v>133</v>
      </c>
      <c r="V26" s="3" t="s">
        <v>133</v>
      </c>
      <c r="W26" s="3" t="s">
        <v>133</v>
      </c>
      <c r="X26" s="3" t="s">
        <v>133</v>
      </c>
      <c r="Y26" s="3">
        <v>28800000</v>
      </c>
      <c r="Z26" s="3" t="s">
        <v>133</v>
      </c>
      <c r="AA26" s="3" t="s">
        <v>133</v>
      </c>
      <c r="AB26" s="3" t="s">
        <v>133</v>
      </c>
      <c r="AC26" s="3" t="s">
        <v>133</v>
      </c>
      <c r="AD26" s="3" t="s">
        <v>133</v>
      </c>
      <c r="AE26" s="3" t="s">
        <v>133</v>
      </c>
      <c r="AF26" s="3" t="s">
        <v>133</v>
      </c>
      <c r="AG26" s="3" t="s">
        <v>133</v>
      </c>
      <c r="AH26" s="3" t="s">
        <v>133</v>
      </c>
      <c r="AI26" s="3" t="s">
        <v>133</v>
      </c>
      <c r="AJ26" s="3" t="s">
        <v>133</v>
      </c>
      <c r="AK26" s="3" t="s">
        <v>133</v>
      </c>
      <c r="AL26" s="3" t="s">
        <v>133</v>
      </c>
      <c r="AM26" s="3" t="s">
        <v>133</v>
      </c>
      <c r="AN26" s="3" t="s">
        <v>133</v>
      </c>
      <c r="AO26" s="3" t="s">
        <v>133</v>
      </c>
      <c r="AP26" s="3" t="s">
        <v>133</v>
      </c>
      <c r="AQ26" s="3" t="s">
        <v>133</v>
      </c>
      <c r="AR26" s="3" t="s">
        <v>133</v>
      </c>
      <c r="AS26" s="3" t="s">
        <v>133</v>
      </c>
      <c r="AT26" s="3" t="s">
        <v>133</v>
      </c>
      <c r="AU26" s="3" t="s">
        <v>133</v>
      </c>
      <c r="AV26" s="3" t="s">
        <v>133</v>
      </c>
      <c r="AW26" s="3" t="s">
        <v>133</v>
      </c>
      <c r="AX26" s="3" t="s">
        <v>133</v>
      </c>
      <c r="AY26" s="3" t="s">
        <v>133</v>
      </c>
      <c r="AZ26" s="3" t="s">
        <v>133</v>
      </c>
      <c r="BA26" s="3" t="s">
        <v>133</v>
      </c>
      <c r="BB26" s="3" t="s">
        <v>133</v>
      </c>
      <c r="BC26" s="3" t="s">
        <v>133</v>
      </c>
      <c r="BD26" s="3" t="s">
        <v>133</v>
      </c>
      <c r="BE26" s="3" t="s">
        <v>133</v>
      </c>
      <c r="BF26" s="3" t="s">
        <v>133</v>
      </c>
      <c r="BG26" s="3" t="s">
        <v>133</v>
      </c>
      <c r="BH26" s="3" t="s">
        <v>133</v>
      </c>
      <c r="BI26" s="3" t="s">
        <v>133</v>
      </c>
      <c r="BJ26" s="3" t="s">
        <v>133</v>
      </c>
      <c r="BK26" s="3" t="s">
        <v>133</v>
      </c>
      <c r="BL26" s="3" t="s">
        <v>133</v>
      </c>
      <c r="BM26" s="3" t="s">
        <v>133</v>
      </c>
      <c r="BN26" s="3" t="s">
        <v>133</v>
      </c>
      <c r="BO26" s="3" t="s">
        <v>133</v>
      </c>
      <c r="BP26" s="3" t="s">
        <v>133</v>
      </c>
      <c r="BQ26" s="3" t="s">
        <v>133</v>
      </c>
      <c r="BR26" s="3" t="s">
        <v>133</v>
      </c>
      <c r="BS26" s="3" t="s">
        <v>133</v>
      </c>
      <c r="BT26" s="3" t="s">
        <v>133</v>
      </c>
    </row>
    <row r="27" spans="1:72" x14ac:dyDescent="0.25">
      <c r="A27" s="3" t="s">
        <v>184</v>
      </c>
      <c r="B27" s="3" t="s">
        <v>133</v>
      </c>
      <c r="C27" s="3" t="s">
        <v>133</v>
      </c>
      <c r="D27" s="3" t="s">
        <v>133</v>
      </c>
      <c r="E27" s="3" t="s">
        <v>133</v>
      </c>
      <c r="F27" s="3" t="s">
        <v>133</v>
      </c>
      <c r="G27" s="3" t="s">
        <v>133</v>
      </c>
      <c r="H27" s="3" t="s">
        <v>133</v>
      </c>
      <c r="I27" s="3" t="s">
        <v>133</v>
      </c>
      <c r="J27" s="3" t="s">
        <v>133</v>
      </c>
      <c r="K27" s="3" t="s">
        <v>133</v>
      </c>
      <c r="L27" s="3" t="s">
        <v>133</v>
      </c>
      <c r="M27" s="3" t="s">
        <v>133</v>
      </c>
      <c r="N27" s="3" t="s">
        <v>133</v>
      </c>
      <c r="O27" s="3" t="s">
        <v>133</v>
      </c>
      <c r="P27" s="3" t="s">
        <v>133</v>
      </c>
      <c r="Q27" s="3" t="s">
        <v>133</v>
      </c>
      <c r="R27" s="3" t="s">
        <v>133</v>
      </c>
      <c r="S27" s="3" t="s">
        <v>133</v>
      </c>
      <c r="T27" s="3" t="s">
        <v>133</v>
      </c>
      <c r="U27" s="3" t="s">
        <v>133</v>
      </c>
      <c r="V27" s="3" t="s">
        <v>133</v>
      </c>
      <c r="W27" s="3" t="s">
        <v>133</v>
      </c>
      <c r="X27" s="3" t="s">
        <v>133</v>
      </c>
      <c r="Y27" s="3">
        <v>28800000</v>
      </c>
      <c r="Z27" s="3" t="s">
        <v>133</v>
      </c>
      <c r="AA27" s="3" t="s">
        <v>133</v>
      </c>
      <c r="AB27" s="3" t="s">
        <v>133</v>
      </c>
      <c r="AC27" s="3" t="s">
        <v>133</v>
      </c>
      <c r="AD27" s="3" t="s">
        <v>133</v>
      </c>
      <c r="AE27" s="3" t="s">
        <v>133</v>
      </c>
      <c r="AF27" s="3" t="s">
        <v>133</v>
      </c>
      <c r="AG27" s="3" t="s">
        <v>133</v>
      </c>
      <c r="AH27" s="3" t="s">
        <v>133</v>
      </c>
      <c r="AI27" s="3" t="s">
        <v>133</v>
      </c>
      <c r="AJ27" s="3" t="s">
        <v>133</v>
      </c>
      <c r="AK27" s="3" t="s">
        <v>133</v>
      </c>
      <c r="AL27" s="3" t="s">
        <v>133</v>
      </c>
      <c r="AM27" s="3" t="s">
        <v>133</v>
      </c>
      <c r="AN27" s="3" t="s">
        <v>133</v>
      </c>
      <c r="AO27" s="3" t="s">
        <v>133</v>
      </c>
      <c r="AP27" s="3" t="s">
        <v>133</v>
      </c>
      <c r="AQ27" s="3" t="s">
        <v>133</v>
      </c>
      <c r="AR27" s="3" t="s">
        <v>133</v>
      </c>
      <c r="AS27" s="3" t="s">
        <v>133</v>
      </c>
      <c r="AT27" s="3" t="s">
        <v>133</v>
      </c>
      <c r="AU27" s="3" t="s">
        <v>133</v>
      </c>
      <c r="AV27" s="3" t="s">
        <v>133</v>
      </c>
      <c r="AW27" s="3" t="s">
        <v>133</v>
      </c>
      <c r="AX27" s="3" t="s">
        <v>133</v>
      </c>
      <c r="AY27" s="3" t="s">
        <v>133</v>
      </c>
      <c r="AZ27" s="3" t="s">
        <v>133</v>
      </c>
      <c r="BA27" s="3" t="s">
        <v>133</v>
      </c>
      <c r="BB27" s="3" t="s">
        <v>133</v>
      </c>
      <c r="BC27" s="3" t="s">
        <v>133</v>
      </c>
      <c r="BD27" s="3" t="s">
        <v>133</v>
      </c>
      <c r="BE27" s="3" t="s">
        <v>133</v>
      </c>
      <c r="BF27" s="3" t="s">
        <v>133</v>
      </c>
      <c r="BG27" s="3" t="s">
        <v>133</v>
      </c>
      <c r="BH27" s="3" t="s">
        <v>133</v>
      </c>
      <c r="BI27" s="3" t="s">
        <v>133</v>
      </c>
      <c r="BJ27" s="3" t="s">
        <v>133</v>
      </c>
      <c r="BK27" s="3" t="s">
        <v>133</v>
      </c>
      <c r="BL27" s="3" t="s">
        <v>133</v>
      </c>
      <c r="BM27" s="3" t="s">
        <v>133</v>
      </c>
      <c r="BN27" s="3" t="s">
        <v>133</v>
      </c>
      <c r="BO27" s="3" t="s">
        <v>133</v>
      </c>
      <c r="BP27" s="3" t="s">
        <v>133</v>
      </c>
      <c r="BQ27" s="3" t="s">
        <v>133</v>
      </c>
      <c r="BR27" s="3" t="s">
        <v>133</v>
      </c>
      <c r="BS27" s="3" t="s">
        <v>133</v>
      </c>
      <c r="BT27" s="3" t="s">
        <v>133</v>
      </c>
    </row>
    <row r="28" spans="1:72" x14ac:dyDescent="0.25">
      <c r="A28" s="3" t="s">
        <v>185</v>
      </c>
      <c r="B28" s="3" t="s">
        <v>133</v>
      </c>
      <c r="C28" s="3" t="s">
        <v>133</v>
      </c>
      <c r="D28" s="3" t="s">
        <v>133</v>
      </c>
      <c r="E28" s="3" t="s">
        <v>133</v>
      </c>
      <c r="F28" s="3" t="s">
        <v>133</v>
      </c>
      <c r="G28" s="3" t="s">
        <v>133</v>
      </c>
      <c r="H28" s="3" t="s">
        <v>133</v>
      </c>
      <c r="I28" s="3" t="s">
        <v>133</v>
      </c>
      <c r="J28" s="3" t="s">
        <v>133</v>
      </c>
      <c r="K28" s="3" t="s">
        <v>133</v>
      </c>
      <c r="L28" s="3" t="s">
        <v>133</v>
      </c>
      <c r="M28" s="3" t="s">
        <v>133</v>
      </c>
      <c r="N28" s="3" t="s">
        <v>133</v>
      </c>
      <c r="O28" s="3" t="s">
        <v>133</v>
      </c>
      <c r="P28" s="3" t="s">
        <v>133</v>
      </c>
      <c r="Q28" s="3" t="s">
        <v>133</v>
      </c>
      <c r="R28" s="3" t="s">
        <v>133</v>
      </c>
      <c r="S28" s="3" t="s">
        <v>133</v>
      </c>
      <c r="T28" s="3" t="s">
        <v>133</v>
      </c>
      <c r="U28" s="3" t="s">
        <v>133</v>
      </c>
      <c r="V28" s="3" t="s">
        <v>133</v>
      </c>
      <c r="W28" s="3" t="s">
        <v>133</v>
      </c>
      <c r="X28" s="3" t="s">
        <v>133</v>
      </c>
      <c r="Y28" s="3" t="s">
        <v>133</v>
      </c>
      <c r="Z28" s="3" t="s">
        <v>133</v>
      </c>
      <c r="AA28" s="3" t="s">
        <v>133</v>
      </c>
      <c r="AB28" s="3" t="s">
        <v>133</v>
      </c>
      <c r="AC28" s="3" t="s">
        <v>133</v>
      </c>
      <c r="AD28" s="3" t="s">
        <v>133</v>
      </c>
      <c r="AE28" s="3" t="s">
        <v>133</v>
      </c>
      <c r="AF28" s="3" t="s">
        <v>133</v>
      </c>
      <c r="AG28" s="3" t="s">
        <v>133</v>
      </c>
      <c r="AH28" s="3" t="s">
        <v>133</v>
      </c>
      <c r="AI28" s="3" t="s">
        <v>133</v>
      </c>
      <c r="AJ28" s="3" t="s">
        <v>133</v>
      </c>
      <c r="AK28" s="3" t="s">
        <v>133</v>
      </c>
      <c r="AL28" s="3" t="s">
        <v>133</v>
      </c>
      <c r="AM28" s="3" t="s">
        <v>133</v>
      </c>
      <c r="AN28" s="3" t="s">
        <v>133</v>
      </c>
      <c r="AO28" s="3" t="s">
        <v>133</v>
      </c>
      <c r="AP28" s="3" t="s">
        <v>133</v>
      </c>
      <c r="AQ28" s="3" t="s">
        <v>133</v>
      </c>
      <c r="AR28" s="3" t="s">
        <v>133</v>
      </c>
      <c r="AS28" s="3" t="s">
        <v>133</v>
      </c>
      <c r="AT28" s="3" t="s">
        <v>133</v>
      </c>
      <c r="AU28" s="3" t="s">
        <v>133</v>
      </c>
      <c r="AV28" s="3" t="s">
        <v>133</v>
      </c>
      <c r="AW28" s="3" t="s">
        <v>133</v>
      </c>
      <c r="AX28" s="3" t="s">
        <v>133</v>
      </c>
      <c r="AY28" s="3" t="s">
        <v>133</v>
      </c>
      <c r="AZ28" s="3" t="s">
        <v>133</v>
      </c>
      <c r="BA28" s="3" t="s">
        <v>133</v>
      </c>
      <c r="BB28" s="3" t="s">
        <v>133</v>
      </c>
      <c r="BC28" s="3" t="s">
        <v>133</v>
      </c>
      <c r="BD28" s="3" t="s">
        <v>133</v>
      </c>
      <c r="BE28" s="3" t="s">
        <v>133</v>
      </c>
      <c r="BF28" s="3" t="s">
        <v>133</v>
      </c>
      <c r="BG28" s="3" t="s">
        <v>133</v>
      </c>
      <c r="BH28" s="3" t="s">
        <v>133</v>
      </c>
      <c r="BI28" s="3" t="s">
        <v>133</v>
      </c>
      <c r="BJ28" s="3" t="s">
        <v>133</v>
      </c>
      <c r="BK28" s="3" t="s">
        <v>133</v>
      </c>
      <c r="BL28" s="3" t="s">
        <v>133</v>
      </c>
      <c r="BM28" s="3" t="s">
        <v>133</v>
      </c>
      <c r="BN28" s="3" t="s">
        <v>133</v>
      </c>
      <c r="BO28" s="3" t="s">
        <v>133</v>
      </c>
      <c r="BP28" s="3" t="s">
        <v>133</v>
      </c>
      <c r="BQ28" s="3" t="s">
        <v>133</v>
      </c>
      <c r="BR28" s="3" t="s">
        <v>133</v>
      </c>
      <c r="BS28" s="3" t="s">
        <v>133</v>
      </c>
      <c r="BT28" s="3" t="s">
        <v>133</v>
      </c>
    </row>
    <row r="29" spans="1:72" x14ac:dyDescent="0.25">
      <c r="A29" s="3" t="s">
        <v>186</v>
      </c>
      <c r="B29" s="3" t="s">
        <v>133</v>
      </c>
      <c r="C29" s="3" t="s">
        <v>133</v>
      </c>
      <c r="D29" s="3" t="s">
        <v>133</v>
      </c>
      <c r="E29" s="3" t="s">
        <v>133</v>
      </c>
      <c r="F29" s="3" t="s">
        <v>133</v>
      </c>
      <c r="G29" s="3" t="s">
        <v>133</v>
      </c>
      <c r="H29" s="3" t="s">
        <v>133</v>
      </c>
      <c r="I29" s="3" t="s">
        <v>133</v>
      </c>
      <c r="J29" s="3" t="s">
        <v>133</v>
      </c>
      <c r="K29" s="3" t="s">
        <v>133</v>
      </c>
      <c r="L29" s="3" t="s">
        <v>133</v>
      </c>
      <c r="M29" s="3" t="s">
        <v>133</v>
      </c>
      <c r="N29" s="3" t="s">
        <v>133</v>
      </c>
      <c r="O29" s="3" t="s">
        <v>133</v>
      </c>
      <c r="P29" s="3" t="s">
        <v>133</v>
      </c>
      <c r="Q29" s="3" t="s">
        <v>133</v>
      </c>
      <c r="R29" s="3" t="s">
        <v>133</v>
      </c>
      <c r="S29" s="3" t="s">
        <v>133</v>
      </c>
      <c r="T29" s="3" t="s">
        <v>133</v>
      </c>
      <c r="U29" s="3" t="s">
        <v>133</v>
      </c>
      <c r="V29" s="3" t="s">
        <v>133</v>
      </c>
      <c r="W29" s="3" t="s">
        <v>133</v>
      </c>
      <c r="X29" s="3">
        <v>22000000</v>
      </c>
      <c r="Y29" s="3" t="s">
        <v>133</v>
      </c>
      <c r="Z29" s="3" t="s">
        <v>133</v>
      </c>
      <c r="AA29" s="3" t="s">
        <v>133</v>
      </c>
      <c r="AB29" s="3" t="s">
        <v>133</v>
      </c>
      <c r="AC29" s="3" t="s">
        <v>133</v>
      </c>
      <c r="AD29" s="3">
        <v>1</v>
      </c>
      <c r="AE29" s="3">
        <v>3800</v>
      </c>
      <c r="AF29" s="3">
        <v>13700</v>
      </c>
      <c r="AG29" s="3">
        <v>22500</v>
      </c>
      <c r="AH29" s="3">
        <v>23400</v>
      </c>
      <c r="AI29" s="3">
        <v>21800</v>
      </c>
      <c r="AJ29" s="3">
        <v>21900</v>
      </c>
      <c r="AK29" s="3">
        <v>26000</v>
      </c>
      <c r="AL29" s="3">
        <v>26300</v>
      </c>
      <c r="AM29" s="3">
        <v>25300</v>
      </c>
      <c r="AN29" s="3">
        <v>25400</v>
      </c>
      <c r="AO29" s="3">
        <v>27100</v>
      </c>
      <c r="AP29" s="3">
        <v>21400</v>
      </c>
      <c r="AQ29" s="3">
        <v>30400</v>
      </c>
      <c r="AR29" s="3">
        <v>26900</v>
      </c>
      <c r="AS29" s="3">
        <v>27200</v>
      </c>
      <c r="AT29" s="3">
        <v>43600</v>
      </c>
      <c r="AU29" s="3">
        <v>44400</v>
      </c>
      <c r="AV29" s="3">
        <v>43000</v>
      </c>
      <c r="AW29" s="3">
        <v>76600</v>
      </c>
      <c r="AX29" s="3">
        <v>54100</v>
      </c>
      <c r="AY29" s="3">
        <v>37300</v>
      </c>
      <c r="AZ29" s="3">
        <v>593200</v>
      </c>
      <c r="BA29" s="3">
        <v>1224200</v>
      </c>
      <c r="BB29" s="3">
        <v>32400</v>
      </c>
      <c r="BC29" s="3">
        <v>34200</v>
      </c>
      <c r="BD29" s="3">
        <v>213800</v>
      </c>
      <c r="BE29" s="3">
        <v>226300</v>
      </c>
      <c r="BF29" s="3">
        <v>3457000</v>
      </c>
      <c r="BG29" s="3">
        <v>-871200</v>
      </c>
      <c r="BH29" s="3">
        <v>1334200</v>
      </c>
      <c r="BI29" s="3" t="s">
        <v>133</v>
      </c>
      <c r="BJ29" s="3" t="s">
        <v>133</v>
      </c>
      <c r="BK29" s="3" t="s">
        <v>133</v>
      </c>
      <c r="BL29" s="3" t="s">
        <v>133</v>
      </c>
      <c r="BM29" s="3" t="s">
        <v>133</v>
      </c>
      <c r="BN29" s="3" t="s">
        <v>133</v>
      </c>
      <c r="BO29" s="3" t="s">
        <v>133</v>
      </c>
      <c r="BP29" s="3" t="s">
        <v>133</v>
      </c>
      <c r="BQ29" s="3" t="s">
        <v>133</v>
      </c>
      <c r="BR29" s="3" t="s">
        <v>133</v>
      </c>
      <c r="BS29" s="3" t="s">
        <v>133</v>
      </c>
      <c r="BT29" s="3" t="s">
        <v>133</v>
      </c>
    </row>
    <row r="30" spans="1:72" x14ac:dyDescent="0.25">
      <c r="A30" s="3" t="s">
        <v>187</v>
      </c>
      <c r="B30" s="3" t="s">
        <v>133</v>
      </c>
      <c r="C30" s="3" t="s">
        <v>133</v>
      </c>
      <c r="D30" s="3" t="s">
        <v>133</v>
      </c>
      <c r="E30" s="3" t="s">
        <v>133</v>
      </c>
      <c r="F30" s="3" t="s">
        <v>133</v>
      </c>
      <c r="G30" s="3" t="s">
        <v>133</v>
      </c>
      <c r="H30" s="3" t="s">
        <v>133</v>
      </c>
      <c r="I30" s="3" t="s">
        <v>133</v>
      </c>
      <c r="J30" s="3" t="s">
        <v>133</v>
      </c>
      <c r="K30" s="3" t="s">
        <v>133</v>
      </c>
      <c r="L30" s="3" t="s">
        <v>133</v>
      </c>
      <c r="M30" s="3" t="s">
        <v>133</v>
      </c>
      <c r="N30" s="3" t="s">
        <v>133</v>
      </c>
      <c r="O30" s="3" t="s">
        <v>133</v>
      </c>
      <c r="P30" s="3" t="s">
        <v>133</v>
      </c>
      <c r="Q30" s="3" t="s">
        <v>133</v>
      </c>
      <c r="R30" s="3" t="s">
        <v>133</v>
      </c>
      <c r="S30" s="3" t="s">
        <v>133</v>
      </c>
      <c r="T30" s="3" t="s">
        <v>133</v>
      </c>
      <c r="U30" s="3" t="s">
        <v>133</v>
      </c>
      <c r="V30" s="3" t="s">
        <v>133</v>
      </c>
      <c r="W30" s="3" t="s">
        <v>133</v>
      </c>
      <c r="X30" s="3">
        <v>22000000</v>
      </c>
      <c r="Y30" s="3">
        <v>96182607</v>
      </c>
      <c r="Z30" s="3" t="s">
        <v>133</v>
      </c>
      <c r="AA30" s="3" t="s">
        <v>133</v>
      </c>
      <c r="AB30" s="3" t="s">
        <v>133</v>
      </c>
      <c r="AC30" s="3">
        <v>6000000</v>
      </c>
      <c r="AD30" s="3">
        <v>0.89</v>
      </c>
      <c r="AE30" s="3">
        <v>3789.63</v>
      </c>
      <c r="AF30" s="3">
        <v>13684.26</v>
      </c>
      <c r="AG30" s="3">
        <v>392022466.76999998</v>
      </c>
      <c r="AH30" s="3">
        <v>23404.720000000001</v>
      </c>
      <c r="AI30" s="3">
        <v>21759.14</v>
      </c>
      <c r="AJ30" s="3">
        <v>21866.52</v>
      </c>
      <c r="AK30" s="3">
        <v>26009.06</v>
      </c>
      <c r="AL30" s="3">
        <v>26261.39</v>
      </c>
      <c r="AM30" s="3">
        <v>25316.77</v>
      </c>
      <c r="AN30" s="3">
        <v>25385.15</v>
      </c>
      <c r="AO30" s="3">
        <v>27136.41</v>
      </c>
      <c r="AP30" s="3">
        <v>21389.91</v>
      </c>
      <c r="AQ30" s="3">
        <v>30383.99</v>
      </c>
      <c r="AR30" s="3">
        <v>26891.3</v>
      </c>
      <c r="AS30" s="3">
        <v>27180.639999999999</v>
      </c>
      <c r="AT30" s="3">
        <v>43551.96</v>
      </c>
      <c r="AU30" s="3">
        <v>44437.14</v>
      </c>
      <c r="AV30" s="3">
        <v>42952.08</v>
      </c>
      <c r="AW30" s="3">
        <v>76607.64</v>
      </c>
      <c r="AX30" s="3">
        <v>54137.87</v>
      </c>
      <c r="AY30" s="3">
        <v>37266.71</v>
      </c>
      <c r="AZ30" s="3">
        <v>593163.85</v>
      </c>
      <c r="BA30" s="3">
        <v>1224218.28</v>
      </c>
      <c r="BB30" s="3">
        <v>32406.13</v>
      </c>
      <c r="BC30" s="3">
        <v>34246.589999999997</v>
      </c>
      <c r="BD30" s="3">
        <v>213750</v>
      </c>
      <c r="BE30" s="3">
        <v>226286.95</v>
      </c>
      <c r="BF30" s="3">
        <v>3456988.13</v>
      </c>
      <c r="BG30" s="3">
        <v>-871170.34</v>
      </c>
      <c r="BH30" s="3">
        <v>1334218.3600000001</v>
      </c>
      <c r="BI30" s="3" t="s">
        <v>133</v>
      </c>
      <c r="BJ30" s="3" t="s">
        <v>133</v>
      </c>
      <c r="BK30" s="3" t="s">
        <v>133</v>
      </c>
      <c r="BL30" s="3" t="s">
        <v>133</v>
      </c>
      <c r="BM30" s="3" t="s">
        <v>133</v>
      </c>
      <c r="BN30" s="3" t="s">
        <v>133</v>
      </c>
      <c r="BO30" s="3" t="s">
        <v>133</v>
      </c>
      <c r="BP30" s="3" t="s">
        <v>133</v>
      </c>
      <c r="BQ30" s="3" t="s">
        <v>133</v>
      </c>
      <c r="BR30" s="3" t="s">
        <v>133</v>
      </c>
      <c r="BS30" s="3" t="s">
        <v>133</v>
      </c>
      <c r="BT30" s="3" t="s">
        <v>133</v>
      </c>
    </row>
    <row r="31" spans="1:72" x14ac:dyDescent="0.25">
      <c r="A31" s="3" t="s">
        <v>188</v>
      </c>
      <c r="B31" s="3" t="s">
        <v>133</v>
      </c>
      <c r="C31" s="3" t="s">
        <v>133</v>
      </c>
      <c r="D31" s="3" t="s">
        <v>133</v>
      </c>
      <c r="E31" s="3" t="s">
        <v>133</v>
      </c>
      <c r="F31" s="3" t="s">
        <v>133</v>
      </c>
      <c r="G31" s="3" t="s">
        <v>133</v>
      </c>
      <c r="H31" s="3" t="s">
        <v>133</v>
      </c>
      <c r="I31" s="3" t="s">
        <v>133</v>
      </c>
      <c r="J31" s="3" t="s">
        <v>133</v>
      </c>
      <c r="K31" s="3" t="s">
        <v>133</v>
      </c>
      <c r="L31" s="3" t="s">
        <v>133</v>
      </c>
      <c r="M31" s="3" t="s">
        <v>133</v>
      </c>
      <c r="N31" s="3" t="s">
        <v>133</v>
      </c>
      <c r="O31" s="3" t="s">
        <v>133</v>
      </c>
      <c r="P31" s="3" t="s">
        <v>133</v>
      </c>
      <c r="Q31" s="3" t="s">
        <v>133</v>
      </c>
      <c r="R31" s="3" t="s">
        <v>133</v>
      </c>
      <c r="S31" s="3" t="s">
        <v>133</v>
      </c>
      <c r="T31" s="3" t="s">
        <v>133</v>
      </c>
      <c r="U31" s="3" t="s">
        <v>133</v>
      </c>
      <c r="V31" s="3" t="s">
        <v>133</v>
      </c>
      <c r="W31" s="3" t="s">
        <v>133</v>
      </c>
      <c r="X31" s="3">
        <v>55917672</v>
      </c>
      <c r="Y31" s="3" t="s">
        <v>133</v>
      </c>
      <c r="Z31" s="3" t="s">
        <v>133</v>
      </c>
      <c r="AA31" s="3" t="s">
        <v>133</v>
      </c>
      <c r="AB31" s="3" t="s">
        <v>133</v>
      </c>
      <c r="AC31" s="3" t="s">
        <v>133</v>
      </c>
      <c r="AD31" s="3" t="s">
        <v>133</v>
      </c>
      <c r="AE31" s="3" t="s">
        <v>133</v>
      </c>
      <c r="AF31" s="3" t="s">
        <v>133</v>
      </c>
      <c r="AG31" s="3" t="s">
        <v>133</v>
      </c>
      <c r="AH31" s="3" t="s">
        <v>133</v>
      </c>
      <c r="AI31" s="3" t="s">
        <v>133</v>
      </c>
      <c r="AJ31" s="3" t="s">
        <v>133</v>
      </c>
      <c r="AK31" s="3" t="s">
        <v>133</v>
      </c>
      <c r="AL31" s="3" t="s">
        <v>133</v>
      </c>
      <c r="AM31" s="3" t="s">
        <v>133</v>
      </c>
      <c r="AN31" s="3" t="s">
        <v>133</v>
      </c>
      <c r="AO31" s="3" t="s">
        <v>133</v>
      </c>
      <c r="AP31" s="3" t="s">
        <v>133</v>
      </c>
      <c r="AQ31" s="3" t="s">
        <v>133</v>
      </c>
      <c r="AR31" s="3" t="s">
        <v>133</v>
      </c>
      <c r="AS31" s="3" t="s">
        <v>133</v>
      </c>
      <c r="AT31" s="3" t="s">
        <v>133</v>
      </c>
      <c r="AU31" s="3" t="s">
        <v>133</v>
      </c>
      <c r="AV31" s="3" t="s">
        <v>133</v>
      </c>
      <c r="AW31" s="3" t="s">
        <v>133</v>
      </c>
      <c r="AX31" s="3" t="s">
        <v>133</v>
      </c>
      <c r="AY31" s="3" t="s">
        <v>133</v>
      </c>
      <c r="AZ31" s="3" t="s">
        <v>133</v>
      </c>
      <c r="BA31" s="3" t="s">
        <v>133</v>
      </c>
      <c r="BB31" s="3" t="s">
        <v>133</v>
      </c>
      <c r="BC31" s="3" t="s">
        <v>133</v>
      </c>
      <c r="BD31" s="3" t="s">
        <v>133</v>
      </c>
      <c r="BE31" s="3" t="s">
        <v>133</v>
      </c>
      <c r="BF31" s="3" t="s">
        <v>133</v>
      </c>
      <c r="BG31" s="3" t="s">
        <v>133</v>
      </c>
      <c r="BH31" s="3" t="s">
        <v>133</v>
      </c>
      <c r="BI31" s="3" t="s">
        <v>133</v>
      </c>
      <c r="BJ31" s="3" t="s">
        <v>133</v>
      </c>
      <c r="BK31" s="3" t="s">
        <v>133</v>
      </c>
      <c r="BL31" s="3" t="s">
        <v>133</v>
      </c>
      <c r="BM31" s="3" t="s">
        <v>133</v>
      </c>
      <c r="BN31" s="3" t="s">
        <v>133</v>
      </c>
      <c r="BO31" s="3" t="s">
        <v>133</v>
      </c>
      <c r="BP31" s="3" t="s">
        <v>133</v>
      </c>
      <c r="BQ31" s="3" t="s">
        <v>133</v>
      </c>
      <c r="BR31" s="3" t="s">
        <v>133</v>
      </c>
      <c r="BS31" s="3" t="s">
        <v>133</v>
      </c>
      <c r="BT31" s="3" t="s">
        <v>133</v>
      </c>
    </row>
    <row r="32" spans="1:72" x14ac:dyDescent="0.25">
      <c r="A32" s="3" t="s">
        <v>189</v>
      </c>
      <c r="B32" s="3">
        <v>144090200</v>
      </c>
      <c r="C32" s="3">
        <v>23282981100</v>
      </c>
      <c r="D32" s="3">
        <v>451234400</v>
      </c>
      <c r="E32" s="3">
        <v>-3745400</v>
      </c>
      <c r="F32" s="3">
        <v>255918400</v>
      </c>
      <c r="G32" s="3" t="s">
        <v>133</v>
      </c>
      <c r="H32" s="3" t="s">
        <v>133</v>
      </c>
      <c r="I32" s="3">
        <v>5700000</v>
      </c>
      <c r="J32" s="3">
        <v>2580473500</v>
      </c>
      <c r="K32" s="3" t="s">
        <v>133</v>
      </c>
      <c r="L32" s="3" t="s">
        <v>133</v>
      </c>
      <c r="M32" s="3">
        <v>6000000</v>
      </c>
      <c r="N32" s="3">
        <v>8529177900</v>
      </c>
      <c r="O32" s="3" t="s">
        <v>133</v>
      </c>
      <c r="P32" s="3" t="s">
        <v>133</v>
      </c>
      <c r="Q32" s="3">
        <v>66448300</v>
      </c>
      <c r="R32" s="3">
        <v>5000990100</v>
      </c>
      <c r="S32" s="3">
        <v>2774566500</v>
      </c>
      <c r="T32" s="3">
        <v>508507300</v>
      </c>
      <c r="U32" s="3">
        <v>464300</v>
      </c>
      <c r="V32" s="3">
        <v>5552612900</v>
      </c>
      <c r="W32" s="3">
        <v>300600</v>
      </c>
      <c r="X32" s="3">
        <v>724200</v>
      </c>
      <c r="Y32" s="3">
        <v>16217500</v>
      </c>
      <c r="Z32" s="3" t="s">
        <v>133</v>
      </c>
      <c r="AA32" s="3" t="s">
        <v>133</v>
      </c>
      <c r="AB32" s="3" t="s">
        <v>133</v>
      </c>
      <c r="AC32" s="3">
        <v>47667400</v>
      </c>
      <c r="AD32" s="3">
        <v>553910100</v>
      </c>
      <c r="AE32" s="3">
        <v>6692016600</v>
      </c>
      <c r="AF32" s="3">
        <v>98394500</v>
      </c>
      <c r="AG32" s="3">
        <v>195688500</v>
      </c>
      <c r="AH32" s="3">
        <v>4055710900</v>
      </c>
      <c r="AI32" s="3">
        <v>2250000</v>
      </c>
      <c r="AJ32" s="3">
        <v>52964700</v>
      </c>
      <c r="AK32" s="3">
        <v>232441900</v>
      </c>
      <c r="AL32" s="3">
        <v>2209264800</v>
      </c>
      <c r="AM32" s="3" t="s">
        <v>133</v>
      </c>
      <c r="AN32" s="3" t="s">
        <v>133</v>
      </c>
      <c r="AO32" s="3">
        <v>38431600</v>
      </c>
      <c r="AP32" s="3">
        <v>1115061700</v>
      </c>
      <c r="AQ32" s="3">
        <v>2250000</v>
      </c>
      <c r="AR32" s="3">
        <v>137207700</v>
      </c>
      <c r="AS32" s="3">
        <v>450100</v>
      </c>
      <c r="AT32" s="3">
        <v>1060442400</v>
      </c>
      <c r="AU32" s="3">
        <v>172451400</v>
      </c>
      <c r="AV32" s="3">
        <v>1800000</v>
      </c>
      <c r="AW32" s="3">
        <v>115387000</v>
      </c>
      <c r="AX32" s="3">
        <v>2799300</v>
      </c>
      <c r="AY32" s="3" t="s">
        <v>133</v>
      </c>
      <c r="AZ32" s="3" t="s">
        <v>133</v>
      </c>
      <c r="BA32" s="3">
        <v>74600</v>
      </c>
      <c r="BB32" s="3">
        <v>705891500</v>
      </c>
      <c r="BC32" s="3">
        <v>1066300</v>
      </c>
      <c r="BD32" s="3">
        <v>-166300</v>
      </c>
      <c r="BE32" s="3">
        <v>2331700</v>
      </c>
      <c r="BF32" s="3">
        <v>1537700</v>
      </c>
      <c r="BG32" s="3">
        <v>721271900</v>
      </c>
      <c r="BH32" s="3">
        <v>34997800</v>
      </c>
      <c r="BI32" s="3">
        <v>15294900</v>
      </c>
      <c r="BJ32" s="3">
        <v>149371800</v>
      </c>
      <c r="BK32" s="3">
        <v>13343200</v>
      </c>
      <c r="BL32" s="3">
        <v>13693900</v>
      </c>
      <c r="BM32" s="3">
        <v>-2928200</v>
      </c>
      <c r="BN32" s="3">
        <v>74296700</v>
      </c>
      <c r="BO32" s="3">
        <v>-3095000</v>
      </c>
      <c r="BP32" s="3">
        <v>-5959100</v>
      </c>
      <c r="BQ32" s="3">
        <v>-3643500</v>
      </c>
      <c r="BR32" s="3">
        <v>42171300</v>
      </c>
      <c r="BS32" s="3">
        <v>11046600</v>
      </c>
      <c r="BT32" s="3">
        <v>-2188400</v>
      </c>
    </row>
    <row r="33" spans="1:72" x14ac:dyDescent="0.25">
      <c r="A33" s="3" t="s">
        <v>190</v>
      </c>
      <c r="B33" s="3">
        <v>144090200</v>
      </c>
      <c r="C33" s="3">
        <v>1896213600</v>
      </c>
      <c r="D33" s="3">
        <v>451234400</v>
      </c>
      <c r="E33" s="3">
        <v>57000000</v>
      </c>
      <c r="F33" s="3" t="s">
        <v>133</v>
      </c>
      <c r="G33" s="3" t="s">
        <v>133</v>
      </c>
      <c r="H33" s="3" t="s">
        <v>133</v>
      </c>
      <c r="I33" s="3">
        <v>5700000</v>
      </c>
      <c r="J33" s="3">
        <v>2580473500</v>
      </c>
      <c r="K33" s="3" t="s">
        <v>133</v>
      </c>
      <c r="L33" s="3" t="s">
        <v>133</v>
      </c>
      <c r="M33" s="3">
        <v>6000000</v>
      </c>
      <c r="N33" s="3">
        <v>3363400</v>
      </c>
      <c r="O33" s="3" t="s">
        <v>133</v>
      </c>
      <c r="P33" s="3" t="s">
        <v>133</v>
      </c>
      <c r="Q33" s="3">
        <v>0</v>
      </c>
      <c r="R33" s="3">
        <v>23560000</v>
      </c>
      <c r="S33" s="3" t="s">
        <v>133</v>
      </c>
      <c r="T33" s="3">
        <v>508507300</v>
      </c>
      <c r="U33" s="3">
        <v>464300</v>
      </c>
      <c r="V33" s="3" t="s">
        <v>133</v>
      </c>
      <c r="W33" s="3" t="s">
        <v>133</v>
      </c>
      <c r="X33" s="3" t="s">
        <v>133</v>
      </c>
      <c r="Y33" s="3" t="s">
        <v>133</v>
      </c>
      <c r="Z33" s="3" t="s">
        <v>133</v>
      </c>
      <c r="AA33" s="3" t="s">
        <v>133</v>
      </c>
      <c r="AB33" s="3" t="s">
        <v>133</v>
      </c>
      <c r="AC33" s="3" t="s">
        <v>133</v>
      </c>
      <c r="AD33" s="3" t="s">
        <v>133</v>
      </c>
      <c r="AE33" s="3" t="s">
        <v>133</v>
      </c>
      <c r="AF33" s="3" t="s">
        <v>133</v>
      </c>
      <c r="AG33" s="3" t="s">
        <v>133</v>
      </c>
      <c r="AH33" s="3" t="s">
        <v>133</v>
      </c>
      <c r="AI33" s="3" t="s">
        <v>133</v>
      </c>
      <c r="AJ33" s="3" t="s">
        <v>133</v>
      </c>
      <c r="AK33" s="3" t="s">
        <v>133</v>
      </c>
      <c r="AL33" s="3" t="s">
        <v>133</v>
      </c>
      <c r="AM33" s="3" t="s">
        <v>133</v>
      </c>
      <c r="AN33" s="3" t="s">
        <v>133</v>
      </c>
      <c r="AO33" s="3" t="s">
        <v>133</v>
      </c>
      <c r="AP33" s="3" t="s">
        <v>133</v>
      </c>
      <c r="AQ33" s="3" t="s">
        <v>133</v>
      </c>
      <c r="AR33" s="3">
        <v>137207700</v>
      </c>
      <c r="AS33" s="3" t="s">
        <v>133</v>
      </c>
      <c r="AT33" s="3" t="s">
        <v>133</v>
      </c>
      <c r="AU33" s="3" t="s">
        <v>133</v>
      </c>
      <c r="AV33" s="3" t="s">
        <v>133</v>
      </c>
      <c r="AW33" s="3" t="s">
        <v>133</v>
      </c>
      <c r="AX33" s="3" t="s">
        <v>133</v>
      </c>
      <c r="AY33" s="3" t="s">
        <v>133</v>
      </c>
      <c r="AZ33" s="3" t="s">
        <v>133</v>
      </c>
      <c r="BA33" s="3" t="s">
        <v>133</v>
      </c>
      <c r="BB33" s="3" t="s">
        <v>133</v>
      </c>
      <c r="BC33" s="3" t="s">
        <v>133</v>
      </c>
      <c r="BD33" s="3" t="s">
        <v>133</v>
      </c>
      <c r="BE33" s="3" t="s">
        <v>133</v>
      </c>
      <c r="BF33" s="3" t="s">
        <v>133</v>
      </c>
      <c r="BG33" s="3" t="s">
        <v>133</v>
      </c>
      <c r="BH33" s="3" t="s">
        <v>133</v>
      </c>
      <c r="BI33" s="3" t="s">
        <v>133</v>
      </c>
      <c r="BJ33" s="3" t="s">
        <v>133</v>
      </c>
      <c r="BK33" s="3" t="s">
        <v>133</v>
      </c>
      <c r="BL33" s="3" t="s">
        <v>133</v>
      </c>
      <c r="BM33" s="3" t="s">
        <v>133</v>
      </c>
      <c r="BN33" s="3" t="s">
        <v>133</v>
      </c>
      <c r="BO33" s="3" t="s">
        <v>133</v>
      </c>
      <c r="BP33" s="3" t="s">
        <v>133</v>
      </c>
      <c r="BQ33" s="3" t="s">
        <v>133</v>
      </c>
      <c r="BR33" s="3" t="s">
        <v>133</v>
      </c>
      <c r="BS33" s="3" t="s">
        <v>133</v>
      </c>
      <c r="BT33" s="3" t="s">
        <v>133</v>
      </c>
    </row>
    <row r="34" spans="1:72" x14ac:dyDescent="0.25">
      <c r="A34" s="3" t="s">
        <v>191</v>
      </c>
      <c r="B34" s="3" t="s">
        <v>133</v>
      </c>
      <c r="C34" s="3" t="s">
        <v>133</v>
      </c>
      <c r="D34" s="3" t="s">
        <v>133</v>
      </c>
      <c r="E34" s="3" t="s">
        <v>133</v>
      </c>
      <c r="F34" s="3" t="s">
        <v>133</v>
      </c>
      <c r="G34" s="3" t="s">
        <v>133</v>
      </c>
      <c r="H34" s="3" t="s">
        <v>133</v>
      </c>
      <c r="I34" s="3" t="s">
        <v>133</v>
      </c>
      <c r="J34" s="3" t="s">
        <v>133</v>
      </c>
      <c r="K34" s="3" t="s">
        <v>133</v>
      </c>
      <c r="L34" s="3" t="s">
        <v>133</v>
      </c>
      <c r="M34" s="3" t="s">
        <v>133</v>
      </c>
      <c r="N34" s="3" t="s">
        <v>133</v>
      </c>
      <c r="O34" s="3" t="s">
        <v>133</v>
      </c>
      <c r="P34" s="3" t="s">
        <v>133</v>
      </c>
      <c r="Q34" s="3" t="s">
        <v>133</v>
      </c>
      <c r="R34" s="3" t="s">
        <v>133</v>
      </c>
      <c r="S34" s="3" t="s">
        <v>133</v>
      </c>
      <c r="T34" s="3" t="s">
        <v>133</v>
      </c>
      <c r="U34" s="3" t="s">
        <v>133</v>
      </c>
      <c r="V34" s="3" t="s">
        <v>133</v>
      </c>
      <c r="W34" s="3" t="s">
        <v>133</v>
      </c>
      <c r="X34" s="3" t="s">
        <v>133</v>
      </c>
      <c r="Y34" s="3" t="s">
        <v>133</v>
      </c>
      <c r="Z34" s="3" t="s">
        <v>133</v>
      </c>
      <c r="AA34" s="3" t="s">
        <v>133</v>
      </c>
      <c r="AB34" s="3" t="s">
        <v>133</v>
      </c>
      <c r="AC34" s="3" t="s">
        <v>133</v>
      </c>
      <c r="AD34" s="3" t="s">
        <v>133</v>
      </c>
      <c r="AE34" s="3" t="s">
        <v>133</v>
      </c>
      <c r="AF34" s="3" t="s">
        <v>133</v>
      </c>
      <c r="AG34" s="3" t="s">
        <v>133</v>
      </c>
      <c r="AH34" s="3" t="s">
        <v>133</v>
      </c>
      <c r="AI34" s="3" t="s">
        <v>133</v>
      </c>
      <c r="AJ34" s="3" t="s">
        <v>133</v>
      </c>
      <c r="AK34" s="3" t="s">
        <v>133</v>
      </c>
      <c r="AL34" s="3" t="s">
        <v>133</v>
      </c>
      <c r="AM34" s="3" t="s">
        <v>133</v>
      </c>
      <c r="AN34" s="3" t="s">
        <v>133</v>
      </c>
      <c r="AO34" s="3" t="s">
        <v>133</v>
      </c>
      <c r="AP34" s="3" t="s">
        <v>133</v>
      </c>
      <c r="AQ34" s="3" t="s">
        <v>133</v>
      </c>
      <c r="AR34" s="3" t="s">
        <v>133</v>
      </c>
      <c r="AS34" s="3" t="s">
        <v>133</v>
      </c>
      <c r="AT34" s="3" t="s">
        <v>133</v>
      </c>
      <c r="AU34" s="3" t="s">
        <v>133</v>
      </c>
      <c r="AV34" s="3" t="s">
        <v>133</v>
      </c>
      <c r="AW34" s="3" t="s">
        <v>133</v>
      </c>
      <c r="AX34" s="3" t="s">
        <v>133</v>
      </c>
      <c r="AY34" s="3" t="s">
        <v>133</v>
      </c>
      <c r="AZ34" s="3" t="s">
        <v>133</v>
      </c>
      <c r="BA34" s="3" t="s">
        <v>133</v>
      </c>
      <c r="BB34" s="3" t="s">
        <v>133</v>
      </c>
      <c r="BC34" s="3" t="s">
        <v>133</v>
      </c>
      <c r="BD34" s="3" t="s">
        <v>133</v>
      </c>
      <c r="BE34" s="3" t="s">
        <v>133</v>
      </c>
      <c r="BF34" s="3" t="s">
        <v>133</v>
      </c>
      <c r="BG34" s="3" t="s">
        <v>133</v>
      </c>
      <c r="BH34" s="3" t="s">
        <v>133</v>
      </c>
      <c r="BI34" s="3" t="s">
        <v>133</v>
      </c>
      <c r="BJ34" s="3" t="s">
        <v>133</v>
      </c>
      <c r="BK34" s="3" t="s">
        <v>133</v>
      </c>
      <c r="BL34" s="3" t="s">
        <v>133</v>
      </c>
      <c r="BM34" s="3" t="s">
        <v>133</v>
      </c>
      <c r="BN34" s="3" t="s">
        <v>133</v>
      </c>
      <c r="BO34" s="3" t="s">
        <v>133</v>
      </c>
      <c r="BP34" s="3" t="s">
        <v>133</v>
      </c>
      <c r="BQ34" s="3" t="s">
        <v>133</v>
      </c>
      <c r="BR34" s="3" t="s">
        <v>133</v>
      </c>
      <c r="BS34" s="3" t="s">
        <v>133</v>
      </c>
      <c r="BT34" s="3" t="s">
        <v>133</v>
      </c>
    </row>
    <row r="35" spans="1:72" x14ac:dyDescent="0.25">
      <c r="A35" s="3" t="s">
        <v>192</v>
      </c>
      <c r="B35" s="3">
        <v>144090203.21000001</v>
      </c>
      <c r="C35" s="3">
        <v>23282981133.060001</v>
      </c>
      <c r="D35" s="3">
        <v>451234400</v>
      </c>
      <c r="E35" s="3">
        <v>-3745423.22</v>
      </c>
      <c r="F35" s="3">
        <v>255918414.47999999</v>
      </c>
      <c r="G35" s="3" t="s">
        <v>133</v>
      </c>
      <c r="H35" s="3" t="s">
        <v>133</v>
      </c>
      <c r="I35" s="3">
        <v>5700000</v>
      </c>
      <c r="J35" s="3">
        <v>2580473549.23</v>
      </c>
      <c r="K35" s="3" t="s">
        <v>133</v>
      </c>
      <c r="L35" s="3" t="s">
        <v>133</v>
      </c>
      <c r="M35" s="3">
        <v>6000000</v>
      </c>
      <c r="N35" s="3">
        <v>8529177880.8000002</v>
      </c>
      <c r="O35" s="3" t="s">
        <v>133</v>
      </c>
      <c r="P35" s="3" t="s">
        <v>133</v>
      </c>
      <c r="Q35" s="3">
        <v>66448341.880000003</v>
      </c>
      <c r="R35" s="3">
        <v>5000990129.3599997</v>
      </c>
      <c r="S35" s="3">
        <v>2774566494.4499998</v>
      </c>
      <c r="T35" s="3">
        <v>508507286.54000002</v>
      </c>
      <c r="U35" s="3">
        <v>464257.09</v>
      </c>
      <c r="V35" s="3">
        <v>5552612924.8500004</v>
      </c>
      <c r="W35" s="3">
        <v>300603.76</v>
      </c>
      <c r="X35" s="3">
        <v>56641852.909999996</v>
      </c>
      <c r="Y35" s="3">
        <v>38217468.710000001</v>
      </c>
      <c r="Z35" s="3" t="s">
        <v>133</v>
      </c>
      <c r="AA35" s="3" t="s">
        <v>133</v>
      </c>
      <c r="AB35" s="3" t="s">
        <v>133</v>
      </c>
      <c r="AC35" s="3">
        <v>47667355.57</v>
      </c>
      <c r="AD35" s="3">
        <v>553910065.33000004</v>
      </c>
      <c r="AE35" s="3">
        <v>6692016584.1400003</v>
      </c>
      <c r="AF35" s="3">
        <v>98394544.209999993</v>
      </c>
      <c r="AG35" s="3">
        <v>195688455.97999999</v>
      </c>
      <c r="AH35" s="3">
        <v>4055710916.02</v>
      </c>
      <c r="AI35" s="3">
        <v>2250000</v>
      </c>
      <c r="AJ35" s="3">
        <v>52964748</v>
      </c>
      <c r="AK35" s="3">
        <v>232441881.27000001</v>
      </c>
      <c r="AL35" s="3">
        <v>2209264779.6399999</v>
      </c>
      <c r="AM35" s="3" t="s">
        <v>133</v>
      </c>
      <c r="AN35" s="3" t="s">
        <v>133</v>
      </c>
      <c r="AO35" s="3">
        <v>38431640.170000002</v>
      </c>
      <c r="AP35" s="3">
        <v>1115061729.6199999</v>
      </c>
      <c r="AQ35" s="3">
        <v>2250000</v>
      </c>
      <c r="AR35" s="3">
        <v>137207662.62</v>
      </c>
      <c r="AS35" s="3">
        <v>450055.5</v>
      </c>
      <c r="AT35" s="3">
        <v>1060442428.87</v>
      </c>
      <c r="AU35" s="3">
        <v>172451384.72999999</v>
      </c>
      <c r="AV35" s="3">
        <v>1800000</v>
      </c>
      <c r="AW35" s="3">
        <v>115386977.67</v>
      </c>
      <c r="AX35" s="3">
        <v>2799330.95</v>
      </c>
      <c r="AY35" s="3" t="s">
        <v>133</v>
      </c>
      <c r="AZ35" s="3" t="s">
        <v>133</v>
      </c>
      <c r="BA35" s="3">
        <v>74571.740000000005</v>
      </c>
      <c r="BB35" s="3">
        <v>705877392.75999999</v>
      </c>
      <c r="BC35" s="3">
        <v>1080398.3500000001</v>
      </c>
      <c r="BD35" s="3">
        <v>-166334.65</v>
      </c>
      <c r="BE35" s="3">
        <v>2331674.25</v>
      </c>
      <c r="BF35" s="3">
        <v>1537716.92</v>
      </c>
      <c r="BG35" s="3">
        <v>721271886.75</v>
      </c>
      <c r="BH35" s="3">
        <v>34997836.479999997</v>
      </c>
      <c r="BI35" s="3">
        <v>15294882.82</v>
      </c>
      <c r="BJ35" s="3">
        <v>149371835.03999999</v>
      </c>
      <c r="BK35" s="3">
        <v>13343172.300000001</v>
      </c>
      <c r="BL35" s="3">
        <v>13693935.66</v>
      </c>
      <c r="BM35" s="3">
        <v>-2928213.61</v>
      </c>
      <c r="BN35" s="3">
        <v>74296682.450000003</v>
      </c>
      <c r="BO35" s="3">
        <v>-3094958.71</v>
      </c>
      <c r="BP35" s="3">
        <v>-5959082.6799999997</v>
      </c>
      <c r="BQ35" s="3">
        <v>-3643510.81</v>
      </c>
      <c r="BR35" s="3">
        <v>42171295.219999999</v>
      </c>
      <c r="BS35" s="3">
        <v>11046562.27</v>
      </c>
      <c r="BT35" s="3">
        <v>-2188358.4300000002</v>
      </c>
    </row>
    <row r="36" spans="1:72" x14ac:dyDescent="0.25">
      <c r="A36" s="3" t="s">
        <v>21</v>
      </c>
      <c r="B36" s="3">
        <v>-144090203.21000001</v>
      </c>
      <c r="C36" s="3">
        <v>-23282981133.060001</v>
      </c>
      <c r="D36" s="3">
        <v>-451234400</v>
      </c>
      <c r="E36" s="3">
        <v>3745423.22</v>
      </c>
      <c r="F36" s="3">
        <v>-255918414.47999999</v>
      </c>
      <c r="G36" s="3" t="s">
        <v>133</v>
      </c>
      <c r="H36" s="3" t="s">
        <v>133</v>
      </c>
      <c r="I36" s="3">
        <v>-5700000</v>
      </c>
      <c r="J36" s="3">
        <v>-2580473549.23</v>
      </c>
      <c r="K36" s="3" t="s">
        <v>133</v>
      </c>
      <c r="L36" s="3" t="s">
        <v>133</v>
      </c>
      <c r="M36" s="3">
        <v>-6000000</v>
      </c>
      <c r="N36" s="3">
        <v>-8529177880.8000002</v>
      </c>
      <c r="O36" s="3" t="s">
        <v>133</v>
      </c>
      <c r="P36" s="3" t="s">
        <v>133</v>
      </c>
      <c r="Q36" s="3">
        <v>-50448341.880000003</v>
      </c>
      <c r="R36" s="3">
        <v>-5000990129.3599997</v>
      </c>
      <c r="S36" s="3">
        <v>-2774566494.4499998</v>
      </c>
      <c r="T36" s="3">
        <v>-508507286.54000002</v>
      </c>
      <c r="U36" s="3">
        <v>-464257.09</v>
      </c>
      <c r="V36" s="3">
        <v>-5552612924.8500004</v>
      </c>
      <c r="W36" s="3">
        <v>-300603.76</v>
      </c>
      <c r="X36" s="3">
        <v>-34641852.909999996</v>
      </c>
      <c r="Y36" s="3">
        <v>57965138.289999999</v>
      </c>
      <c r="Z36" s="3">
        <v>6000000</v>
      </c>
      <c r="AA36" s="3" t="s">
        <v>133</v>
      </c>
      <c r="AB36" s="3" t="s">
        <v>133</v>
      </c>
      <c r="AC36" s="3">
        <v>-41667355.57</v>
      </c>
      <c r="AD36" s="3">
        <v>-553910064.44000006</v>
      </c>
      <c r="AE36" s="3">
        <v>-6692012794.5100002</v>
      </c>
      <c r="AF36" s="3">
        <v>-98380859.950000003</v>
      </c>
      <c r="AG36" s="3">
        <v>196334010.78999999</v>
      </c>
      <c r="AH36" s="3">
        <v>-4055687511.3000002</v>
      </c>
      <c r="AI36" s="3">
        <v>-2228240.86</v>
      </c>
      <c r="AJ36" s="3">
        <v>-52942881.479999997</v>
      </c>
      <c r="AK36" s="3">
        <v>-232415872.21000001</v>
      </c>
      <c r="AL36" s="3">
        <v>-2209238518.25</v>
      </c>
      <c r="AM36" s="3">
        <v>-220221361.56</v>
      </c>
      <c r="AN36" s="3">
        <v>25385.15</v>
      </c>
      <c r="AO36" s="3">
        <v>-38404503.759999998</v>
      </c>
      <c r="AP36" s="3">
        <v>-1115040339.71</v>
      </c>
      <c r="AQ36" s="3">
        <v>-2219616.0099999998</v>
      </c>
      <c r="AR36" s="3">
        <v>-137180771.31999999</v>
      </c>
      <c r="AS36" s="3">
        <v>-422874.86</v>
      </c>
      <c r="AT36" s="3">
        <v>-1060398876.91</v>
      </c>
      <c r="AU36" s="3">
        <v>-172406947.59</v>
      </c>
      <c r="AV36" s="3">
        <v>-1757047.92</v>
      </c>
      <c r="AW36" s="3">
        <v>-115310370.03</v>
      </c>
      <c r="AX36" s="3">
        <v>-2745193.08</v>
      </c>
      <c r="AY36" s="3">
        <v>-766447859.29999995</v>
      </c>
      <c r="AZ36" s="3">
        <v>593163.85</v>
      </c>
      <c r="BA36" s="3">
        <v>1149646.54</v>
      </c>
      <c r="BB36" s="3">
        <v>-705844986.63</v>
      </c>
      <c r="BC36" s="3">
        <v>-1046151.76</v>
      </c>
      <c r="BD36" s="3">
        <v>380084.65</v>
      </c>
      <c r="BE36" s="3">
        <v>-2105387.2999999998</v>
      </c>
      <c r="BF36" s="3">
        <v>1919271.21</v>
      </c>
      <c r="BG36" s="3">
        <v>-722143057.09000003</v>
      </c>
      <c r="BH36" s="3">
        <v>-33663618.119999997</v>
      </c>
      <c r="BI36" s="3">
        <v>17207195.079999998</v>
      </c>
      <c r="BJ36" s="3">
        <v>-149371835.03999999</v>
      </c>
      <c r="BK36" s="3">
        <v>-13343172.300000001</v>
      </c>
      <c r="BL36" s="3">
        <v>-13693935.66</v>
      </c>
      <c r="BM36" s="3">
        <v>2928213.61</v>
      </c>
      <c r="BN36" s="3">
        <v>-74296682.450000003</v>
      </c>
      <c r="BO36" s="3">
        <v>3094958.71</v>
      </c>
      <c r="BP36" s="3">
        <v>5959082.6799999997</v>
      </c>
      <c r="BQ36" s="3">
        <v>3943510.81</v>
      </c>
      <c r="BR36" s="3">
        <v>-42171295.219999999</v>
      </c>
      <c r="BS36" s="3">
        <v>-11046562.27</v>
      </c>
      <c r="BT36" s="3">
        <v>2188358.4300000002</v>
      </c>
    </row>
    <row r="37" spans="1:72" x14ac:dyDescent="0.25">
      <c r="A37" s="3" t="s">
        <v>193</v>
      </c>
      <c r="B37" s="3">
        <v>32500</v>
      </c>
      <c r="C37" s="3">
        <v>265100</v>
      </c>
      <c r="D37" s="3">
        <v>-1200</v>
      </c>
      <c r="E37" s="3">
        <v>80600</v>
      </c>
      <c r="F37" s="3">
        <v>-23200</v>
      </c>
      <c r="G37" s="3">
        <v>183800</v>
      </c>
      <c r="H37" s="3">
        <v>-213900</v>
      </c>
      <c r="I37" s="3">
        <v>-43700</v>
      </c>
      <c r="J37" s="3">
        <v>89800</v>
      </c>
      <c r="K37" s="3">
        <v>-8600</v>
      </c>
      <c r="L37" s="3">
        <v>-8500</v>
      </c>
      <c r="M37" s="3">
        <v>-7100</v>
      </c>
      <c r="N37" s="3">
        <v>11700</v>
      </c>
      <c r="O37" s="3">
        <v>58100</v>
      </c>
      <c r="P37" s="3">
        <v>10300</v>
      </c>
      <c r="Q37" s="3">
        <v>-57500</v>
      </c>
      <c r="R37" s="3">
        <v>37400</v>
      </c>
      <c r="S37" s="3">
        <v>4300</v>
      </c>
      <c r="T37" s="3">
        <v>88200</v>
      </c>
      <c r="U37" s="3">
        <v>-45400</v>
      </c>
      <c r="V37" s="3">
        <v>132500</v>
      </c>
      <c r="W37" s="3">
        <v>132400</v>
      </c>
      <c r="X37" s="3">
        <v>-16492900</v>
      </c>
      <c r="Y37" s="3" t="s">
        <v>133</v>
      </c>
      <c r="Z37" s="3" t="s">
        <v>133</v>
      </c>
      <c r="AA37" s="3" t="s">
        <v>133</v>
      </c>
      <c r="AB37" s="3" t="s">
        <v>133</v>
      </c>
      <c r="AC37" s="3" t="s">
        <v>133</v>
      </c>
      <c r="AD37" s="3" t="s">
        <v>133</v>
      </c>
      <c r="AE37" s="3" t="s">
        <v>133</v>
      </c>
      <c r="AF37" s="3" t="s">
        <v>133</v>
      </c>
      <c r="AG37" s="3" t="s">
        <v>133</v>
      </c>
      <c r="AH37" s="3" t="s">
        <v>133</v>
      </c>
      <c r="AI37" s="3" t="s">
        <v>133</v>
      </c>
      <c r="AJ37" s="3" t="s">
        <v>133</v>
      </c>
      <c r="AK37" s="3" t="s">
        <v>133</v>
      </c>
      <c r="AL37" s="3" t="s">
        <v>133</v>
      </c>
      <c r="AM37" s="3" t="s">
        <v>133</v>
      </c>
      <c r="AN37" s="3" t="s">
        <v>133</v>
      </c>
      <c r="AO37" s="3" t="s">
        <v>133</v>
      </c>
      <c r="AP37" s="3" t="s">
        <v>133</v>
      </c>
      <c r="AQ37" s="3" t="s">
        <v>133</v>
      </c>
      <c r="AR37" s="3" t="s">
        <v>133</v>
      </c>
      <c r="AS37" s="3" t="s">
        <v>133</v>
      </c>
      <c r="AT37" s="3" t="s">
        <v>133</v>
      </c>
      <c r="AU37" s="3" t="s">
        <v>133</v>
      </c>
      <c r="AV37" s="3" t="s">
        <v>133</v>
      </c>
      <c r="AW37" s="3" t="s">
        <v>133</v>
      </c>
      <c r="AX37" s="3" t="s">
        <v>133</v>
      </c>
      <c r="AY37" s="3" t="s">
        <v>133</v>
      </c>
      <c r="AZ37" s="3" t="s">
        <v>133</v>
      </c>
      <c r="BA37" s="3" t="s">
        <v>133</v>
      </c>
      <c r="BB37" s="3" t="s">
        <v>133</v>
      </c>
      <c r="BC37" s="3" t="s">
        <v>133</v>
      </c>
      <c r="BD37" s="3" t="s">
        <v>133</v>
      </c>
      <c r="BE37" s="3" t="s">
        <v>133</v>
      </c>
      <c r="BF37" s="3" t="s">
        <v>133</v>
      </c>
      <c r="BG37" s="3" t="s">
        <v>133</v>
      </c>
      <c r="BH37" s="3" t="s">
        <v>133</v>
      </c>
      <c r="BI37" s="3" t="s">
        <v>133</v>
      </c>
      <c r="BJ37" s="3" t="s">
        <v>133</v>
      </c>
      <c r="BK37" s="3" t="s">
        <v>133</v>
      </c>
      <c r="BL37" s="3" t="s">
        <v>133</v>
      </c>
      <c r="BM37" s="3" t="s">
        <v>133</v>
      </c>
      <c r="BN37" s="3" t="s">
        <v>133</v>
      </c>
      <c r="BO37" s="3" t="s">
        <v>133</v>
      </c>
      <c r="BP37" s="3" t="s">
        <v>133</v>
      </c>
      <c r="BQ37" s="3" t="s">
        <v>133</v>
      </c>
      <c r="BR37" s="3" t="s">
        <v>133</v>
      </c>
      <c r="BS37" s="3" t="s">
        <v>133</v>
      </c>
      <c r="BT37" s="3" t="s">
        <v>133</v>
      </c>
    </row>
    <row r="38" spans="1:72" x14ac:dyDescent="0.25">
      <c r="A38" s="3" t="s">
        <v>194</v>
      </c>
      <c r="B38" s="3">
        <v>12005142400</v>
      </c>
      <c r="C38" s="3">
        <v>-13517680800</v>
      </c>
      <c r="D38" s="3">
        <v>1431648500</v>
      </c>
      <c r="E38" s="3">
        <v>16773621100</v>
      </c>
      <c r="F38" s="3">
        <v>2068653600</v>
      </c>
      <c r="G38" s="3">
        <v>3347584200</v>
      </c>
      <c r="H38" s="3">
        <v>570692400</v>
      </c>
      <c r="I38" s="3">
        <v>12552365900</v>
      </c>
      <c r="J38" s="3">
        <v>7622529100</v>
      </c>
      <c r="K38" s="3">
        <v>-1203268700</v>
      </c>
      <c r="L38" s="3">
        <v>4343581200</v>
      </c>
      <c r="M38" s="3">
        <v>-1012608300</v>
      </c>
      <c r="N38" s="3">
        <v>7045154000</v>
      </c>
      <c r="O38" s="3">
        <v>292094500</v>
      </c>
      <c r="P38" s="3">
        <v>5808645700</v>
      </c>
      <c r="Q38" s="3">
        <v>4536397700</v>
      </c>
      <c r="R38" s="3">
        <v>13712438000</v>
      </c>
      <c r="S38" s="3">
        <v>3259193200</v>
      </c>
      <c r="T38" s="3">
        <v>6506279900</v>
      </c>
      <c r="U38" s="3">
        <v>5746641400</v>
      </c>
      <c r="V38" s="3">
        <v>476945400</v>
      </c>
      <c r="W38" s="3">
        <v>2353216300</v>
      </c>
      <c r="X38" s="3">
        <v>1206453600</v>
      </c>
      <c r="Y38" s="3">
        <v>4300401400</v>
      </c>
      <c r="Z38" s="3">
        <v>2520489200</v>
      </c>
      <c r="AA38" s="3">
        <v>-1904500600</v>
      </c>
      <c r="AB38" s="3">
        <v>-1910903000</v>
      </c>
      <c r="AC38" s="3">
        <v>1866448300</v>
      </c>
      <c r="AD38" s="3">
        <v>2020246700</v>
      </c>
      <c r="AE38" s="3">
        <v>-3630187500</v>
      </c>
      <c r="AF38" s="3">
        <v>-326765200</v>
      </c>
      <c r="AG38" s="3">
        <v>3371966900</v>
      </c>
      <c r="AH38" s="3">
        <v>-2291826100</v>
      </c>
      <c r="AI38" s="3">
        <v>2130432100</v>
      </c>
      <c r="AJ38" s="3">
        <v>596736900</v>
      </c>
      <c r="AK38" s="3">
        <v>-33636100</v>
      </c>
      <c r="AL38" s="3">
        <v>996638900</v>
      </c>
      <c r="AM38" s="3">
        <v>1293198000</v>
      </c>
      <c r="AN38" s="3">
        <v>3110095500</v>
      </c>
      <c r="AO38" s="3">
        <v>1861724300</v>
      </c>
      <c r="AP38" s="3">
        <v>757808000</v>
      </c>
      <c r="AQ38" s="3">
        <v>288426400</v>
      </c>
      <c r="AR38" s="3">
        <v>237283000</v>
      </c>
      <c r="AS38" s="3">
        <v>1847871600</v>
      </c>
      <c r="AT38" s="3">
        <v>99472200</v>
      </c>
      <c r="AU38" s="3">
        <v>133487200</v>
      </c>
      <c r="AV38" s="3">
        <v>-431400800</v>
      </c>
      <c r="AW38" s="3">
        <v>1691706100</v>
      </c>
      <c r="AX38" s="3">
        <v>1336144000</v>
      </c>
      <c r="AY38" s="3">
        <v>-498571500</v>
      </c>
      <c r="AZ38" s="3">
        <v>841737000</v>
      </c>
      <c r="BA38" s="3">
        <v>-30679200</v>
      </c>
      <c r="BB38" s="3">
        <v>-56479500</v>
      </c>
      <c r="BC38" s="3">
        <v>154379600</v>
      </c>
      <c r="BD38" s="3">
        <v>181264300</v>
      </c>
      <c r="BE38" s="3">
        <v>385367900</v>
      </c>
      <c r="BF38" s="3">
        <v>665511700</v>
      </c>
      <c r="BG38" s="3">
        <v>-558833500</v>
      </c>
      <c r="BH38" s="3">
        <v>86439100</v>
      </c>
      <c r="BI38" s="3">
        <v>674982200</v>
      </c>
      <c r="BJ38" s="3">
        <v>151792500</v>
      </c>
      <c r="BK38" s="3">
        <v>40289400</v>
      </c>
      <c r="BL38" s="3">
        <v>126597900</v>
      </c>
      <c r="BM38" s="3">
        <v>479038500</v>
      </c>
      <c r="BN38" s="3">
        <v>246498800</v>
      </c>
      <c r="BO38" s="3">
        <v>81671000</v>
      </c>
      <c r="BP38" s="3">
        <v>-248928200</v>
      </c>
      <c r="BQ38" s="3">
        <v>471254400</v>
      </c>
      <c r="BR38" s="3">
        <v>332543600</v>
      </c>
      <c r="BS38" s="3">
        <v>-148708400</v>
      </c>
      <c r="BT38" s="3">
        <v>-95350000</v>
      </c>
    </row>
    <row r="39" spans="1:72" x14ac:dyDescent="0.25">
      <c r="A39" s="3" t="s">
        <v>195</v>
      </c>
      <c r="B39" s="3" t="s">
        <v>133</v>
      </c>
      <c r="C39" s="3" t="s">
        <v>133</v>
      </c>
      <c r="D39" s="3">
        <v>121003839600</v>
      </c>
      <c r="E39" s="3" t="s">
        <v>133</v>
      </c>
      <c r="F39" s="3" t="s">
        <v>133</v>
      </c>
      <c r="G39" s="3" t="s">
        <v>133</v>
      </c>
      <c r="H39" s="3">
        <v>98243288300</v>
      </c>
      <c r="I39" s="3" t="s">
        <v>133</v>
      </c>
      <c r="J39" s="3" t="s">
        <v>133</v>
      </c>
      <c r="K39" s="3" t="s">
        <v>133</v>
      </c>
      <c r="L39" s="3">
        <v>74928080800</v>
      </c>
      <c r="M39" s="3" t="s">
        <v>133</v>
      </c>
      <c r="N39" s="3" t="s">
        <v>133</v>
      </c>
      <c r="O39" s="3" t="s">
        <v>133</v>
      </c>
      <c r="P39" s="3">
        <v>62794794800</v>
      </c>
      <c r="Q39" s="3" t="s">
        <v>133</v>
      </c>
      <c r="R39" s="3" t="s">
        <v>133</v>
      </c>
      <c r="S39" s="3" t="s">
        <v>133</v>
      </c>
      <c r="T39" s="3">
        <v>34780485900</v>
      </c>
      <c r="U39" s="3" t="s">
        <v>133</v>
      </c>
      <c r="V39" s="3" t="s">
        <v>133</v>
      </c>
      <c r="W39" s="3" t="s">
        <v>133</v>
      </c>
      <c r="X39" s="3">
        <v>24997229200</v>
      </c>
      <c r="Y39" s="3" t="s">
        <v>133</v>
      </c>
      <c r="Z39" s="3" t="s">
        <v>133</v>
      </c>
      <c r="AA39" s="3" t="s">
        <v>133</v>
      </c>
      <c r="AB39" s="3">
        <v>21991742200</v>
      </c>
      <c r="AC39" s="3" t="s">
        <v>133</v>
      </c>
      <c r="AD39" s="3" t="s">
        <v>133</v>
      </c>
      <c r="AE39" s="3" t="s">
        <v>133</v>
      </c>
      <c r="AF39" s="3">
        <v>22061999900</v>
      </c>
      <c r="AG39" s="3" t="s">
        <v>133</v>
      </c>
      <c r="AH39" s="3" t="s">
        <v>133</v>
      </c>
      <c r="AI39" s="3" t="s">
        <v>133</v>
      </c>
      <c r="AJ39" s="3">
        <v>18254690200</v>
      </c>
      <c r="AK39" s="3" t="s">
        <v>133</v>
      </c>
      <c r="AL39" s="3" t="s">
        <v>133</v>
      </c>
      <c r="AM39" s="3" t="s">
        <v>133</v>
      </c>
      <c r="AN39" s="3">
        <v>12888393900</v>
      </c>
      <c r="AO39" s="3" t="s">
        <v>133</v>
      </c>
      <c r="AP39" s="3" t="s">
        <v>133</v>
      </c>
      <c r="AQ39" s="3" t="s">
        <v>133</v>
      </c>
      <c r="AR39" s="3">
        <v>9743152200</v>
      </c>
      <c r="AS39" s="3" t="s">
        <v>133</v>
      </c>
      <c r="AT39" s="3" t="s">
        <v>133</v>
      </c>
      <c r="AU39" s="3" t="s">
        <v>133</v>
      </c>
      <c r="AV39" s="3">
        <v>8093721900</v>
      </c>
      <c r="AW39" s="3" t="s">
        <v>133</v>
      </c>
      <c r="AX39" s="3" t="s">
        <v>133</v>
      </c>
      <c r="AY39" s="3" t="s">
        <v>133</v>
      </c>
      <c r="AZ39" s="3">
        <v>4722706300</v>
      </c>
      <c r="BA39" s="3" t="s">
        <v>133</v>
      </c>
      <c r="BB39" s="3" t="s">
        <v>133</v>
      </c>
      <c r="BC39" s="3" t="s">
        <v>133</v>
      </c>
      <c r="BD39" s="3">
        <v>4474221100</v>
      </c>
      <c r="BE39" s="3">
        <v>-3954200</v>
      </c>
      <c r="BF39" s="3">
        <v>1751400</v>
      </c>
      <c r="BG39" s="3">
        <v>2900530200</v>
      </c>
      <c r="BH39" s="3">
        <v>997408600</v>
      </c>
      <c r="BI39" s="3" t="s">
        <v>133</v>
      </c>
      <c r="BJ39" s="3" t="s">
        <v>133</v>
      </c>
      <c r="BK39" s="3" t="s">
        <v>133</v>
      </c>
      <c r="BL39" s="3" t="s">
        <v>133</v>
      </c>
      <c r="BM39" s="3" t="s">
        <v>133</v>
      </c>
      <c r="BN39" s="3" t="s">
        <v>133</v>
      </c>
      <c r="BO39" s="3" t="s">
        <v>133</v>
      </c>
      <c r="BP39" s="3" t="s">
        <v>133</v>
      </c>
      <c r="BQ39" s="3" t="s">
        <v>133</v>
      </c>
      <c r="BR39" s="3" t="s">
        <v>133</v>
      </c>
      <c r="BS39" s="3" t="s">
        <v>133</v>
      </c>
      <c r="BT39" s="3" t="s">
        <v>133</v>
      </c>
    </row>
    <row r="40" spans="1:72" x14ac:dyDescent="0.25">
      <c r="A40" s="3" t="s">
        <v>196</v>
      </c>
      <c r="B40" s="3">
        <v>12005142400</v>
      </c>
      <c r="C40" s="3">
        <v>-13517680800</v>
      </c>
      <c r="D40" s="3">
        <v>122435488100</v>
      </c>
      <c r="E40" s="3">
        <v>16773621100</v>
      </c>
      <c r="F40" s="3">
        <v>2068653600</v>
      </c>
      <c r="G40" s="3">
        <v>3347584200</v>
      </c>
      <c r="H40" s="3">
        <v>98813980700</v>
      </c>
      <c r="I40" s="3">
        <v>12552365900</v>
      </c>
      <c r="J40" s="3">
        <v>7622529100</v>
      </c>
      <c r="K40" s="3">
        <v>-1203268700</v>
      </c>
      <c r="L40" s="3">
        <v>79271662000</v>
      </c>
      <c r="M40" s="3">
        <v>-1012608300</v>
      </c>
      <c r="N40" s="3">
        <v>7045154000</v>
      </c>
      <c r="O40" s="3">
        <v>292094500</v>
      </c>
      <c r="P40" s="3">
        <v>68603440500</v>
      </c>
      <c r="Q40" s="3">
        <v>4536397700</v>
      </c>
      <c r="R40" s="3">
        <v>13712438000</v>
      </c>
      <c r="S40" s="3">
        <v>3259193200</v>
      </c>
      <c r="T40" s="3">
        <v>41286765800</v>
      </c>
      <c r="U40" s="3">
        <v>5746641400</v>
      </c>
      <c r="V40" s="3">
        <v>476945400</v>
      </c>
      <c r="W40" s="3">
        <v>2353216300</v>
      </c>
      <c r="X40" s="3">
        <v>26203682800</v>
      </c>
      <c r="Y40" s="3">
        <v>4300401400</v>
      </c>
      <c r="Z40" s="3">
        <v>2520489200</v>
      </c>
      <c r="AA40" s="3">
        <v>-1904500600</v>
      </c>
      <c r="AB40" s="3">
        <v>20080839200</v>
      </c>
      <c r="AC40" s="3">
        <v>1866448300</v>
      </c>
      <c r="AD40" s="3">
        <v>2020246700</v>
      </c>
      <c r="AE40" s="3">
        <v>-3630187500</v>
      </c>
      <c r="AF40" s="3">
        <v>21735234700</v>
      </c>
      <c r="AG40" s="3">
        <v>3371966900</v>
      </c>
      <c r="AH40" s="3">
        <v>-2291826100</v>
      </c>
      <c r="AI40" s="3">
        <v>2130432100</v>
      </c>
      <c r="AJ40" s="3">
        <v>18851427000</v>
      </c>
      <c r="AK40" s="3">
        <v>-33636100</v>
      </c>
      <c r="AL40" s="3">
        <v>996638900</v>
      </c>
      <c r="AM40" s="3">
        <v>1293198000</v>
      </c>
      <c r="AN40" s="3">
        <v>15998489400</v>
      </c>
      <c r="AO40" s="3">
        <v>1861724300</v>
      </c>
      <c r="AP40" s="3">
        <v>757808000</v>
      </c>
      <c r="AQ40" s="3">
        <v>288426400</v>
      </c>
      <c r="AR40" s="3">
        <v>9980435200</v>
      </c>
      <c r="AS40" s="3">
        <v>1847871600</v>
      </c>
      <c r="AT40" s="3">
        <v>99472200</v>
      </c>
      <c r="AU40" s="3">
        <v>133487200</v>
      </c>
      <c r="AV40" s="3">
        <v>7662321100</v>
      </c>
      <c r="AW40" s="3">
        <v>1691706100</v>
      </c>
      <c r="AX40" s="3">
        <v>1336144000</v>
      </c>
      <c r="AY40" s="3">
        <v>-498571500</v>
      </c>
      <c r="AZ40" s="3">
        <v>5564443300</v>
      </c>
      <c r="BA40" s="3">
        <v>-30679200</v>
      </c>
      <c r="BB40" s="3">
        <v>-56479500</v>
      </c>
      <c r="BC40" s="3">
        <v>154379600</v>
      </c>
      <c r="BD40" s="3">
        <v>4655485500</v>
      </c>
      <c r="BE40" s="3">
        <v>381413700</v>
      </c>
      <c r="BF40" s="3">
        <v>667263100</v>
      </c>
      <c r="BG40" s="3">
        <v>2341696600</v>
      </c>
      <c r="BH40" s="3">
        <v>1083847700</v>
      </c>
      <c r="BI40" s="3" t="s">
        <v>133</v>
      </c>
      <c r="BJ40" s="3" t="s">
        <v>133</v>
      </c>
      <c r="BK40" s="3" t="s">
        <v>133</v>
      </c>
      <c r="BL40" s="3" t="s">
        <v>133</v>
      </c>
      <c r="BM40" s="3" t="s">
        <v>133</v>
      </c>
      <c r="BN40" s="3" t="s">
        <v>133</v>
      </c>
      <c r="BO40" s="3" t="s">
        <v>133</v>
      </c>
      <c r="BP40" s="3" t="s">
        <v>133</v>
      </c>
      <c r="BQ40" s="3" t="s">
        <v>133</v>
      </c>
      <c r="BR40" s="3" t="s">
        <v>133</v>
      </c>
      <c r="BS40" s="3" t="s">
        <v>133</v>
      </c>
      <c r="BT40" s="3" t="s">
        <v>133</v>
      </c>
    </row>
    <row r="41" spans="1:72" x14ac:dyDescent="0.25">
      <c r="A41" s="3" t="s">
        <v>197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</row>
    <row r="42" spans="1:72" x14ac:dyDescent="0.25">
      <c r="A42" s="3" t="s">
        <v>198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</row>
    <row r="43" spans="1:72" x14ac:dyDescent="0.25">
      <c r="A43" s="3" t="s">
        <v>22</v>
      </c>
      <c r="B43" s="3" t="s">
        <v>133</v>
      </c>
      <c r="C43" s="3" t="s">
        <v>133</v>
      </c>
      <c r="D43" s="3" t="s">
        <v>133</v>
      </c>
      <c r="E43" s="3" t="s">
        <v>133</v>
      </c>
      <c r="F43" s="3" t="s">
        <v>133</v>
      </c>
      <c r="G43" s="3" t="s">
        <v>133</v>
      </c>
      <c r="H43" s="3" t="s">
        <v>133</v>
      </c>
      <c r="I43" s="3" t="s">
        <v>133</v>
      </c>
      <c r="J43" s="3" t="s">
        <v>133</v>
      </c>
      <c r="K43" s="3" t="s">
        <v>133</v>
      </c>
      <c r="L43" s="3" t="s">
        <v>133</v>
      </c>
      <c r="M43" s="3" t="s">
        <v>133</v>
      </c>
      <c r="N43" s="3" t="s">
        <v>133</v>
      </c>
      <c r="O43" s="3" t="s">
        <v>133</v>
      </c>
      <c r="P43" s="3" t="s">
        <v>133</v>
      </c>
      <c r="Q43" s="3" t="s">
        <v>133</v>
      </c>
      <c r="R43" s="3" t="s">
        <v>133</v>
      </c>
      <c r="S43" s="3" t="s">
        <v>133</v>
      </c>
      <c r="T43" s="3" t="s">
        <v>133</v>
      </c>
      <c r="U43" s="3" t="s">
        <v>133</v>
      </c>
      <c r="V43" s="3" t="s">
        <v>133</v>
      </c>
      <c r="W43" s="3" t="s">
        <v>133</v>
      </c>
      <c r="X43" s="3" t="s">
        <v>133</v>
      </c>
      <c r="Y43" s="3" t="s">
        <v>133</v>
      </c>
      <c r="Z43" s="3" t="s">
        <v>133</v>
      </c>
      <c r="AA43" s="3" t="s">
        <v>133</v>
      </c>
      <c r="AB43" s="3" t="s">
        <v>133</v>
      </c>
      <c r="AC43" s="3" t="s">
        <v>133</v>
      </c>
      <c r="AD43" s="3" t="s">
        <v>133</v>
      </c>
      <c r="AE43" s="3" t="s">
        <v>133</v>
      </c>
      <c r="AF43" s="3" t="s">
        <v>133</v>
      </c>
      <c r="AG43" s="3" t="s">
        <v>133</v>
      </c>
      <c r="AH43" s="3" t="s">
        <v>133</v>
      </c>
      <c r="AI43" s="3" t="s">
        <v>133</v>
      </c>
      <c r="AJ43" s="3" t="s">
        <v>133</v>
      </c>
      <c r="AK43" s="3" t="s">
        <v>133</v>
      </c>
      <c r="AL43" s="3" t="s">
        <v>133</v>
      </c>
      <c r="AM43" s="3" t="s">
        <v>133</v>
      </c>
      <c r="AN43" s="3" t="s">
        <v>133</v>
      </c>
      <c r="AO43" s="3" t="s">
        <v>133</v>
      </c>
      <c r="AP43" s="3" t="s">
        <v>133</v>
      </c>
      <c r="AQ43" s="3" t="s">
        <v>133</v>
      </c>
      <c r="AR43" s="3" t="s">
        <v>133</v>
      </c>
      <c r="AS43" s="3" t="s">
        <v>133</v>
      </c>
      <c r="AT43" s="3" t="s">
        <v>133</v>
      </c>
      <c r="AU43" s="3" t="s">
        <v>133</v>
      </c>
      <c r="AV43" s="3" t="s">
        <v>133</v>
      </c>
      <c r="AW43" s="3" t="s">
        <v>133</v>
      </c>
      <c r="AX43" s="3" t="s">
        <v>133</v>
      </c>
      <c r="AY43" s="3" t="s">
        <v>133</v>
      </c>
      <c r="AZ43" s="3" t="s">
        <v>133</v>
      </c>
      <c r="BA43" s="3" t="s">
        <v>133</v>
      </c>
      <c r="BB43" s="3" t="s">
        <v>133</v>
      </c>
      <c r="BC43" s="3" t="s">
        <v>133</v>
      </c>
      <c r="BD43" s="3" t="s">
        <v>133</v>
      </c>
      <c r="BE43" s="3" t="s">
        <v>133</v>
      </c>
      <c r="BF43" s="3" t="s">
        <v>133</v>
      </c>
      <c r="BG43" s="3" t="s">
        <v>133</v>
      </c>
      <c r="BH43" s="3" t="s">
        <v>133</v>
      </c>
      <c r="BI43" s="3">
        <v>434489700</v>
      </c>
      <c r="BJ43" s="3">
        <v>231927400</v>
      </c>
      <c r="BK43" s="3">
        <v>118763600</v>
      </c>
      <c r="BL43" s="3">
        <v>383941400</v>
      </c>
      <c r="BM43" s="3">
        <v>316096700</v>
      </c>
      <c r="BN43" s="3">
        <v>174013400</v>
      </c>
      <c r="BO43" s="3">
        <v>92731300</v>
      </c>
      <c r="BP43" s="3">
        <v>271330800</v>
      </c>
      <c r="BQ43" s="3">
        <v>254253800</v>
      </c>
      <c r="BR43" s="3">
        <v>101978900</v>
      </c>
      <c r="BS43" s="3">
        <v>34911800</v>
      </c>
      <c r="BT43" s="3">
        <v>217609000</v>
      </c>
    </row>
    <row r="44" spans="1:72" x14ac:dyDescent="0.25">
      <c r="A44" s="3" t="s">
        <v>199</v>
      </c>
      <c r="B44" s="3" t="s">
        <v>133</v>
      </c>
      <c r="C44" s="3" t="s">
        <v>133</v>
      </c>
      <c r="D44" s="3" t="s">
        <v>133</v>
      </c>
      <c r="E44" s="3" t="s">
        <v>133</v>
      </c>
      <c r="F44" s="3" t="s">
        <v>133</v>
      </c>
      <c r="G44" s="3" t="s">
        <v>133</v>
      </c>
      <c r="H44" s="3" t="s">
        <v>133</v>
      </c>
      <c r="I44" s="3" t="s">
        <v>133</v>
      </c>
      <c r="J44" s="3" t="s">
        <v>133</v>
      </c>
      <c r="K44" s="3" t="s">
        <v>133</v>
      </c>
      <c r="L44" s="3" t="s">
        <v>133</v>
      </c>
      <c r="M44" s="3" t="s">
        <v>133</v>
      </c>
      <c r="N44" s="3" t="s">
        <v>133</v>
      </c>
      <c r="O44" s="3" t="s">
        <v>133</v>
      </c>
      <c r="P44" s="3" t="s">
        <v>133</v>
      </c>
      <c r="Q44" s="3" t="s">
        <v>133</v>
      </c>
      <c r="R44" s="3" t="s">
        <v>133</v>
      </c>
      <c r="S44" s="3" t="s">
        <v>133</v>
      </c>
      <c r="T44" s="3" t="s">
        <v>133</v>
      </c>
      <c r="U44" s="3" t="s">
        <v>133</v>
      </c>
      <c r="V44" s="3" t="s">
        <v>133</v>
      </c>
      <c r="W44" s="3" t="s">
        <v>133</v>
      </c>
      <c r="X44" s="3" t="s">
        <v>133</v>
      </c>
      <c r="Y44" s="3" t="s">
        <v>133</v>
      </c>
      <c r="Z44" s="3" t="s">
        <v>133</v>
      </c>
      <c r="AA44" s="3" t="s">
        <v>133</v>
      </c>
      <c r="AB44" s="3" t="s">
        <v>133</v>
      </c>
      <c r="AC44" s="3" t="s">
        <v>133</v>
      </c>
      <c r="AD44" s="3" t="s">
        <v>133</v>
      </c>
      <c r="AE44" s="3" t="s">
        <v>133</v>
      </c>
      <c r="AF44" s="3" t="s">
        <v>133</v>
      </c>
      <c r="AG44" s="3" t="s">
        <v>133</v>
      </c>
      <c r="AH44" s="3" t="s">
        <v>133</v>
      </c>
      <c r="AI44" s="3" t="s">
        <v>133</v>
      </c>
      <c r="AJ44" s="3" t="s">
        <v>133</v>
      </c>
      <c r="AK44" s="3" t="s">
        <v>133</v>
      </c>
      <c r="AL44" s="3" t="s">
        <v>133</v>
      </c>
      <c r="AM44" s="3" t="s">
        <v>133</v>
      </c>
      <c r="AN44" s="3" t="s">
        <v>133</v>
      </c>
      <c r="AO44" s="3" t="s">
        <v>133</v>
      </c>
      <c r="AP44" s="3" t="s">
        <v>133</v>
      </c>
      <c r="AQ44" s="3" t="s">
        <v>133</v>
      </c>
      <c r="AR44" s="3" t="s">
        <v>133</v>
      </c>
      <c r="AS44" s="3" t="s">
        <v>133</v>
      </c>
      <c r="AT44" s="3" t="s">
        <v>133</v>
      </c>
      <c r="AU44" s="3" t="s">
        <v>133</v>
      </c>
      <c r="AV44" s="3" t="s">
        <v>133</v>
      </c>
      <c r="AW44" s="3" t="s">
        <v>133</v>
      </c>
      <c r="AX44" s="3" t="s">
        <v>133</v>
      </c>
      <c r="AY44" s="3" t="s">
        <v>133</v>
      </c>
      <c r="AZ44" s="3" t="s">
        <v>133</v>
      </c>
      <c r="BA44" s="3" t="s">
        <v>133</v>
      </c>
      <c r="BB44" s="3" t="s">
        <v>133</v>
      </c>
      <c r="BC44" s="3" t="s">
        <v>133</v>
      </c>
      <c r="BD44" s="3" t="s">
        <v>133</v>
      </c>
      <c r="BE44" s="3" t="s">
        <v>133</v>
      </c>
      <c r="BF44" s="3" t="s">
        <v>133</v>
      </c>
      <c r="BG44" s="3" t="s">
        <v>133</v>
      </c>
      <c r="BH44" s="3" t="s">
        <v>133</v>
      </c>
      <c r="BI44" s="3" t="s">
        <v>133</v>
      </c>
      <c r="BJ44" s="3" t="s">
        <v>133</v>
      </c>
      <c r="BK44" s="3" t="s">
        <v>133</v>
      </c>
      <c r="BL44" s="3" t="s">
        <v>133</v>
      </c>
      <c r="BM44" s="3" t="s">
        <v>133</v>
      </c>
      <c r="BN44" s="3" t="s">
        <v>133</v>
      </c>
      <c r="BO44" s="3" t="s">
        <v>133</v>
      </c>
      <c r="BP44" s="3" t="s">
        <v>133</v>
      </c>
      <c r="BQ44" s="3" t="s">
        <v>133</v>
      </c>
      <c r="BR44" s="3" t="s">
        <v>133</v>
      </c>
      <c r="BS44" s="3" t="s">
        <v>133</v>
      </c>
      <c r="BT44" s="3" t="s">
        <v>133</v>
      </c>
    </row>
    <row r="45" spans="1:72" x14ac:dyDescent="0.25">
      <c r="A45" s="3" t="s">
        <v>200</v>
      </c>
      <c r="B45" s="3" t="s">
        <v>133</v>
      </c>
      <c r="C45" s="3" t="s">
        <v>133</v>
      </c>
      <c r="D45" s="3" t="s">
        <v>133</v>
      </c>
      <c r="E45" s="3" t="s">
        <v>133</v>
      </c>
      <c r="F45" s="3" t="s">
        <v>133</v>
      </c>
      <c r="G45" s="3" t="s">
        <v>133</v>
      </c>
      <c r="H45" s="3" t="s">
        <v>133</v>
      </c>
      <c r="I45" s="3" t="s">
        <v>133</v>
      </c>
      <c r="J45" s="3" t="s">
        <v>133</v>
      </c>
      <c r="K45" s="3" t="s">
        <v>133</v>
      </c>
      <c r="L45" s="3" t="s">
        <v>133</v>
      </c>
      <c r="M45" s="3" t="s">
        <v>133</v>
      </c>
      <c r="N45" s="3" t="s">
        <v>133</v>
      </c>
      <c r="O45" s="3" t="s">
        <v>133</v>
      </c>
      <c r="P45" s="3" t="s">
        <v>133</v>
      </c>
      <c r="Q45" s="3" t="s">
        <v>133</v>
      </c>
      <c r="R45" s="3" t="s">
        <v>133</v>
      </c>
      <c r="S45" s="3" t="s">
        <v>133</v>
      </c>
      <c r="T45" s="3" t="s">
        <v>133</v>
      </c>
      <c r="U45" s="3" t="s">
        <v>133</v>
      </c>
      <c r="V45" s="3" t="s">
        <v>133</v>
      </c>
      <c r="W45" s="3" t="s">
        <v>133</v>
      </c>
      <c r="X45" s="3" t="s">
        <v>133</v>
      </c>
      <c r="Y45" s="3" t="s">
        <v>133</v>
      </c>
      <c r="Z45" s="3" t="s">
        <v>133</v>
      </c>
      <c r="AA45" s="3" t="s">
        <v>133</v>
      </c>
      <c r="AB45" s="3" t="s">
        <v>133</v>
      </c>
      <c r="AC45" s="3" t="s">
        <v>133</v>
      </c>
      <c r="AD45" s="3" t="s">
        <v>133</v>
      </c>
      <c r="AE45" s="3" t="s">
        <v>133</v>
      </c>
      <c r="AF45" s="3" t="s">
        <v>133</v>
      </c>
      <c r="AG45" s="3" t="s">
        <v>133</v>
      </c>
      <c r="AH45" s="3" t="s">
        <v>133</v>
      </c>
      <c r="AI45" s="3" t="s">
        <v>133</v>
      </c>
      <c r="AJ45" s="3" t="s">
        <v>133</v>
      </c>
      <c r="AK45" s="3" t="s">
        <v>133</v>
      </c>
      <c r="AL45" s="3" t="s">
        <v>133</v>
      </c>
      <c r="AM45" s="3" t="s">
        <v>133</v>
      </c>
      <c r="AN45" s="3" t="s">
        <v>133</v>
      </c>
      <c r="AO45" s="3" t="s">
        <v>133</v>
      </c>
      <c r="AP45" s="3" t="s">
        <v>133</v>
      </c>
      <c r="AQ45" s="3" t="s">
        <v>133</v>
      </c>
      <c r="AR45" s="3" t="s">
        <v>133</v>
      </c>
      <c r="AS45" s="3" t="s">
        <v>133</v>
      </c>
      <c r="AT45" s="3" t="s">
        <v>133</v>
      </c>
      <c r="AU45" s="3" t="s">
        <v>133</v>
      </c>
      <c r="AV45" s="3" t="s">
        <v>133</v>
      </c>
      <c r="AW45" s="3" t="s">
        <v>133</v>
      </c>
      <c r="AX45" s="3" t="s">
        <v>133</v>
      </c>
      <c r="AY45" s="3" t="s">
        <v>133</v>
      </c>
      <c r="AZ45" s="3" t="s">
        <v>133</v>
      </c>
      <c r="BA45" s="3" t="s">
        <v>133</v>
      </c>
      <c r="BB45" s="3" t="s">
        <v>133</v>
      </c>
      <c r="BC45" s="3" t="s">
        <v>133</v>
      </c>
      <c r="BD45" s="3" t="s">
        <v>133</v>
      </c>
      <c r="BE45" s="3" t="s">
        <v>133</v>
      </c>
      <c r="BF45" s="3" t="s">
        <v>133</v>
      </c>
      <c r="BG45" s="3" t="s">
        <v>133</v>
      </c>
      <c r="BH45" s="3" t="s">
        <v>133</v>
      </c>
      <c r="BI45" s="3">
        <v>50276100</v>
      </c>
      <c r="BJ45" s="3">
        <v>-17284900</v>
      </c>
      <c r="BK45" s="3">
        <v>16143200</v>
      </c>
      <c r="BL45" s="3">
        <v>15524700</v>
      </c>
      <c r="BM45" s="3">
        <v>14432700</v>
      </c>
      <c r="BN45" s="3">
        <v>14076300</v>
      </c>
      <c r="BO45" s="3">
        <v>13854200</v>
      </c>
      <c r="BP45" s="3">
        <v>12725400</v>
      </c>
      <c r="BQ45" s="3">
        <v>10638600</v>
      </c>
      <c r="BR45" s="3">
        <v>12183100</v>
      </c>
      <c r="BS45" s="3">
        <v>11704700</v>
      </c>
      <c r="BT45" s="3">
        <v>23864800</v>
      </c>
    </row>
    <row r="46" spans="1:72" x14ac:dyDescent="0.25">
      <c r="A46" s="3" t="s">
        <v>201</v>
      </c>
      <c r="B46" s="3" t="s">
        <v>133</v>
      </c>
      <c r="C46" s="3" t="s">
        <v>133</v>
      </c>
      <c r="D46" s="3" t="s">
        <v>133</v>
      </c>
      <c r="E46" s="3" t="s">
        <v>133</v>
      </c>
      <c r="F46" s="3" t="s">
        <v>133</v>
      </c>
      <c r="G46" s="3" t="s">
        <v>133</v>
      </c>
      <c r="H46" s="3" t="s">
        <v>133</v>
      </c>
      <c r="I46" s="3" t="s">
        <v>133</v>
      </c>
      <c r="J46" s="3" t="s">
        <v>133</v>
      </c>
      <c r="K46" s="3" t="s">
        <v>133</v>
      </c>
      <c r="L46" s="3" t="s">
        <v>133</v>
      </c>
      <c r="M46" s="3" t="s">
        <v>133</v>
      </c>
      <c r="N46" s="3" t="s">
        <v>133</v>
      </c>
      <c r="O46" s="3" t="s">
        <v>133</v>
      </c>
      <c r="P46" s="3" t="s">
        <v>133</v>
      </c>
      <c r="Q46" s="3" t="s">
        <v>133</v>
      </c>
      <c r="R46" s="3" t="s">
        <v>133</v>
      </c>
      <c r="S46" s="3" t="s">
        <v>133</v>
      </c>
      <c r="T46" s="3" t="s">
        <v>133</v>
      </c>
      <c r="U46" s="3" t="s">
        <v>133</v>
      </c>
      <c r="V46" s="3" t="s">
        <v>133</v>
      </c>
      <c r="W46" s="3" t="s">
        <v>133</v>
      </c>
      <c r="X46" s="3" t="s">
        <v>133</v>
      </c>
      <c r="Y46" s="3" t="s">
        <v>133</v>
      </c>
      <c r="Z46" s="3" t="s">
        <v>133</v>
      </c>
      <c r="AA46" s="3" t="s">
        <v>133</v>
      </c>
      <c r="AB46" s="3" t="s">
        <v>133</v>
      </c>
      <c r="AC46" s="3" t="s">
        <v>133</v>
      </c>
      <c r="AD46" s="3" t="s">
        <v>133</v>
      </c>
      <c r="AE46" s="3" t="s">
        <v>133</v>
      </c>
      <c r="AF46" s="3" t="s">
        <v>133</v>
      </c>
      <c r="AG46" s="3" t="s">
        <v>133</v>
      </c>
      <c r="AH46" s="3" t="s">
        <v>133</v>
      </c>
      <c r="AI46" s="3" t="s">
        <v>133</v>
      </c>
      <c r="AJ46" s="3" t="s">
        <v>133</v>
      </c>
      <c r="AK46" s="3" t="s">
        <v>133</v>
      </c>
      <c r="AL46" s="3" t="s">
        <v>133</v>
      </c>
      <c r="AM46" s="3" t="s">
        <v>133</v>
      </c>
      <c r="AN46" s="3" t="s">
        <v>133</v>
      </c>
      <c r="AO46" s="3" t="s">
        <v>133</v>
      </c>
      <c r="AP46" s="3" t="s">
        <v>133</v>
      </c>
      <c r="AQ46" s="3" t="s">
        <v>133</v>
      </c>
      <c r="AR46" s="3" t="s">
        <v>133</v>
      </c>
      <c r="AS46" s="3" t="s">
        <v>133</v>
      </c>
      <c r="AT46" s="3" t="s">
        <v>133</v>
      </c>
      <c r="AU46" s="3" t="s">
        <v>133</v>
      </c>
      <c r="AV46" s="3" t="s">
        <v>133</v>
      </c>
      <c r="AW46" s="3" t="s">
        <v>133</v>
      </c>
      <c r="AX46" s="3" t="s">
        <v>133</v>
      </c>
      <c r="AY46" s="3" t="s">
        <v>133</v>
      </c>
      <c r="AZ46" s="3" t="s">
        <v>133</v>
      </c>
      <c r="BA46" s="3" t="s">
        <v>133</v>
      </c>
      <c r="BB46" s="3" t="s">
        <v>133</v>
      </c>
      <c r="BC46" s="3" t="s">
        <v>133</v>
      </c>
      <c r="BD46" s="3" t="s">
        <v>133</v>
      </c>
      <c r="BE46" s="3" t="s">
        <v>133</v>
      </c>
      <c r="BF46" s="3" t="s">
        <v>133</v>
      </c>
      <c r="BG46" s="3" t="s">
        <v>133</v>
      </c>
      <c r="BH46" s="3" t="s">
        <v>133</v>
      </c>
      <c r="BI46" s="3">
        <v>1636200</v>
      </c>
      <c r="BJ46" s="3" t="s">
        <v>133</v>
      </c>
      <c r="BK46" s="3">
        <v>42500</v>
      </c>
      <c r="BL46" s="3">
        <v>42500</v>
      </c>
      <c r="BM46" s="3">
        <v>43700</v>
      </c>
      <c r="BN46" s="3">
        <v>42500</v>
      </c>
      <c r="BO46" s="3">
        <v>42500</v>
      </c>
      <c r="BP46" s="3">
        <v>42500</v>
      </c>
      <c r="BQ46" s="3">
        <v>42500</v>
      </c>
      <c r="BR46" s="3">
        <v>42500</v>
      </c>
      <c r="BS46" s="3">
        <v>42500</v>
      </c>
      <c r="BT46" s="3">
        <v>42500</v>
      </c>
    </row>
    <row r="47" spans="1:72" x14ac:dyDescent="0.25">
      <c r="A47" s="3" t="s">
        <v>202</v>
      </c>
      <c r="B47" s="3" t="s">
        <v>133</v>
      </c>
      <c r="C47" s="3" t="s">
        <v>133</v>
      </c>
      <c r="D47" s="3" t="s">
        <v>133</v>
      </c>
      <c r="E47" s="3" t="s">
        <v>133</v>
      </c>
      <c r="F47" s="3" t="s">
        <v>133</v>
      </c>
      <c r="G47" s="3" t="s">
        <v>133</v>
      </c>
      <c r="H47" s="3" t="s">
        <v>133</v>
      </c>
      <c r="I47" s="3" t="s">
        <v>133</v>
      </c>
      <c r="J47" s="3" t="s">
        <v>133</v>
      </c>
      <c r="K47" s="3" t="s">
        <v>133</v>
      </c>
      <c r="L47" s="3" t="s">
        <v>133</v>
      </c>
      <c r="M47" s="3" t="s">
        <v>133</v>
      </c>
      <c r="N47" s="3" t="s">
        <v>133</v>
      </c>
      <c r="O47" s="3" t="s">
        <v>133</v>
      </c>
      <c r="P47" s="3" t="s">
        <v>133</v>
      </c>
      <c r="Q47" s="3" t="s">
        <v>133</v>
      </c>
      <c r="R47" s="3" t="s">
        <v>133</v>
      </c>
      <c r="S47" s="3" t="s">
        <v>133</v>
      </c>
      <c r="T47" s="3" t="s">
        <v>133</v>
      </c>
      <c r="U47" s="3" t="s">
        <v>133</v>
      </c>
      <c r="V47" s="3" t="s">
        <v>133</v>
      </c>
      <c r="W47" s="3" t="s">
        <v>133</v>
      </c>
      <c r="X47" s="3" t="s">
        <v>133</v>
      </c>
      <c r="Y47" s="3" t="s">
        <v>133</v>
      </c>
      <c r="Z47" s="3" t="s">
        <v>133</v>
      </c>
      <c r="AA47" s="3" t="s">
        <v>133</v>
      </c>
      <c r="AB47" s="3" t="s">
        <v>133</v>
      </c>
      <c r="AC47" s="3" t="s">
        <v>133</v>
      </c>
      <c r="AD47" s="3" t="s">
        <v>133</v>
      </c>
      <c r="AE47" s="3" t="s">
        <v>133</v>
      </c>
      <c r="AF47" s="3" t="s">
        <v>133</v>
      </c>
      <c r="AG47" s="3" t="s">
        <v>133</v>
      </c>
      <c r="AH47" s="3" t="s">
        <v>133</v>
      </c>
      <c r="AI47" s="3" t="s">
        <v>133</v>
      </c>
      <c r="AJ47" s="3" t="s">
        <v>133</v>
      </c>
      <c r="AK47" s="3" t="s">
        <v>133</v>
      </c>
      <c r="AL47" s="3" t="s">
        <v>133</v>
      </c>
      <c r="AM47" s="3" t="s">
        <v>133</v>
      </c>
      <c r="AN47" s="3" t="s">
        <v>133</v>
      </c>
      <c r="AO47" s="3" t="s">
        <v>133</v>
      </c>
      <c r="AP47" s="3" t="s">
        <v>133</v>
      </c>
      <c r="AQ47" s="3" t="s">
        <v>133</v>
      </c>
      <c r="AR47" s="3" t="s">
        <v>133</v>
      </c>
      <c r="AS47" s="3" t="s">
        <v>133</v>
      </c>
      <c r="AT47" s="3" t="s">
        <v>133</v>
      </c>
      <c r="AU47" s="3" t="s">
        <v>133</v>
      </c>
      <c r="AV47" s="3" t="s">
        <v>133</v>
      </c>
      <c r="AW47" s="3" t="s">
        <v>133</v>
      </c>
      <c r="AX47" s="3" t="s">
        <v>133</v>
      </c>
      <c r="AY47" s="3" t="s">
        <v>133</v>
      </c>
      <c r="AZ47" s="3" t="s">
        <v>133</v>
      </c>
      <c r="BA47" s="3" t="s">
        <v>133</v>
      </c>
      <c r="BB47" s="3" t="s">
        <v>133</v>
      </c>
      <c r="BC47" s="3" t="s">
        <v>133</v>
      </c>
      <c r="BD47" s="3" t="s">
        <v>133</v>
      </c>
      <c r="BE47" s="3" t="s">
        <v>133</v>
      </c>
      <c r="BF47" s="3" t="s">
        <v>133</v>
      </c>
      <c r="BG47" s="3" t="s">
        <v>133</v>
      </c>
      <c r="BH47" s="3" t="s">
        <v>133</v>
      </c>
      <c r="BI47" s="3">
        <v>9847800</v>
      </c>
      <c r="BJ47" s="3">
        <v>-2419700</v>
      </c>
      <c r="BK47" s="3">
        <v>3655300</v>
      </c>
      <c r="BL47" s="3">
        <v>968000</v>
      </c>
      <c r="BM47" s="3">
        <v>8601100</v>
      </c>
      <c r="BN47" s="3">
        <v>356400</v>
      </c>
      <c r="BO47" s="3">
        <v>778500</v>
      </c>
      <c r="BP47" s="3">
        <v>1638100</v>
      </c>
      <c r="BQ47" s="3">
        <v>2813900</v>
      </c>
      <c r="BR47" s="3">
        <v>845100</v>
      </c>
      <c r="BS47" s="3">
        <v>995500</v>
      </c>
      <c r="BT47" s="3">
        <v>643000</v>
      </c>
    </row>
    <row r="48" spans="1:72" x14ac:dyDescent="0.25">
      <c r="A48" s="3" t="s">
        <v>203</v>
      </c>
      <c r="B48" s="3" t="s">
        <v>133</v>
      </c>
      <c r="C48" s="3" t="s">
        <v>133</v>
      </c>
      <c r="D48" s="3" t="s">
        <v>133</v>
      </c>
      <c r="E48" s="3" t="s">
        <v>133</v>
      </c>
      <c r="F48" s="3" t="s">
        <v>133</v>
      </c>
      <c r="G48" s="3" t="s">
        <v>133</v>
      </c>
      <c r="H48" s="3" t="s">
        <v>133</v>
      </c>
      <c r="I48" s="3" t="s">
        <v>133</v>
      </c>
      <c r="J48" s="3" t="s">
        <v>133</v>
      </c>
      <c r="K48" s="3" t="s">
        <v>133</v>
      </c>
      <c r="L48" s="3" t="s">
        <v>133</v>
      </c>
      <c r="M48" s="3" t="s">
        <v>133</v>
      </c>
      <c r="N48" s="3" t="s">
        <v>133</v>
      </c>
      <c r="O48" s="3" t="s">
        <v>133</v>
      </c>
      <c r="P48" s="3" t="s">
        <v>133</v>
      </c>
      <c r="Q48" s="3" t="s">
        <v>133</v>
      </c>
      <c r="R48" s="3" t="s">
        <v>133</v>
      </c>
      <c r="S48" s="3" t="s">
        <v>133</v>
      </c>
      <c r="T48" s="3" t="s">
        <v>133</v>
      </c>
      <c r="U48" s="3" t="s">
        <v>133</v>
      </c>
      <c r="V48" s="3" t="s">
        <v>133</v>
      </c>
      <c r="W48" s="3" t="s">
        <v>133</v>
      </c>
      <c r="X48" s="3" t="s">
        <v>133</v>
      </c>
      <c r="Y48" s="3" t="s">
        <v>133</v>
      </c>
      <c r="Z48" s="3" t="s">
        <v>133</v>
      </c>
      <c r="AA48" s="3" t="s">
        <v>133</v>
      </c>
      <c r="AB48" s="3" t="s">
        <v>133</v>
      </c>
      <c r="AC48" s="3" t="s">
        <v>133</v>
      </c>
      <c r="AD48" s="3" t="s">
        <v>133</v>
      </c>
      <c r="AE48" s="3" t="s">
        <v>133</v>
      </c>
      <c r="AF48" s="3" t="s">
        <v>133</v>
      </c>
      <c r="AG48" s="3" t="s">
        <v>133</v>
      </c>
      <c r="AH48" s="3" t="s">
        <v>133</v>
      </c>
      <c r="AI48" s="3" t="s">
        <v>133</v>
      </c>
      <c r="AJ48" s="3" t="s">
        <v>133</v>
      </c>
      <c r="AK48" s="3" t="s">
        <v>133</v>
      </c>
      <c r="AL48" s="3" t="s">
        <v>133</v>
      </c>
      <c r="AM48" s="3" t="s">
        <v>133</v>
      </c>
      <c r="AN48" s="3" t="s">
        <v>133</v>
      </c>
      <c r="AO48" s="3" t="s">
        <v>133</v>
      </c>
      <c r="AP48" s="3" t="s">
        <v>133</v>
      </c>
      <c r="AQ48" s="3" t="s">
        <v>133</v>
      </c>
      <c r="AR48" s="3" t="s">
        <v>133</v>
      </c>
      <c r="AS48" s="3" t="s">
        <v>133</v>
      </c>
      <c r="AT48" s="3" t="s">
        <v>133</v>
      </c>
      <c r="AU48" s="3" t="s">
        <v>133</v>
      </c>
      <c r="AV48" s="3" t="s">
        <v>133</v>
      </c>
      <c r="AW48" s="3" t="s">
        <v>133</v>
      </c>
      <c r="AX48" s="3" t="s">
        <v>133</v>
      </c>
      <c r="AY48" s="3" t="s">
        <v>133</v>
      </c>
      <c r="AZ48" s="3" t="s">
        <v>133</v>
      </c>
      <c r="BA48" s="3" t="s">
        <v>133</v>
      </c>
      <c r="BB48" s="3" t="s">
        <v>133</v>
      </c>
      <c r="BC48" s="3" t="s">
        <v>133</v>
      </c>
      <c r="BD48" s="3" t="s">
        <v>133</v>
      </c>
      <c r="BE48" s="3" t="s">
        <v>133</v>
      </c>
      <c r="BF48" s="3" t="s">
        <v>133</v>
      </c>
      <c r="BG48" s="3" t="s">
        <v>133</v>
      </c>
      <c r="BH48" s="3" t="s">
        <v>133</v>
      </c>
      <c r="BI48" s="3" t="s">
        <v>133</v>
      </c>
      <c r="BJ48" s="3" t="s">
        <v>133</v>
      </c>
      <c r="BK48" s="3" t="s">
        <v>133</v>
      </c>
      <c r="BL48" s="3" t="s">
        <v>133</v>
      </c>
      <c r="BM48" s="3" t="s">
        <v>133</v>
      </c>
      <c r="BN48" s="3" t="s">
        <v>133</v>
      </c>
      <c r="BO48" s="3" t="s">
        <v>133</v>
      </c>
      <c r="BP48" s="3" t="s">
        <v>133</v>
      </c>
      <c r="BQ48" s="3" t="s">
        <v>133</v>
      </c>
      <c r="BR48" s="3" t="s">
        <v>133</v>
      </c>
      <c r="BS48" s="3" t="s">
        <v>133</v>
      </c>
      <c r="BT48" s="3" t="s">
        <v>133</v>
      </c>
    </row>
    <row r="49" spans="1:72" x14ac:dyDescent="0.25">
      <c r="A49" s="3" t="s">
        <v>204</v>
      </c>
      <c r="B49" s="3" t="s">
        <v>133</v>
      </c>
      <c r="C49" s="3" t="s">
        <v>133</v>
      </c>
      <c r="D49" s="3" t="s">
        <v>133</v>
      </c>
      <c r="E49" s="3" t="s">
        <v>133</v>
      </c>
      <c r="F49" s="3" t="s">
        <v>133</v>
      </c>
      <c r="G49" s="3" t="s">
        <v>133</v>
      </c>
      <c r="H49" s="3" t="s">
        <v>133</v>
      </c>
      <c r="I49" s="3" t="s">
        <v>133</v>
      </c>
      <c r="J49" s="3" t="s">
        <v>133</v>
      </c>
      <c r="K49" s="3" t="s">
        <v>133</v>
      </c>
      <c r="L49" s="3" t="s">
        <v>133</v>
      </c>
      <c r="M49" s="3" t="s">
        <v>133</v>
      </c>
      <c r="N49" s="3" t="s">
        <v>133</v>
      </c>
      <c r="O49" s="3" t="s">
        <v>133</v>
      </c>
      <c r="P49" s="3" t="s">
        <v>133</v>
      </c>
      <c r="Q49" s="3" t="s">
        <v>133</v>
      </c>
      <c r="R49" s="3" t="s">
        <v>133</v>
      </c>
      <c r="S49" s="3" t="s">
        <v>133</v>
      </c>
      <c r="T49" s="3" t="s">
        <v>133</v>
      </c>
      <c r="U49" s="3" t="s">
        <v>133</v>
      </c>
      <c r="V49" s="3" t="s">
        <v>133</v>
      </c>
      <c r="W49" s="3" t="s">
        <v>133</v>
      </c>
      <c r="X49" s="3" t="s">
        <v>133</v>
      </c>
      <c r="Y49" s="3" t="s">
        <v>133</v>
      </c>
      <c r="Z49" s="3" t="s">
        <v>133</v>
      </c>
      <c r="AA49" s="3" t="s">
        <v>133</v>
      </c>
      <c r="AB49" s="3" t="s">
        <v>133</v>
      </c>
      <c r="AC49" s="3" t="s">
        <v>133</v>
      </c>
      <c r="AD49" s="3" t="s">
        <v>133</v>
      </c>
      <c r="AE49" s="3" t="s">
        <v>133</v>
      </c>
      <c r="AF49" s="3" t="s">
        <v>133</v>
      </c>
      <c r="AG49" s="3" t="s">
        <v>133</v>
      </c>
      <c r="AH49" s="3" t="s">
        <v>133</v>
      </c>
      <c r="AI49" s="3" t="s">
        <v>133</v>
      </c>
      <c r="AJ49" s="3" t="s">
        <v>133</v>
      </c>
      <c r="AK49" s="3" t="s">
        <v>133</v>
      </c>
      <c r="AL49" s="3" t="s">
        <v>133</v>
      </c>
      <c r="AM49" s="3" t="s">
        <v>133</v>
      </c>
      <c r="AN49" s="3" t="s">
        <v>133</v>
      </c>
      <c r="AO49" s="3" t="s">
        <v>133</v>
      </c>
      <c r="AP49" s="3" t="s">
        <v>133</v>
      </c>
      <c r="AQ49" s="3" t="s">
        <v>133</v>
      </c>
      <c r="AR49" s="3" t="s">
        <v>133</v>
      </c>
      <c r="AS49" s="3" t="s">
        <v>133</v>
      </c>
      <c r="AT49" s="3" t="s">
        <v>133</v>
      </c>
      <c r="AU49" s="3" t="s">
        <v>133</v>
      </c>
      <c r="AV49" s="3" t="s">
        <v>133</v>
      </c>
      <c r="AW49" s="3" t="s">
        <v>133</v>
      </c>
      <c r="AX49" s="3" t="s">
        <v>133</v>
      </c>
      <c r="AY49" s="3" t="s">
        <v>133</v>
      </c>
      <c r="AZ49" s="3" t="s">
        <v>133</v>
      </c>
      <c r="BA49" s="3" t="s">
        <v>133</v>
      </c>
      <c r="BB49" s="3" t="s">
        <v>133</v>
      </c>
      <c r="BC49" s="3" t="s">
        <v>133</v>
      </c>
      <c r="BD49" s="3" t="s">
        <v>133</v>
      </c>
      <c r="BE49" s="3" t="s">
        <v>133</v>
      </c>
      <c r="BF49" s="3" t="s">
        <v>133</v>
      </c>
      <c r="BG49" s="3" t="s">
        <v>133</v>
      </c>
      <c r="BH49" s="3" t="s">
        <v>133</v>
      </c>
      <c r="BI49" s="3" t="s">
        <v>133</v>
      </c>
      <c r="BJ49" s="3" t="s">
        <v>133</v>
      </c>
      <c r="BK49" s="3" t="s">
        <v>133</v>
      </c>
      <c r="BL49" s="3" t="s">
        <v>133</v>
      </c>
      <c r="BM49" s="3">
        <v>-416900</v>
      </c>
      <c r="BN49" s="3" t="s">
        <v>133</v>
      </c>
      <c r="BO49" s="3" t="s">
        <v>133</v>
      </c>
      <c r="BP49" s="3" t="s">
        <v>133</v>
      </c>
      <c r="BQ49" s="3" t="s">
        <v>133</v>
      </c>
      <c r="BR49" s="3" t="s">
        <v>133</v>
      </c>
      <c r="BS49" s="3">
        <v>500</v>
      </c>
      <c r="BT49" s="3">
        <v>7700</v>
      </c>
    </row>
    <row r="50" spans="1:72" x14ac:dyDescent="0.25">
      <c r="A50" s="3" t="s">
        <v>205</v>
      </c>
      <c r="B50" s="3" t="s">
        <v>133</v>
      </c>
      <c r="C50" s="3" t="s">
        <v>133</v>
      </c>
      <c r="D50" s="3" t="s">
        <v>133</v>
      </c>
      <c r="E50" s="3" t="s">
        <v>133</v>
      </c>
      <c r="F50" s="3" t="s">
        <v>133</v>
      </c>
      <c r="G50" s="3" t="s">
        <v>133</v>
      </c>
      <c r="H50" s="3" t="s">
        <v>133</v>
      </c>
      <c r="I50" s="3" t="s">
        <v>133</v>
      </c>
      <c r="J50" s="3" t="s">
        <v>133</v>
      </c>
      <c r="K50" s="3" t="s">
        <v>133</v>
      </c>
      <c r="L50" s="3" t="s">
        <v>133</v>
      </c>
      <c r="M50" s="3" t="s">
        <v>133</v>
      </c>
      <c r="N50" s="3" t="s">
        <v>133</v>
      </c>
      <c r="O50" s="3" t="s">
        <v>133</v>
      </c>
      <c r="P50" s="3" t="s">
        <v>133</v>
      </c>
      <c r="Q50" s="3" t="s">
        <v>133</v>
      </c>
      <c r="R50" s="3" t="s">
        <v>133</v>
      </c>
      <c r="S50" s="3" t="s">
        <v>133</v>
      </c>
      <c r="T50" s="3" t="s">
        <v>133</v>
      </c>
      <c r="U50" s="3" t="s">
        <v>133</v>
      </c>
      <c r="V50" s="3" t="s">
        <v>133</v>
      </c>
      <c r="W50" s="3" t="s">
        <v>133</v>
      </c>
      <c r="X50" s="3" t="s">
        <v>133</v>
      </c>
      <c r="Y50" s="3" t="s">
        <v>133</v>
      </c>
      <c r="Z50" s="3" t="s">
        <v>133</v>
      </c>
      <c r="AA50" s="3" t="s">
        <v>133</v>
      </c>
      <c r="AB50" s="3" t="s">
        <v>133</v>
      </c>
      <c r="AC50" s="3" t="s">
        <v>133</v>
      </c>
      <c r="AD50" s="3" t="s">
        <v>133</v>
      </c>
      <c r="AE50" s="3" t="s">
        <v>133</v>
      </c>
      <c r="AF50" s="3" t="s">
        <v>133</v>
      </c>
      <c r="AG50" s="3" t="s">
        <v>133</v>
      </c>
      <c r="AH50" s="3" t="s">
        <v>133</v>
      </c>
      <c r="AI50" s="3" t="s">
        <v>133</v>
      </c>
      <c r="AJ50" s="3" t="s">
        <v>133</v>
      </c>
      <c r="AK50" s="3" t="s">
        <v>133</v>
      </c>
      <c r="AL50" s="3" t="s">
        <v>133</v>
      </c>
      <c r="AM50" s="3" t="s">
        <v>133</v>
      </c>
      <c r="AN50" s="3" t="s">
        <v>133</v>
      </c>
      <c r="AO50" s="3" t="s">
        <v>133</v>
      </c>
      <c r="AP50" s="3" t="s">
        <v>133</v>
      </c>
      <c r="AQ50" s="3" t="s">
        <v>133</v>
      </c>
      <c r="AR50" s="3" t="s">
        <v>133</v>
      </c>
      <c r="AS50" s="3" t="s">
        <v>133</v>
      </c>
      <c r="AT50" s="3" t="s">
        <v>133</v>
      </c>
      <c r="AU50" s="3" t="s">
        <v>133</v>
      </c>
      <c r="AV50" s="3" t="s">
        <v>133</v>
      </c>
      <c r="AW50" s="3" t="s">
        <v>133</v>
      </c>
      <c r="AX50" s="3" t="s">
        <v>133</v>
      </c>
      <c r="AY50" s="3" t="s">
        <v>133</v>
      </c>
      <c r="AZ50" s="3" t="s">
        <v>133</v>
      </c>
      <c r="BA50" s="3" t="s">
        <v>133</v>
      </c>
      <c r="BB50" s="3" t="s">
        <v>133</v>
      </c>
      <c r="BC50" s="3" t="s">
        <v>133</v>
      </c>
      <c r="BD50" s="3" t="s">
        <v>133</v>
      </c>
      <c r="BE50" s="3" t="s">
        <v>133</v>
      </c>
      <c r="BF50" s="3" t="s">
        <v>133</v>
      </c>
      <c r="BG50" s="3" t="s">
        <v>133</v>
      </c>
      <c r="BH50" s="3" t="s">
        <v>133</v>
      </c>
      <c r="BI50" s="3" t="s">
        <v>133</v>
      </c>
      <c r="BJ50" s="3" t="s">
        <v>133</v>
      </c>
      <c r="BK50" s="3" t="s">
        <v>133</v>
      </c>
      <c r="BL50" s="3" t="s">
        <v>133</v>
      </c>
      <c r="BM50" s="3" t="s">
        <v>133</v>
      </c>
      <c r="BN50" s="3" t="s">
        <v>133</v>
      </c>
      <c r="BO50" s="3" t="s">
        <v>133</v>
      </c>
      <c r="BP50" s="3" t="s">
        <v>133</v>
      </c>
      <c r="BQ50" s="3" t="s">
        <v>133</v>
      </c>
      <c r="BR50" s="3" t="s">
        <v>133</v>
      </c>
      <c r="BS50" s="3" t="s">
        <v>133</v>
      </c>
      <c r="BT50" s="3" t="s">
        <v>133</v>
      </c>
    </row>
    <row r="51" spans="1:72" x14ac:dyDescent="0.25">
      <c r="A51" s="3" t="s">
        <v>15</v>
      </c>
      <c r="B51" s="3" t="s">
        <v>133</v>
      </c>
      <c r="C51" s="3" t="s">
        <v>133</v>
      </c>
      <c r="D51" s="3" t="s">
        <v>133</v>
      </c>
      <c r="E51" s="3" t="s">
        <v>133</v>
      </c>
      <c r="F51" s="3" t="s">
        <v>133</v>
      </c>
      <c r="G51" s="3" t="s">
        <v>133</v>
      </c>
      <c r="H51" s="3" t="s">
        <v>133</v>
      </c>
      <c r="I51" s="3" t="s">
        <v>133</v>
      </c>
      <c r="J51" s="3" t="s">
        <v>133</v>
      </c>
      <c r="K51" s="3" t="s">
        <v>133</v>
      </c>
      <c r="L51" s="3" t="s">
        <v>133</v>
      </c>
      <c r="M51" s="3" t="s">
        <v>133</v>
      </c>
      <c r="N51" s="3" t="s">
        <v>133</v>
      </c>
      <c r="O51" s="3" t="s">
        <v>133</v>
      </c>
      <c r="P51" s="3" t="s">
        <v>133</v>
      </c>
      <c r="Q51" s="3" t="s">
        <v>133</v>
      </c>
      <c r="R51" s="3" t="s">
        <v>133</v>
      </c>
      <c r="S51" s="3" t="s">
        <v>133</v>
      </c>
      <c r="T51" s="3" t="s">
        <v>133</v>
      </c>
      <c r="U51" s="3" t="s">
        <v>133</v>
      </c>
      <c r="V51" s="3" t="s">
        <v>133</v>
      </c>
      <c r="W51" s="3" t="s">
        <v>133</v>
      </c>
      <c r="X51" s="3" t="s">
        <v>133</v>
      </c>
      <c r="Y51" s="3" t="s">
        <v>133</v>
      </c>
      <c r="Z51" s="3" t="s">
        <v>133</v>
      </c>
      <c r="AA51" s="3" t="s">
        <v>133</v>
      </c>
      <c r="AB51" s="3" t="s">
        <v>133</v>
      </c>
      <c r="AC51" s="3" t="s">
        <v>133</v>
      </c>
      <c r="AD51" s="3" t="s">
        <v>133</v>
      </c>
      <c r="AE51" s="3" t="s">
        <v>133</v>
      </c>
      <c r="AF51" s="3" t="s">
        <v>133</v>
      </c>
      <c r="AG51" s="3" t="s">
        <v>133</v>
      </c>
      <c r="AH51" s="3" t="s">
        <v>133</v>
      </c>
      <c r="AI51" s="3" t="s">
        <v>133</v>
      </c>
      <c r="AJ51" s="3" t="s">
        <v>133</v>
      </c>
      <c r="AK51" s="3" t="s">
        <v>133</v>
      </c>
      <c r="AL51" s="3" t="s">
        <v>133</v>
      </c>
      <c r="AM51" s="3" t="s">
        <v>133</v>
      </c>
      <c r="AN51" s="3" t="s">
        <v>133</v>
      </c>
      <c r="AO51" s="3" t="s">
        <v>133</v>
      </c>
      <c r="AP51" s="3" t="s">
        <v>133</v>
      </c>
      <c r="AQ51" s="3" t="s">
        <v>133</v>
      </c>
      <c r="AR51" s="3" t="s">
        <v>133</v>
      </c>
      <c r="AS51" s="3" t="s">
        <v>133</v>
      </c>
      <c r="AT51" s="3" t="s">
        <v>133</v>
      </c>
      <c r="AU51" s="3" t="s">
        <v>133</v>
      </c>
      <c r="AV51" s="3" t="s">
        <v>133</v>
      </c>
      <c r="AW51" s="3" t="s">
        <v>133</v>
      </c>
      <c r="AX51" s="3" t="s">
        <v>133</v>
      </c>
      <c r="AY51" s="3" t="s">
        <v>133</v>
      </c>
      <c r="AZ51" s="3" t="s">
        <v>133</v>
      </c>
      <c r="BA51" s="3" t="s">
        <v>133</v>
      </c>
      <c r="BB51" s="3" t="s">
        <v>133</v>
      </c>
      <c r="BC51" s="3" t="s">
        <v>133</v>
      </c>
      <c r="BD51" s="3" t="s">
        <v>133</v>
      </c>
      <c r="BE51" s="3" t="s">
        <v>133</v>
      </c>
      <c r="BF51" s="3" t="s">
        <v>133</v>
      </c>
      <c r="BG51" s="3" t="s">
        <v>133</v>
      </c>
      <c r="BH51" s="3" t="s">
        <v>133</v>
      </c>
      <c r="BI51" s="3">
        <v>-18038700</v>
      </c>
      <c r="BJ51" s="3">
        <v>-6118000</v>
      </c>
      <c r="BK51" s="3">
        <v>-4361000</v>
      </c>
      <c r="BL51" s="3">
        <v>-3746900</v>
      </c>
      <c r="BM51" s="3">
        <v>-3041000</v>
      </c>
      <c r="BN51" s="3">
        <v>-12348200</v>
      </c>
      <c r="BO51" s="3">
        <v>-3211400</v>
      </c>
      <c r="BP51" s="3">
        <v>-6747400</v>
      </c>
      <c r="BQ51" s="3">
        <v>-3927200</v>
      </c>
      <c r="BR51" s="3">
        <v>-7752000</v>
      </c>
      <c r="BS51" s="3">
        <v>-2182700</v>
      </c>
      <c r="BT51" s="3">
        <v>-2188400</v>
      </c>
    </row>
    <row r="52" spans="1:72" x14ac:dyDescent="0.25">
      <c r="A52" s="3" t="s">
        <v>206</v>
      </c>
      <c r="B52" s="3" t="s">
        <v>133</v>
      </c>
      <c r="C52" s="3" t="s">
        <v>133</v>
      </c>
      <c r="D52" s="3" t="s">
        <v>133</v>
      </c>
      <c r="E52" s="3" t="s">
        <v>133</v>
      </c>
      <c r="F52" s="3" t="s">
        <v>133</v>
      </c>
      <c r="G52" s="3" t="s">
        <v>133</v>
      </c>
      <c r="H52" s="3" t="s">
        <v>133</v>
      </c>
      <c r="I52" s="3" t="s">
        <v>133</v>
      </c>
      <c r="J52" s="3" t="s">
        <v>133</v>
      </c>
      <c r="K52" s="3" t="s">
        <v>133</v>
      </c>
      <c r="L52" s="3" t="s">
        <v>133</v>
      </c>
      <c r="M52" s="3" t="s">
        <v>133</v>
      </c>
      <c r="N52" s="3" t="s">
        <v>133</v>
      </c>
      <c r="O52" s="3" t="s">
        <v>133</v>
      </c>
      <c r="P52" s="3" t="s">
        <v>133</v>
      </c>
      <c r="Q52" s="3" t="s">
        <v>133</v>
      </c>
      <c r="R52" s="3" t="s">
        <v>133</v>
      </c>
      <c r="S52" s="3" t="s">
        <v>133</v>
      </c>
      <c r="T52" s="3" t="s">
        <v>133</v>
      </c>
      <c r="U52" s="3" t="s">
        <v>133</v>
      </c>
      <c r="V52" s="3" t="s">
        <v>133</v>
      </c>
      <c r="W52" s="3" t="s">
        <v>133</v>
      </c>
      <c r="X52" s="3" t="s">
        <v>133</v>
      </c>
      <c r="Y52" s="3" t="s">
        <v>133</v>
      </c>
      <c r="Z52" s="3" t="s">
        <v>133</v>
      </c>
      <c r="AA52" s="3" t="s">
        <v>133</v>
      </c>
      <c r="AB52" s="3" t="s">
        <v>133</v>
      </c>
      <c r="AC52" s="3" t="s">
        <v>133</v>
      </c>
      <c r="AD52" s="3" t="s">
        <v>133</v>
      </c>
      <c r="AE52" s="3" t="s">
        <v>133</v>
      </c>
      <c r="AF52" s="3" t="s">
        <v>133</v>
      </c>
      <c r="AG52" s="3" t="s">
        <v>133</v>
      </c>
      <c r="AH52" s="3" t="s">
        <v>133</v>
      </c>
      <c r="AI52" s="3" t="s">
        <v>133</v>
      </c>
      <c r="AJ52" s="3" t="s">
        <v>133</v>
      </c>
      <c r="AK52" s="3" t="s">
        <v>133</v>
      </c>
      <c r="AL52" s="3" t="s">
        <v>133</v>
      </c>
      <c r="AM52" s="3" t="s">
        <v>133</v>
      </c>
      <c r="AN52" s="3" t="s">
        <v>133</v>
      </c>
      <c r="AO52" s="3" t="s">
        <v>133</v>
      </c>
      <c r="AP52" s="3" t="s">
        <v>133</v>
      </c>
      <c r="AQ52" s="3" t="s">
        <v>133</v>
      </c>
      <c r="AR52" s="3" t="s">
        <v>133</v>
      </c>
      <c r="AS52" s="3" t="s">
        <v>133</v>
      </c>
      <c r="AT52" s="3" t="s">
        <v>133</v>
      </c>
      <c r="AU52" s="3" t="s">
        <v>133</v>
      </c>
      <c r="AV52" s="3" t="s">
        <v>133</v>
      </c>
      <c r="AW52" s="3" t="s">
        <v>133</v>
      </c>
      <c r="AX52" s="3" t="s">
        <v>133</v>
      </c>
      <c r="AY52" s="3" t="s">
        <v>133</v>
      </c>
      <c r="AZ52" s="3" t="s">
        <v>133</v>
      </c>
      <c r="BA52" s="3" t="s">
        <v>133</v>
      </c>
      <c r="BB52" s="3" t="s">
        <v>133</v>
      </c>
      <c r="BC52" s="3" t="s">
        <v>133</v>
      </c>
      <c r="BD52" s="3" t="s">
        <v>133</v>
      </c>
      <c r="BE52" s="3" t="s">
        <v>133</v>
      </c>
      <c r="BF52" s="3" t="s">
        <v>133</v>
      </c>
      <c r="BG52" s="3" t="s">
        <v>133</v>
      </c>
      <c r="BH52" s="3" t="s">
        <v>133</v>
      </c>
      <c r="BI52" s="3">
        <v>-404200</v>
      </c>
      <c r="BJ52" s="3" t="s">
        <v>133</v>
      </c>
      <c r="BK52" s="3">
        <v>-211400</v>
      </c>
      <c r="BL52" s="3">
        <v>187700</v>
      </c>
      <c r="BM52" s="3" t="s">
        <v>133</v>
      </c>
      <c r="BN52" s="3" t="s">
        <v>133</v>
      </c>
      <c r="BO52" s="3" t="s">
        <v>133</v>
      </c>
      <c r="BP52" s="3" t="s">
        <v>133</v>
      </c>
      <c r="BQ52" s="3" t="s">
        <v>133</v>
      </c>
      <c r="BR52" s="3" t="s">
        <v>133</v>
      </c>
      <c r="BS52" s="3" t="s">
        <v>133</v>
      </c>
      <c r="BT52" s="3" t="s">
        <v>133</v>
      </c>
    </row>
    <row r="53" spans="1:72" x14ac:dyDescent="0.25">
      <c r="A53" s="3" t="s">
        <v>207</v>
      </c>
      <c r="B53" s="3" t="s">
        <v>133</v>
      </c>
      <c r="C53" s="3" t="s">
        <v>133</v>
      </c>
      <c r="D53" s="3" t="s">
        <v>133</v>
      </c>
      <c r="E53" s="3" t="s">
        <v>133</v>
      </c>
      <c r="F53" s="3" t="s">
        <v>133</v>
      </c>
      <c r="G53" s="3" t="s">
        <v>133</v>
      </c>
      <c r="H53" s="3" t="s">
        <v>133</v>
      </c>
      <c r="I53" s="3" t="s">
        <v>133</v>
      </c>
      <c r="J53" s="3" t="s">
        <v>133</v>
      </c>
      <c r="K53" s="3" t="s">
        <v>133</v>
      </c>
      <c r="L53" s="3" t="s">
        <v>133</v>
      </c>
      <c r="M53" s="3" t="s">
        <v>133</v>
      </c>
      <c r="N53" s="3" t="s">
        <v>133</v>
      </c>
      <c r="O53" s="3" t="s">
        <v>133</v>
      </c>
      <c r="P53" s="3" t="s">
        <v>133</v>
      </c>
      <c r="Q53" s="3" t="s">
        <v>133</v>
      </c>
      <c r="R53" s="3" t="s">
        <v>133</v>
      </c>
      <c r="S53" s="3" t="s">
        <v>133</v>
      </c>
      <c r="T53" s="3" t="s">
        <v>133</v>
      </c>
      <c r="U53" s="3" t="s">
        <v>133</v>
      </c>
      <c r="V53" s="3" t="s">
        <v>133</v>
      </c>
      <c r="W53" s="3" t="s">
        <v>133</v>
      </c>
      <c r="X53" s="3" t="s">
        <v>133</v>
      </c>
      <c r="Y53" s="3" t="s">
        <v>133</v>
      </c>
      <c r="Z53" s="3" t="s">
        <v>133</v>
      </c>
      <c r="AA53" s="3" t="s">
        <v>133</v>
      </c>
      <c r="AB53" s="3" t="s">
        <v>133</v>
      </c>
      <c r="AC53" s="3" t="s">
        <v>133</v>
      </c>
      <c r="AD53" s="3" t="s">
        <v>133</v>
      </c>
      <c r="AE53" s="3" t="s">
        <v>133</v>
      </c>
      <c r="AF53" s="3" t="s">
        <v>133</v>
      </c>
      <c r="AG53" s="3" t="s">
        <v>133</v>
      </c>
      <c r="AH53" s="3" t="s">
        <v>133</v>
      </c>
      <c r="AI53" s="3" t="s">
        <v>133</v>
      </c>
      <c r="AJ53" s="3" t="s">
        <v>133</v>
      </c>
      <c r="AK53" s="3" t="s">
        <v>133</v>
      </c>
      <c r="AL53" s="3" t="s">
        <v>133</v>
      </c>
      <c r="AM53" s="3" t="s">
        <v>133</v>
      </c>
      <c r="AN53" s="3" t="s">
        <v>133</v>
      </c>
      <c r="AO53" s="3" t="s">
        <v>133</v>
      </c>
      <c r="AP53" s="3" t="s">
        <v>133</v>
      </c>
      <c r="AQ53" s="3" t="s">
        <v>133</v>
      </c>
      <c r="AR53" s="3" t="s">
        <v>133</v>
      </c>
      <c r="AS53" s="3" t="s">
        <v>133</v>
      </c>
      <c r="AT53" s="3" t="s">
        <v>133</v>
      </c>
      <c r="AU53" s="3" t="s">
        <v>133</v>
      </c>
      <c r="AV53" s="3" t="s">
        <v>133</v>
      </c>
      <c r="AW53" s="3" t="s">
        <v>133</v>
      </c>
      <c r="AX53" s="3" t="s">
        <v>133</v>
      </c>
      <c r="AY53" s="3" t="s">
        <v>133</v>
      </c>
      <c r="AZ53" s="3" t="s">
        <v>133</v>
      </c>
      <c r="BA53" s="3" t="s">
        <v>133</v>
      </c>
      <c r="BB53" s="3" t="s">
        <v>133</v>
      </c>
      <c r="BC53" s="3" t="s">
        <v>133</v>
      </c>
      <c r="BD53" s="3" t="s">
        <v>133</v>
      </c>
      <c r="BE53" s="3" t="s">
        <v>133</v>
      </c>
      <c r="BF53" s="3" t="s">
        <v>133</v>
      </c>
      <c r="BG53" s="3" t="s">
        <v>133</v>
      </c>
      <c r="BH53" s="3" t="s">
        <v>133</v>
      </c>
      <c r="BI53" s="3" t="s">
        <v>133</v>
      </c>
      <c r="BJ53" s="3" t="s">
        <v>133</v>
      </c>
      <c r="BK53" s="3" t="s">
        <v>133</v>
      </c>
      <c r="BL53" s="3" t="s">
        <v>133</v>
      </c>
      <c r="BM53" s="3" t="s">
        <v>133</v>
      </c>
      <c r="BN53" s="3" t="s">
        <v>133</v>
      </c>
      <c r="BO53" s="3" t="s">
        <v>133</v>
      </c>
      <c r="BP53" s="3" t="s">
        <v>133</v>
      </c>
      <c r="BQ53" s="3" t="s">
        <v>133</v>
      </c>
      <c r="BR53" s="3" t="s">
        <v>133</v>
      </c>
      <c r="BS53" s="3" t="s">
        <v>133</v>
      </c>
      <c r="BT53" s="3" t="s">
        <v>133</v>
      </c>
    </row>
    <row r="54" spans="1:72" x14ac:dyDescent="0.25">
      <c r="A54" s="3" t="s">
        <v>208</v>
      </c>
      <c r="B54" s="3" t="s">
        <v>133</v>
      </c>
      <c r="C54" s="3" t="s">
        <v>133</v>
      </c>
      <c r="D54" s="3" t="s">
        <v>133</v>
      </c>
      <c r="E54" s="3" t="s">
        <v>133</v>
      </c>
      <c r="F54" s="3" t="s">
        <v>133</v>
      </c>
      <c r="G54" s="3" t="s">
        <v>133</v>
      </c>
      <c r="H54" s="3" t="s">
        <v>133</v>
      </c>
      <c r="I54" s="3" t="s">
        <v>133</v>
      </c>
      <c r="J54" s="3" t="s">
        <v>133</v>
      </c>
      <c r="K54" s="3" t="s">
        <v>133</v>
      </c>
      <c r="L54" s="3" t="s">
        <v>133</v>
      </c>
      <c r="M54" s="3" t="s">
        <v>133</v>
      </c>
      <c r="N54" s="3" t="s">
        <v>133</v>
      </c>
      <c r="O54" s="3" t="s">
        <v>133</v>
      </c>
      <c r="P54" s="3" t="s">
        <v>133</v>
      </c>
      <c r="Q54" s="3" t="s">
        <v>133</v>
      </c>
      <c r="R54" s="3" t="s">
        <v>133</v>
      </c>
      <c r="S54" s="3" t="s">
        <v>133</v>
      </c>
      <c r="T54" s="3" t="s">
        <v>133</v>
      </c>
      <c r="U54" s="3" t="s">
        <v>133</v>
      </c>
      <c r="V54" s="3" t="s">
        <v>133</v>
      </c>
      <c r="W54" s="3" t="s">
        <v>133</v>
      </c>
      <c r="X54" s="3" t="s">
        <v>133</v>
      </c>
      <c r="Y54" s="3" t="s">
        <v>133</v>
      </c>
      <c r="Z54" s="3" t="s">
        <v>133</v>
      </c>
      <c r="AA54" s="3" t="s">
        <v>133</v>
      </c>
      <c r="AB54" s="3" t="s">
        <v>133</v>
      </c>
      <c r="AC54" s="3" t="s">
        <v>133</v>
      </c>
      <c r="AD54" s="3" t="s">
        <v>133</v>
      </c>
      <c r="AE54" s="3" t="s">
        <v>133</v>
      </c>
      <c r="AF54" s="3" t="s">
        <v>133</v>
      </c>
      <c r="AG54" s="3" t="s">
        <v>133</v>
      </c>
      <c r="AH54" s="3" t="s">
        <v>133</v>
      </c>
      <c r="AI54" s="3" t="s">
        <v>133</v>
      </c>
      <c r="AJ54" s="3" t="s">
        <v>133</v>
      </c>
      <c r="AK54" s="3" t="s">
        <v>133</v>
      </c>
      <c r="AL54" s="3" t="s">
        <v>133</v>
      </c>
      <c r="AM54" s="3" t="s">
        <v>133</v>
      </c>
      <c r="AN54" s="3" t="s">
        <v>133</v>
      </c>
      <c r="AO54" s="3" t="s">
        <v>133</v>
      </c>
      <c r="AP54" s="3" t="s">
        <v>133</v>
      </c>
      <c r="AQ54" s="3" t="s">
        <v>133</v>
      </c>
      <c r="AR54" s="3" t="s">
        <v>133</v>
      </c>
      <c r="AS54" s="3" t="s">
        <v>133</v>
      </c>
      <c r="AT54" s="3" t="s">
        <v>133</v>
      </c>
      <c r="AU54" s="3" t="s">
        <v>133</v>
      </c>
      <c r="AV54" s="3" t="s">
        <v>133</v>
      </c>
      <c r="AW54" s="3" t="s">
        <v>133</v>
      </c>
      <c r="AX54" s="3" t="s">
        <v>133</v>
      </c>
      <c r="AY54" s="3" t="s">
        <v>133</v>
      </c>
      <c r="AZ54" s="3" t="s">
        <v>133</v>
      </c>
      <c r="BA54" s="3" t="s">
        <v>133</v>
      </c>
      <c r="BB54" s="3" t="s">
        <v>133</v>
      </c>
      <c r="BC54" s="3" t="s">
        <v>133</v>
      </c>
      <c r="BD54" s="3" t="s">
        <v>133</v>
      </c>
      <c r="BE54" s="3" t="s">
        <v>133</v>
      </c>
      <c r="BF54" s="3" t="s">
        <v>133</v>
      </c>
      <c r="BG54" s="3" t="s">
        <v>133</v>
      </c>
      <c r="BH54" s="3" t="s">
        <v>133</v>
      </c>
      <c r="BI54" s="3" t="s">
        <v>133</v>
      </c>
      <c r="BJ54" s="3" t="s">
        <v>133</v>
      </c>
      <c r="BK54" s="3" t="s">
        <v>133</v>
      </c>
      <c r="BL54" s="3" t="s">
        <v>133</v>
      </c>
      <c r="BM54" s="3" t="s">
        <v>133</v>
      </c>
      <c r="BN54" s="3" t="s">
        <v>133</v>
      </c>
      <c r="BO54" s="3" t="s">
        <v>133</v>
      </c>
      <c r="BP54" s="3" t="s">
        <v>133</v>
      </c>
      <c r="BQ54" s="3" t="s">
        <v>133</v>
      </c>
      <c r="BR54" s="3" t="s">
        <v>133</v>
      </c>
      <c r="BS54" s="3" t="s">
        <v>133</v>
      </c>
      <c r="BT54" s="3" t="s">
        <v>133</v>
      </c>
    </row>
    <row r="55" spans="1:72" x14ac:dyDescent="0.25">
      <c r="A55" s="3" t="s">
        <v>209</v>
      </c>
      <c r="B55" s="3" t="s">
        <v>133</v>
      </c>
      <c r="C55" s="3" t="s">
        <v>133</v>
      </c>
      <c r="D55" s="3" t="s">
        <v>133</v>
      </c>
      <c r="E55" s="3" t="s">
        <v>133</v>
      </c>
      <c r="F55" s="3" t="s">
        <v>133</v>
      </c>
      <c r="G55" s="3" t="s">
        <v>133</v>
      </c>
      <c r="H55" s="3" t="s">
        <v>133</v>
      </c>
      <c r="I55" s="3" t="s">
        <v>133</v>
      </c>
      <c r="J55" s="3" t="s">
        <v>133</v>
      </c>
      <c r="K55" s="3" t="s">
        <v>133</v>
      </c>
      <c r="L55" s="3" t="s">
        <v>133</v>
      </c>
      <c r="M55" s="3" t="s">
        <v>133</v>
      </c>
      <c r="N55" s="3" t="s">
        <v>133</v>
      </c>
      <c r="O55" s="3" t="s">
        <v>133</v>
      </c>
      <c r="P55" s="3" t="s">
        <v>133</v>
      </c>
      <c r="Q55" s="3" t="s">
        <v>133</v>
      </c>
      <c r="R55" s="3" t="s">
        <v>133</v>
      </c>
      <c r="S55" s="3" t="s">
        <v>133</v>
      </c>
      <c r="T55" s="3" t="s">
        <v>133</v>
      </c>
      <c r="U55" s="3" t="s">
        <v>133</v>
      </c>
      <c r="V55" s="3" t="s">
        <v>133</v>
      </c>
      <c r="W55" s="3" t="s">
        <v>133</v>
      </c>
      <c r="X55" s="3" t="s">
        <v>133</v>
      </c>
      <c r="Y55" s="3" t="s">
        <v>133</v>
      </c>
      <c r="Z55" s="3" t="s">
        <v>133</v>
      </c>
      <c r="AA55" s="3" t="s">
        <v>133</v>
      </c>
      <c r="AB55" s="3" t="s">
        <v>133</v>
      </c>
      <c r="AC55" s="3" t="s">
        <v>133</v>
      </c>
      <c r="AD55" s="3" t="s">
        <v>133</v>
      </c>
      <c r="AE55" s="3" t="s">
        <v>133</v>
      </c>
      <c r="AF55" s="3" t="s">
        <v>133</v>
      </c>
      <c r="AG55" s="3" t="s">
        <v>133</v>
      </c>
      <c r="AH55" s="3" t="s">
        <v>133</v>
      </c>
      <c r="AI55" s="3" t="s">
        <v>133</v>
      </c>
      <c r="AJ55" s="3" t="s">
        <v>133</v>
      </c>
      <c r="AK55" s="3" t="s">
        <v>133</v>
      </c>
      <c r="AL55" s="3" t="s">
        <v>133</v>
      </c>
      <c r="AM55" s="3" t="s">
        <v>133</v>
      </c>
      <c r="AN55" s="3" t="s">
        <v>133</v>
      </c>
      <c r="AO55" s="3" t="s">
        <v>133</v>
      </c>
      <c r="AP55" s="3" t="s">
        <v>133</v>
      </c>
      <c r="AQ55" s="3" t="s">
        <v>133</v>
      </c>
      <c r="AR55" s="3" t="s">
        <v>133</v>
      </c>
      <c r="AS55" s="3" t="s">
        <v>133</v>
      </c>
      <c r="AT55" s="3" t="s">
        <v>133</v>
      </c>
      <c r="AU55" s="3" t="s">
        <v>133</v>
      </c>
      <c r="AV55" s="3" t="s">
        <v>133</v>
      </c>
      <c r="AW55" s="3" t="s">
        <v>133</v>
      </c>
      <c r="AX55" s="3" t="s">
        <v>133</v>
      </c>
      <c r="AY55" s="3" t="s">
        <v>133</v>
      </c>
      <c r="AZ55" s="3" t="s">
        <v>133</v>
      </c>
      <c r="BA55" s="3" t="s">
        <v>133</v>
      </c>
      <c r="BB55" s="3" t="s">
        <v>133</v>
      </c>
      <c r="BC55" s="3" t="s">
        <v>133</v>
      </c>
      <c r="BD55" s="3" t="s">
        <v>133</v>
      </c>
      <c r="BE55" s="3" t="s">
        <v>133</v>
      </c>
      <c r="BF55" s="3" t="s">
        <v>133</v>
      </c>
      <c r="BG55" s="3" t="s">
        <v>133</v>
      </c>
      <c r="BH55" s="3" t="s">
        <v>133</v>
      </c>
      <c r="BI55" s="3">
        <v>-176557300</v>
      </c>
      <c r="BJ55" s="3">
        <v>-15810900</v>
      </c>
      <c r="BK55" s="3">
        <v>-27769100</v>
      </c>
      <c r="BL55" s="3">
        <v>53328800</v>
      </c>
      <c r="BM55" s="3">
        <v>-177243400</v>
      </c>
      <c r="BN55" s="3">
        <v>-197941900</v>
      </c>
      <c r="BO55" s="3">
        <v>-39235900</v>
      </c>
      <c r="BP55" s="3">
        <v>-64313400</v>
      </c>
      <c r="BQ55" s="3">
        <v>-12650500</v>
      </c>
      <c r="BR55" s="3">
        <v>-13444500</v>
      </c>
      <c r="BS55" s="3">
        <v>-158930100</v>
      </c>
      <c r="BT55" s="3">
        <v>46631000</v>
      </c>
    </row>
    <row r="56" spans="1:72" x14ac:dyDescent="0.25">
      <c r="A56" s="3" t="s">
        <v>210</v>
      </c>
      <c r="B56" s="3" t="s">
        <v>133</v>
      </c>
      <c r="C56" s="3" t="s">
        <v>133</v>
      </c>
      <c r="D56" s="3" t="s">
        <v>133</v>
      </c>
      <c r="E56" s="3" t="s">
        <v>133</v>
      </c>
      <c r="F56" s="3" t="s">
        <v>133</v>
      </c>
      <c r="G56" s="3" t="s">
        <v>133</v>
      </c>
      <c r="H56" s="3" t="s">
        <v>133</v>
      </c>
      <c r="I56" s="3" t="s">
        <v>133</v>
      </c>
      <c r="J56" s="3" t="s">
        <v>133</v>
      </c>
      <c r="K56" s="3" t="s">
        <v>133</v>
      </c>
      <c r="L56" s="3" t="s">
        <v>133</v>
      </c>
      <c r="M56" s="3" t="s">
        <v>133</v>
      </c>
      <c r="N56" s="3" t="s">
        <v>133</v>
      </c>
      <c r="O56" s="3" t="s">
        <v>133</v>
      </c>
      <c r="P56" s="3" t="s">
        <v>133</v>
      </c>
      <c r="Q56" s="3" t="s">
        <v>133</v>
      </c>
      <c r="R56" s="3" t="s">
        <v>133</v>
      </c>
      <c r="S56" s="3" t="s">
        <v>133</v>
      </c>
      <c r="T56" s="3" t="s">
        <v>133</v>
      </c>
      <c r="U56" s="3" t="s">
        <v>133</v>
      </c>
      <c r="V56" s="3" t="s">
        <v>133</v>
      </c>
      <c r="W56" s="3" t="s">
        <v>133</v>
      </c>
      <c r="X56" s="3" t="s">
        <v>133</v>
      </c>
      <c r="Y56" s="3" t="s">
        <v>133</v>
      </c>
      <c r="Z56" s="3" t="s">
        <v>133</v>
      </c>
      <c r="AA56" s="3" t="s">
        <v>133</v>
      </c>
      <c r="AB56" s="3" t="s">
        <v>133</v>
      </c>
      <c r="AC56" s="3" t="s">
        <v>133</v>
      </c>
      <c r="AD56" s="3" t="s">
        <v>133</v>
      </c>
      <c r="AE56" s="3" t="s">
        <v>133</v>
      </c>
      <c r="AF56" s="3" t="s">
        <v>133</v>
      </c>
      <c r="AG56" s="3" t="s">
        <v>133</v>
      </c>
      <c r="AH56" s="3" t="s">
        <v>133</v>
      </c>
      <c r="AI56" s="3" t="s">
        <v>133</v>
      </c>
      <c r="AJ56" s="3" t="s">
        <v>133</v>
      </c>
      <c r="AK56" s="3" t="s">
        <v>133</v>
      </c>
      <c r="AL56" s="3" t="s">
        <v>133</v>
      </c>
      <c r="AM56" s="3" t="s">
        <v>133</v>
      </c>
      <c r="AN56" s="3" t="s">
        <v>133</v>
      </c>
      <c r="AO56" s="3" t="s">
        <v>133</v>
      </c>
      <c r="AP56" s="3" t="s">
        <v>133</v>
      </c>
      <c r="AQ56" s="3" t="s">
        <v>133</v>
      </c>
      <c r="AR56" s="3" t="s">
        <v>133</v>
      </c>
      <c r="AS56" s="3" t="s">
        <v>133</v>
      </c>
      <c r="AT56" s="3" t="s">
        <v>133</v>
      </c>
      <c r="AU56" s="3" t="s">
        <v>133</v>
      </c>
      <c r="AV56" s="3" t="s">
        <v>133</v>
      </c>
      <c r="AW56" s="3" t="s">
        <v>133</v>
      </c>
      <c r="AX56" s="3" t="s">
        <v>133</v>
      </c>
      <c r="AY56" s="3" t="s">
        <v>133</v>
      </c>
      <c r="AZ56" s="3" t="s">
        <v>133</v>
      </c>
      <c r="BA56" s="3" t="s">
        <v>133</v>
      </c>
      <c r="BB56" s="3" t="s">
        <v>133</v>
      </c>
      <c r="BC56" s="3" t="s">
        <v>133</v>
      </c>
      <c r="BD56" s="3" t="s">
        <v>133</v>
      </c>
      <c r="BE56" s="3" t="s">
        <v>133</v>
      </c>
      <c r="BF56" s="3" t="s">
        <v>133</v>
      </c>
      <c r="BG56" s="3" t="s">
        <v>133</v>
      </c>
      <c r="BH56" s="3" t="s">
        <v>133</v>
      </c>
      <c r="BI56" s="3">
        <v>-3580200</v>
      </c>
      <c r="BJ56" s="3">
        <v>-52440600</v>
      </c>
      <c r="BK56" s="3">
        <v>6648700</v>
      </c>
      <c r="BL56" s="3">
        <v>-37039200</v>
      </c>
      <c r="BM56" s="3">
        <v>37050200</v>
      </c>
      <c r="BN56" s="3">
        <v>-55953900</v>
      </c>
      <c r="BO56" s="3">
        <v>-43330400</v>
      </c>
      <c r="BP56" s="3">
        <v>6273600</v>
      </c>
      <c r="BQ56" s="3">
        <v>-10700000</v>
      </c>
      <c r="BR56" s="3">
        <v>-135961600</v>
      </c>
      <c r="BS56" s="3">
        <v>64533700</v>
      </c>
      <c r="BT56" s="3">
        <v>16140300</v>
      </c>
    </row>
    <row r="57" spans="1:72" x14ac:dyDescent="0.25">
      <c r="A57" s="3" t="s">
        <v>211</v>
      </c>
      <c r="B57" s="3" t="s">
        <v>133</v>
      </c>
      <c r="C57" s="3" t="s">
        <v>133</v>
      </c>
      <c r="D57" s="3" t="s">
        <v>133</v>
      </c>
      <c r="E57" s="3" t="s">
        <v>133</v>
      </c>
      <c r="F57" s="3" t="s">
        <v>133</v>
      </c>
      <c r="G57" s="3" t="s">
        <v>133</v>
      </c>
      <c r="H57" s="3" t="s">
        <v>133</v>
      </c>
      <c r="I57" s="3" t="s">
        <v>133</v>
      </c>
      <c r="J57" s="3" t="s">
        <v>133</v>
      </c>
      <c r="K57" s="3" t="s">
        <v>133</v>
      </c>
      <c r="L57" s="3" t="s">
        <v>133</v>
      </c>
      <c r="M57" s="3" t="s">
        <v>133</v>
      </c>
      <c r="N57" s="3" t="s">
        <v>133</v>
      </c>
      <c r="O57" s="3" t="s">
        <v>133</v>
      </c>
      <c r="P57" s="3" t="s">
        <v>133</v>
      </c>
      <c r="Q57" s="3" t="s">
        <v>133</v>
      </c>
      <c r="R57" s="3" t="s">
        <v>133</v>
      </c>
      <c r="S57" s="3" t="s">
        <v>133</v>
      </c>
      <c r="T57" s="3" t="s">
        <v>133</v>
      </c>
      <c r="U57" s="3" t="s">
        <v>133</v>
      </c>
      <c r="V57" s="3" t="s">
        <v>133</v>
      </c>
      <c r="W57" s="3" t="s">
        <v>133</v>
      </c>
      <c r="X57" s="3" t="s">
        <v>133</v>
      </c>
      <c r="Y57" s="3" t="s">
        <v>133</v>
      </c>
      <c r="Z57" s="3" t="s">
        <v>133</v>
      </c>
      <c r="AA57" s="3" t="s">
        <v>133</v>
      </c>
      <c r="AB57" s="3" t="s">
        <v>133</v>
      </c>
      <c r="AC57" s="3" t="s">
        <v>133</v>
      </c>
      <c r="AD57" s="3" t="s">
        <v>133</v>
      </c>
      <c r="AE57" s="3" t="s">
        <v>133</v>
      </c>
      <c r="AF57" s="3" t="s">
        <v>133</v>
      </c>
      <c r="AG57" s="3" t="s">
        <v>133</v>
      </c>
      <c r="AH57" s="3" t="s">
        <v>133</v>
      </c>
      <c r="AI57" s="3" t="s">
        <v>133</v>
      </c>
      <c r="AJ57" s="3" t="s">
        <v>133</v>
      </c>
      <c r="AK57" s="3" t="s">
        <v>133</v>
      </c>
      <c r="AL57" s="3" t="s">
        <v>133</v>
      </c>
      <c r="AM57" s="3" t="s">
        <v>133</v>
      </c>
      <c r="AN57" s="3" t="s">
        <v>133</v>
      </c>
      <c r="AO57" s="3" t="s">
        <v>133</v>
      </c>
      <c r="AP57" s="3" t="s">
        <v>133</v>
      </c>
      <c r="AQ57" s="3" t="s">
        <v>133</v>
      </c>
      <c r="AR57" s="3" t="s">
        <v>133</v>
      </c>
      <c r="AS57" s="3" t="s">
        <v>133</v>
      </c>
      <c r="AT57" s="3" t="s">
        <v>133</v>
      </c>
      <c r="AU57" s="3" t="s">
        <v>133</v>
      </c>
      <c r="AV57" s="3" t="s">
        <v>133</v>
      </c>
      <c r="AW57" s="3" t="s">
        <v>133</v>
      </c>
      <c r="AX57" s="3" t="s">
        <v>133</v>
      </c>
      <c r="AY57" s="3" t="s">
        <v>133</v>
      </c>
      <c r="AZ57" s="3" t="s">
        <v>133</v>
      </c>
      <c r="BA57" s="3" t="s">
        <v>133</v>
      </c>
      <c r="BB57" s="3" t="s">
        <v>133</v>
      </c>
      <c r="BC57" s="3" t="s">
        <v>133</v>
      </c>
      <c r="BD57" s="3" t="s">
        <v>133</v>
      </c>
      <c r="BE57" s="3" t="s">
        <v>133</v>
      </c>
      <c r="BF57" s="3" t="s">
        <v>133</v>
      </c>
      <c r="BG57" s="3" t="s">
        <v>133</v>
      </c>
      <c r="BH57" s="3" t="s">
        <v>133</v>
      </c>
      <c r="BI57" s="3">
        <v>558755500</v>
      </c>
      <c r="BJ57" s="3">
        <v>300361500</v>
      </c>
      <c r="BK57" s="3">
        <v>103392400</v>
      </c>
      <c r="BL57" s="3">
        <v>-222974200</v>
      </c>
      <c r="BM57" s="3">
        <v>502884600</v>
      </c>
      <c r="BN57" s="3">
        <v>435297600</v>
      </c>
      <c r="BO57" s="3">
        <v>117131600</v>
      </c>
      <c r="BP57" s="3">
        <v>-443826400</v>
      </c>
      <c r="BQ57" s="3">
        <v>340808600</v>
      </c>
      <c r="BR57" s="3">
        <v>478068000</v>
      </c>
      <c r="BS57" s="3">
        <v>-24083200</v>
      </c>
      <c r="BT57" s="3">
        <v>-308344700</v>
      </c>
    </row>
    <row r="58" spans="1:72" x14ac:dyDescent="0.25">
      <c r="A58" s="3" t="s">
        <v>212</v>
      </c>
      <c r="B58" s="3" t="s">
        <v>133</v>
      </c>
      <c r="C58" s="3" t="s">
        <v>133</v>
      </c>
      <c r="D58" s="3" t="s">
        <v>133</v>
      </c>
      <c r="E58" s="3" t="s">
        <v>133</v>
      </c>
      <c r="F58" s="3" t="s">
        <v>133</v>
      </c>
      <c r="G58" s="3" t="s">
        <v>133</v>
      </c>
      <c r="H58" s="3" t="s">
        <v>133</v>
      </c>
      <c r="I58" s="3" t="s">
        <v>133</v>
      </c>
      <c r="J58" s="3" t="s">
        <v>133</v>
      </c>
      <c r="K58" s="3" t="s">
        <v>133</v>
      </c>
      <c r="L58" s="3" t="s">
        <v>133</v>
      </c>
      <c r="M58" s="3" t="s">
        <v>133</v>
      </c>
      <c r="N58" s="3" t="s">
        <v>133</v>
      </c>
      <c r="O58" s="3" t="s">
        <v>133</v>
      </c>
      <c r="P58" s="3" t="s">
        <v>133</v>
      </c>
      <c r="Q58" s="3" t="s">
        <v>133</v>
      </c>
      <c r="R58" s="3" t="s">
        <v>133</v>
      </c>
      <c r="S58" s="3" t="s">
        <v>133</v>
      </c>
      <c r="T58" s="3" t="s">
        <v>133</v>
      </c>
      <c r="U58" s="3" t="s">
        <v>133</v>
      </c>
      <c r="V58" s="3" t="s">
        <v>133</v>
      </c>
      <c r="W58" s="3" t="s">
        <v>133</v>
      </c>
      <c r="X58" s="3" t="s">
        <v>133</v>
      </c>
      <c r="Y58" s="3" t="s">
        <v>133</v>
      </c>
      <c r="Z58" s="3" t="s">
        <v>133</v>
      </c>
      <c r="AA58" s="3" t="s">
        <v>133</v>
      </c>
      <c r="AB58" s="3" t="s">
        <v>133</v>
      </c>
      <c r="AC58" s="3" t="s">
        <v>133</v>
      </c>
      <c r="AD58" s="3" t="s">
        <v>133</v>
      </c>
      <c r="AE58" s="3" t="s">
        <v>133</v>
      </c>
      <c r="AF58" s="3" t="s">
        <v>133</v>
      </c>
      <c r="AG58" s="3" t="s">
        <v>133</v>
      </c>
      <c r="AH58" s="3" t="s">
        <v>133</v>
      </c>
      <c r="AI58" s="3" t="s">
        <v>133</v>
      </c>
      <c r="AJ58" s="3" t="s">
        <v>133</v>
      </c>
      <c r="AK58" s="3" t="s">
        <v>133</v>
      </c>
      <c r="AL58" s="3" t="s">
        <v>133</v>
      </c>
      <c r="AM58" s="3" t="s">
        <v>133</v>
      </c>
      <c r="AN58" s="3" t="s">
        <v>133</v>
      </c>
      <c r="AO58" s="3" t="s">
        <v>133</v>
      </c>
      <c r="AP58" s="3" t="s">
        <v>133</v>
      </c>
      <c r="AQ58" s="3" t="s">
        <v>133</v>
      </c>
      <c r="AR58" s="3" t="s">
        <v>133</v>
      </c>
      <c r="AS58" s="3" t="s">
        <v>133</v>
      </c>
      <c r="AT58" s="3" t="s">
        <v>133</v>
      </c>
      <c r="AU58" s="3" t="s">
        <v>133</v>
      </c>
      <c r="AV58" s="3" t="s">
        <v>133</v>
      </c>
      <c r="AW58" s="3" t="s">
        <v>133</v>
      </c>
      <c r="AX58" s="3" t="s">
        <v>133</v>
      </c>
      <c r="AY58" s="3" t="s">
        <v>133</v>
      </c>
      <c r="AZ58" s="3" t="s">
        <v>133</v>
      </c>
      <c r="BA58" s="3" t="s">
        <v>133</v>
      </c>
      <c r="BB58" s="3" t="s">
        <v>133</v>
      </c>
      <c r="BC58" s="3" t="s">
        <v>133</v>
      </c>
      <c r="BD58" s="3" t="s">
        <v>133</v>
      </c>
      <c r="BE58" s="3" t="s">
        <v>133</v>
      </c>
      <c r="BF58" s="3" t="s">
        <v>133</v>
      </c>
      <c r="BG58" s="3" t="s">
        <v>133</v>
      </c>
      <c r="BH58" s="3" t="s">
        <v>133</v>
      </c>
      <c r="BI58" s="3" t="s">
        <v>133</v>
      </c>
      <c r="BJ58" s="3" t="s">
        <v>133</v>
      </c>
      <c r="BK58" s="3" t="s">
        <v>133</v>
      </c>
      <c r="BL58" s="3" t="s">
        <v>133</v>
      </c>
      <c r="BM58" s="3" t="s">
        <v>133</v>
      </c>
      <c r="BN58" s="3" t="s">
        <v>133</v>
      </c>
      <c r="BO58" s="3" t="s">
        <v>133</v>
      </c>
      <c r="BP58" s="3" t="s">
        <v>133</v>
      </c>
      <c r="BQ58" s="3" t="s">
        <v>133</v>
      </c>
      <c r="BR58" s="3">
        <v>5346700</v>
      </c>
      <c r="BS58" s="3">
        <v>2450600</v>
      </c>
      <c r="BT58" s="3">
        <v>7514700</v>
      </c>
    </row>
    <row r="59" spans="1:72" x14ac:dyDescent="0.25">
      <c r="A59" s="3" t="s">
        <v>213</v>
      </c>
      <c r="B59" s="3" t="s">
        <v>133</v>
      </c>
      <c r="C59" s="3" t="s">
        <v>133</v>
      </c>
      <c r="D59" s="3" t="s">
        <v>133</v>
      </c>
      <c r="E59" s="3" t="s">
        <v>133</v>
      </c>
      <c r="F59" s="3" t="s">
        <v>133</v>
      </c>
      <c r="G59" s="3" t="s">
        <v>133</v>
      </c>
      <c r="H59" s="3" t="s">
        <v>133</v>
      </c>
      <c r="I59" s="3" t="s">
        <v>133</v>
      </c>
      <c r="J59" s="3" t="s">
        <v>133</v>
      </c>
      <c r="K59" s="3" t="s">
        <v>133</v>
      </c>
      <c r="L59" s="3" t="s">
        <v>133</v>
      </c>
      <c r="M59" s="3" t="s">
        <v>133</v>
      </c>
      <c r="N59" s="3" t="s">
        <v>133</v>
      </c>
      <c r="O59" s="3" t="s">
        <v>133</v>
      </c>
      <c r="P59" s="3" t="s">
        <v>133</v>
      </c>
      <c r="Q59" s="3" t="s">
        <v>133</v>
      </c>
      <c r="R59" s="3" t="s">
        <v>133</v>
      </c>
      <c r="S59" s="3" t="s">
        <v>133</v>
      </c>
      <c r="T59" s="3" t="s">
        <v>133</v>
      </c>
      <c r="U59" s="3" t="s">
        <v>133</v>
      </c>
      <c r="V59" s="3" t="s">
        <v>133</v>
      </c>
      <c r="W59" s="3" t="s">
        <v>133</v>
      </c>
      <c r="X59" s="3" t="s">
        <v>133</v>
      </c>
      <c r="Y59" s="3" t="s">
        <v>133</v>
      </c>
      <c r="Z59" s="3" t="s">
        <v>133</v>
      </c>
      <c r="AA59" s="3" t="s">
        <v>133</v>
      </c>
      <c r="AB59" s="3" t="s">
        <v>133</v>
      </c>
      <c r="AC59" s="3" t="s">
        <v>133</v>
      </c>
      <c r="AD59" s="3" t="s">
        <v>133</v>
      </c>
      <c r="AE59" s="3" t="s">
        <v>133</v>
      </c>
      <c r="AF59" s="3" t="s">
        <v>133</v>
      </c>
      <c r="AG59" s="3" t="s">
        <v>133</v>
      </c>
      <c r="AH59" s="3" t="s">
        <v>133</v>
      </c>
      <c r="AI59" s="3" t="s">
        <v>133</v>
      </c>
      <c r="AJ59" s="3" t="s">
        <v>133</v>
      </c>
      <c r="AK59" s="3" t="s">
        <v>133</v>
      </c>
      <c r="AL59" s="3" t="s">
        <v>133</v>
      </c>
      <c r="AM59" s="3" t="s">
        <v>133</v>
      </c>
      <c r="AN59" s="3" t="s">
        <v>133</v>
      </c>
      <c r="AO59" s="3" t="s">
        <v>133</v>
      </c>
      <c r="AP59" s="3" t="s">
        <v>133</v>
      </c>
      <c r="AQ59" s="3" t="s">
        <v>133</v>
      </c>
      <c r="AR59" s="3" t="s">
        <v>133</v>
      </c>
      <c r="AS59" s="3" t="s">
        <v>133</v>
      </c>
      <c r="AT59" s="3" t="s">
        <v>133</v>
      </c>
      <c r="AU59" s="3" t="s">
        <v>133</v>
      </c>
      <c r="AV59" s="3" t="s">
        <v>133</v>
      </c>
      <c r="AW59" s="3" t="s">
        <v>133</v>
      </c>
      <c r="AX59" s="3" t="s">
        <v>133</v>
      </c>
      <c r="AY59" s="3" t="s">
        <v>133</v>
      </c>
      <c r="AZ59" s="3" t="s">
        <v>133</v>
      </c>
      <c r="BA59" s="3" t="s">
        <v>133</v>
      </c>
      <c r="BB59" s="3" t="s">
        <v>133</v>
      </c>
      <c r="BC59" s="3" t="s">
        <v>133</v>
      </c>
      <c r="BD59" s="3" t="s">
        <v>133</v>
      </c>
      <c r="BE59" s="3" t="s">
        <v>133</v>
      </c>
      <c r="BF59" s="3" t="s">
        <v>133</v>
      </c>
      <c r="BG59" s="3" t="s">
        <v>133</v>
      </c>
      <c r="BH59" s="3" t="s">
        <v>133</v>
      </c>
      <c r="BI59" s="3">
        <v>809987400</v>
      </c>
      <c r="BJ59" s="3">
        <v>447115600</v>
      </c>
      <c r="BK59" s="3">
        <v>194323500</v>
      </c>
      <c r="BL59" s="3">
        <v>242281100</v>
      </c>
      <c r="BM59" s="3">
        <v>603109300</v>
      </c>
      <c r="BN59" s="3">
        <v>410659700</v>
      </c>
      <c r="BO59" s="3">
        <v>143398800</v>
      </c>
      <c r="BP59" s="3">
        <v>-181383400</v>
      </c>
      <c r="BQ59" s="3">
        <v>502327600</v>
      </c>
      <c r="BR59" s="3">
        <v>473344600</v>
      </c>
      <c r="BS59" s="3">
        <v>-43078100</v>
      </c>
      <c r="BT59" s="3">
        <v>9112200</v>
      </c>
    </row>
    <row r="60" spans="1:72" x14ac:dyDescent="0.25">
      <c r="A60" s="3" t="s">
        <v>214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</row>
    <row r="61" spans="1:72" x14ac:dyDescent="0.25">
      <c r="A61" s="3" t="s">
        <v>215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</row>
    <row r="62" spans="1:72" x14ac:dyDescent="0.25">
      <c r="A62" s="3" t="s">
        <v>216</v>
      </c>
      <c r="B62" s="3" t="s">
        <v>133</v>
      </c>
      <c r="C62" s="3" t="s">
        <v>133</v>
      </c>
      <c r="D62" s="3" t="s">
        <v>133</v>
      </c>
      <c r="E62" s="3" t="s">
        <v>133</v>
      </c>
      <c r="F62" s="3" t="s">
        <v>133</v>
      </c>
      <c r="G62" s="3" t="s">
        <v>133</v>
      </c>
      <c r="H62" s="3" t="s">
        <v>133</v>
      </c>
      <c r="I62" s="3" t="s">
        <v>133</v>
      </c>
      <c r="J62" s="3" t="s">
        <v>133</v>
      </c>
      <c r="K62" s="3" t="s">
        <v>133</v>
      </c>
      <c r="L62" s="3" t="s">
        <v>133</v>
      </c>
      <c r="M62" s="3" t="s">
        <v>133</v>
      </c>
      <c r="N62" s="3" t="s">
        <v>133</v>
      </c>
      <c r="O62" s="3" t="s">
        <v>133</v>
      </c>
      <c r="P62" s="3" t="s">
        <v>133</v>
      </c>
      <c r="Q62" s="3" t="s">
        <v>133</v>
      </c>
      <c r="R62" s="3" t="s">
        <v>133</v>
      </c>
      <c r="S62" s="3" t="s">
        <v>133</v>
      </c>
      <c r="T62" s="3" t="s">
        <v>133</v>
      </c>
      <c r="U62" s="3" t="s">
        <v>133</v>
      </c>
      <c r="V62" s="3" t="s">
        <v>133</v>
      </c>
      <c r="W62" s="3" t="s">
        <v>133</v>
      </c>
      <c r="X62" s="3" t="s">
        <v>133</v>
      </c>
      <c r="Y62" s="3" t="s">
        <v>133</v>
      </c>
      <c r="Z62" s="3" t="s">
        <v>133</v>
      </c>
      <c r="AA62" s="3" t="s">
        <v>133</v>
      </c>
      <c r="AB62" s="3" t="s">
        <v>133</v>
      </c>
      <c r="AC62" s="3" t="s">
        <v>133</v>
      </c>
      <c r="AD62" s="3" t="s">
        <v>133</v>
      </c>
      <c r="AE62" s="3" t="s">
        <v>133</v>
      </c>
      <c r="AF62" s="3" t="s">
        <v>133</v>
      </c>
      <c r="AG62" s="3" t="s">
        <v>133</v>
      </c>
      <c r="AH62" s="3" t="s">
        <v>133</v>
      </c>
      <c r="AI62" s="3" t="s">
        <v>133</v>
      </c>
      <c r="AJ62" s="3" t="s">
        <v>133</v>
      </c>
      <c r="AK62" s="3" t="s">
        <v>133</v>
      </c>
      <c r="AL62" s="3" t="s">
        <v>133</v>
      </c>
      <c r="AM62" s="3" t="s">
        <v>133</v>
      </c>
      <c r="AN62" s="3" t="s">
        <v>133</v>
      </c>
      <c r="AO62" s="3" t="s">
        <v>133</v>
      </c>
      <c r="AP62" s="3" t="s">
        <v>133</v>
      </c>
      <c r="AQ62" s="3" t="s">
        <v>133</v>
      </c>
      <c r="AR62" s="3" t="s">
        <v>133</v>
      </c>
      <c r="AS62" s="3" t="s">
        <v>133</v>
      </c>
      <c r="AT62" s="3" t="s">
        <v>133</v>
      </c>
      <c r="AU62" s="3" t="s">
        <v>133</v>
      </c>
      <c r="AV62" s="3" t="s">
        <v>133</v>
      </c>
      <c r="AW62" s="3" t="s">
        <v>133</v>
      </c>
      <c r="AX62" s="3" t="s">
        <v>133</v>
      </c>
      <c r="AY62" s="3" t="s">
        <v>133</v>
      </c>
      <c r="AZ62" s="3" t="s">
        <v>133</v>
      </c>
      <c r="BA62" s="3" t="s">
        <v>133</v>
      </c>
      <c r="BB62" s="3" t="s">
        <v>133</v>
      </c>
      <c r="BC62" s="3" t="s">
        <v>133</v>
      </c>
      <c r="BD62" s="3" t="s">
        <v>133</v>
      </c>
      <c r="BE62" s="3" t="s">
        <v>133</v>
      </c>
      <c r="BF62" s="3" t="s">
        <v>133</v>
      </c>
      <c r="BG62" s="3" t="s">
        <v>133</v>
      </c>
      <c r="BH62" s="3" t="s">
        <v>133</v>
      </c>
      <c r="BI62" s="3">
        <v>674982200</v>
      </c>
      <c r="BJ62" s="3">
        <v>151792500</v>
      </c>
      <c r="BK62" s="3">
        <v>40289400</v>
      </c>
      <c r="BL62" s="3">
        <v>3024925300</v>
      </c>
      <c r="BM62" s="3">
        <v>479038500</v>
      </c>
      <c r="BN62" s="3">
        <v>246498800</v>
      </c>
      <c r="BO62" s="3">
        <v>81459600</v>
      </c>
      <c r="BP62" s="3">
        <v>2091330600</v>
      </c>
      <c r="BQ62" s="3">
        <v>471252400</v>
      </c>
      <c r="BR62" s="3">
        <v>332543600</v>
      </c>
      <c r="BS62" s="3">
        <v>-148708400</v>
      </c>
      <c r="BT62" s="3">
        <v>1684957700</v>
      </c>
    </row>
    <row r="63" spans="1:72" x14ac:dyDescent="0.25">
      <c r="A63" s="3" t="s">
        <v>217</v>
      </c>
      <c r="B63" s="3" t="s">
        <v>133</v>
      </c>
      <c r="C63" s="3" t="s">
        <v>133</v>
      </c>
      <c r="D63" s="3" t="s">
        <v>133</v>
      </c>
      <c r="E63" s="3" t="s">
        <v>133</v>
      </c>
      <c r="F63" s="3" t="s">
        <v>133</v>
      </c>
      <c r="G63" s="3" t="s">
        <v>133</v>
      </c>
      <c r="H63" s="3" t="s">
        <v>133</v>
      </c>
      <c r="I63" s="3" t="s">
        <v>133</v>
      </c>
      <c r="J63" s="3" t="s">
        <v>133</v>
      </c>
      <c r="K63" s="3" t="s">
        <v>133</v>
      </c>
      <c r="L63" s="3" t="s">
        <v>133</v>
      </c>
      <c r="M63" s="3" t="s">
        <v>133</v>
      </c>
      <c r="N63" s="3" t="s">
        <v>133</v>
      </c>
      <c r="O63" s="3" t="s">
        <v>133</v>
      </c>
      <c r="P63" s="3" t="s">
        <v>133</v>
      </c>
      <c r="Q63" s="3" t="s">
        <v>133</v>
      </c>
      <c r="R63" s="3" t="s">
        <v>133</v>
      </c>
      <c r="S63" s="3" t="s">
        <v>133</v>
      </c>
      <c r="T63" s="3" t="s">
        <v>133</v>
      </c>
      <c r="U63" s="3" t="s">
        <v>133</v>
      </c>
      <c r="V63" s="3" t="s">
        <v>133</v>
      </c>
      <c r="W63" s="3" t="s">
        <v>133</v>
      </c>
      <c r="X63" s="3" t="s">
        <v>133</v>
      </c>
      <c r="Y63" s="3" t="s">
        <v>133</v>
      </c>
      <c r="Z63" s="3" t="s">
        <v>133</v>
      </c>
      <c r="AA63" s="3" t="s">
        <v>133</v>
      </c>
      <c r="AB63" s="3" t="s">
        <v>133</v>
      </c>
      <c r="AC63" s="3" t="s">
        <v>133</v>
      </c>
      <c r="AD63" s="3" t="s">
        <v>133</v>
      </c>
      <c r="AE63" s="3" t="s">
        <v>133</v>
      </c>
      <c r="AF63" s="3" t="s">
        <v>133</v>
      </c>
      <c r="AG63" s="3" t="s">
        <v>133</v>
      </c>
      <c r="AH63" s="3" t="s">
        <v>133</v>
      </c>
      <c r="AI63" s="3" t="s">
        <v>133</v>
      </c>
      <c r="AJ63" s="3" t="s">
        <v>133</v>
      </c>
      <c r="AK63" s="3" t="s">
        <v>133</v>
      </c>
      <c r="AL63" s="3" t="s">
        <v>133</v>
      </c>
      <c r="AM63" s="3" t="s">
        <v>133</v>
      </c>
      <c r="AN63" s="3" t="s">
        <v>133</v>
      </c>
      <c r="AO63" s="3" t="s">
        <v>133</v>
      </c>
      <c r="AP63" s="3" t="s">
        <v>133</v>
      </c>
      <c r="AQ63" s="3" t="s">
        <v>133</v>
      </c>
      <c r="AR63" s="3" t="s">
        <v>133</v>
      </c>
      <c r="AS63" s="3" t="s">
        <v>133</v>
      </c>
      <c r="AT63" s="3" t="s">
        <v>133</v>
      </c>
      <c r="AU63" s="3" t="s">
        <v>133</v>
      </c>
      <c r="AV63" s="3" t="s">
        <v>133</v>
      </c>
      <c r="AW63" s="3" t="s">
        <v>133</v>
      </c>
      <c r="AX63" s="3" t="s">
        <v>133</v>
      </c>
      <c r="AY63" s="3" t="s">
        <v>133</v>
      </c>
      <c r="AZ63" s="3" t="s">
        <v>133</v>
      </c>
      <c r="BA63" s="3" t="s">
        <v>133</v>
      </c>
      <c r="BB63" s="3" t="s">
        <v>133</v>
      </c>
      <c r="BC63" s="3" t="s">
        <v>133</v>
      </c>
      <c r="BD63" s="3" t="s">
        <v>133</v>
      </c>
      <c r="BE63" s="3" t="s">
        <v>133</v>
      </c>
      <c r="BF63" s="3" t="s">
        <v>133</v>
      </c>
      <c r="BG63" s="3" t="s">
        <v>133</v>
      </c>
      <c r="BH63" s="3" t="s">
        <v>133</v>
      </c>
      <c r="BI63" s="3" t="s">
        <v>133</v>
      </c>
      <c r="BJ63" s="3" t="s">
        <v>133</v>
      </c>
      <c r="BK63" s="3" t="s">
        <v>133</v>
      </c>
      <c r="BL63" s="3">
        <v>2898327400</v>
      </c>
      <c r="BM63" s="3" t="s">
        <v>133</v>
      </c>
      <c r="BN63" s="3" t="s">
        <v>133</v>
      </c>
      <c r="BO63" s="3">
        <v>-211400</v>
      </c>
      <c r="BP63" s="3">
        <v>2340258800</v>
      </c>
      <c r="BQ63" s="3" t="s">
        <v>133</v>
      </c>
      <c r="BR63" s="3" t="s">
        <v>133</v>
      </c>
      <c r="BS63" s="3" t="s">
        <v>133</v>
      </c>
      <c r="BT63" s="3">
        <v>1780307700</v>
      </c>
    </row>
    <row r="64" spans="1:72" x14ac:dyDescent="0.25">
      <c r="A64" s="3" t="s">
        <v>218</v>
      </c>
      <c r="B64" s="3" t="s">
        <v>133</v>
      </c>
      <c r="C64" s="3" t="s">
        <v>133</v>
      </c>
      <c r="D64" s="3" t="s">
        <v>133</v>
      </c>
      <c r="E64" s="3" t="s">
        <v>133</v>
      </c>
      <c r="F64" s="3" t="s">
        <v>133</v>
      </c>
      <c r="G64" s="3" t="s">
        <v>133</v>
      </c>
      <c r="H64" s="3" t="s">
        <v>133</v>
      </c>
      <c r="I64" s="3" t="s">
        <v>133</v>
      </c>
      <c r="J64" s="3" t="s">
        <v>133</v>
      </c>
      <c r="K64" s="3" t="s">
        <v>133</v>
      </c>
      <c r="L64" s="3" t="s">
        <v>133</v>
      </c>
      <c r="M64" s="3" t="s">
        <v>133</v>
      </c>
      <c r="N64" s="3" t="s">
        <v>133</v>
      </c>
      <c r="O64" s="3" t="s">
        <v>133</v>
      </c>
      <c r="P64" s="3" t="s">
        <v>133</v>
      </c>
      <c r="Q64" s="3" t="s">
        <v>133</v>
      </c>
      <c r="R64" s="3" t="s">
        <v>133</v>
      </c>
      <c r="S64" s="3" t="s">
        <v>133</v>
      </c>
      <c r="T64" s="3" t="s">
        <v>133</v>
      </c>
      <c r="U64" s="3" t="s">
        <v>133</v>
      </c>
      <c r="V64" s="3" t="s">
        <v>133</v>
      </c>
      <c r="W64" s="3" t="s">
        <v>133</v>
      </c>
      <c r="X64" s="3" t="s">
        <v>133</v>
      </c>
      <c r="Y64" s="3" t="s">
        <v>133</v>
      </c>
      <c r="Z64" s="3" t="s">
        <v>133</v>
      </c>
      <c r="AA64" s="3" t="s">
        <v>133</v>
      </c>
      <c r="AB64" s="3" t="s">
        <v>133</v>
      </c>
      <c r="AC64" s="3" t="s">
        <v>133</v>
      </c>
      <c r="AD64" s="3" t="s">
        <v>133</v>
      </c>
      <c r="AE64" s="3" t="s">
        <v>133</v>
      </c>
      <c r="AF64" s="3" t="s">
        <v>133</v>
      </c>
      <c r="AG64" s="3" t="s">
        <v>133</v>
      </c>
      <c r="AH64" s="3" t="s">
        <v>133</v>
      </c>
      <c r="AI64" s="3" t="s">
        <v>133</v>
      </c>
      <c r="AJ64" s="3" t="s">
        <v>133</v>
      </c>
      <c r="AK64" s="3" t="s">
        <v>133</v>
      </c>
      <c r="AL64" s="3" t="s">
        <v>133</v>
      </c>
      <c r="AM64" s="3" t="s">
        <v>133</v>
      </c>
      <c r="AN64" s="3" t="s">
        <v>133</v>
      </c>
      <c r="AO64" s="3" t="s">
        <v>133</v>
      </c>
      <c r="AP64" s="3" t="s">
        <v>133</v>
      </c>
      <c r="AQ64" s="3" t="s">
        <v>133</v>
      </c>
      <c r="AR64" s="3" t="s">
        <v>133</v>
      </c>
      <c r="AS64" s="3" t="s">
        <v>133</v>
      </c>
      <c r="AT64" s="3" t="s">
        <v>133</v>
      </c>
      <c r="AU64" s="3" t="s">
        <v>133</v>
      </c>
      <c r="AV64" s="3" t="s">
        <v>133</v>
      </c>
      <c r="AW64" s="3" t="s">
        <v>133</v>
      </c>
      <c r="AX64" s="3" t="s">
        <v>133</v>
      </c>
      <c r="AY64" s="3" t="s">
        <v>133</v>
      </c>
      <c r="AZ64" s="3" t="s">
        <v>133</v>
      </c>
      <c r="BA64" s="3" t="s">
        <v>133</v>
      </c>
      <c r="BB64" s="3" t="s">
        <v>133</v>
      </c>
      <c r="BC64" s="3" t="s">
        <v>133</v>
      </c>
      <c r="BD64" s="3" t="s">
        <v>133</v>
      </c>
      <c r="BE64" s="3" t="s">
        <v>133</v>
      </c>
      <c r="BF64" s="3" t="s">
        <v>133</v>
      </c>
      <c r="BG64" s="3" t="s">
        <v>133</v>
      </c>
      <c r="BH64" s="3" t="s">
        <v>133</v>
      </c>
      <c r="BI64" s="3">
        <v>674982200</v>
      </c>
      <c r="BJ64" s="3">
        <v>151792500</v>
      </c>
      <c r="BK64" s="3">
        <v>40289400</v>
      </c>
      <c r="BL64" s="3">
        <v>126597900</v>
      </c>
      <c r="BM64" s="3">
        <v>479038500</v>
      </c>
      <c r="BN64" s="3">
        <v>246498800</v>
      </c>
      <c r="BO64" s="3">
        <v>81671000</v>
      </c>
      <c r="BP64" s="3">
        <v>-248928200</v>
      </c>
      <c r="BQ64" s="3">
        <v>471254400</v>
      </c>
      <c r="BR64" s="3">
        <v>332543600</v>
      </c>
      <c r="BS64" s="3">
        <v>-148708400</v>
      </c>
      <c r="BT64" s="3">
        <v>-95350000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C1AD-C434-4B98-B5A2-ABBE95D9B90D}">
  <sheetPr codeName="Sheet5"/>
  <dimension ref="A2:BY39"/>
  <sheetViews>
    <sheetView workbookViewId="0">
      <selection activeCell="BY39" sqref="BY39"/>
    </sheetView>
  </sheetViews>
  <sheetFormatPr defaultRowHeight="15" x14ac:dyDescent="0.25"/>
  <cols>
    <col min="1" max="1" width="25" style="2" customWidth="1"/>
    <col min="2" max="77" width="10" style="2" customWidth="1"/>
    <col min="78" max="256" width="9.140625" style="2"/>
    <col min="257" max="257" width="25" style="2" customWidth="1"/>
    <col min="258" max="333" width="10" style="2" customWidth="1"/>
    <col min="334" max="512" width="9.140625" style="2"/>
    <col min="513" max="513" width="25" style="2" customWidth="1"/>
    <col min="514" max="589" width="10" style="2" customWidth="1"/>
    <col min="590" max="768" width="9.140625" style="2"/>
    <col min="769" max="769" width="25" style="2" customWidth="1"/>
    <col min="770" max="845" width="10" style="2" customWidth="1"/>
    <col min="846" max="1024" width="9.140625" style="2"/>
    <col min="1025" max="1025" width="25" style="2" customWidth="1"/>
    <col min="1026" max="1101" width="10" style="2" customWidth="1"/>
    <col min="1102" max="1280" width="9.140625" style="2"/>
    <col min="1281" max="1281" width="25" style="2" customWidth="1"/>
    <col min="1282" max="1357" width="10" style="2" customWidth="1"/>
    <col min="1358" max="1536" width="9.140625" style="2"/>
    <col min="1537" max="1537" width="25" style="2" customWidth="1"/>
    <col min="1538" max="1613" width="10" style="2" customWidth="1"/>
    <col min="1614" max="1792" width="9.140625" style="2"/>
    <col min="1793" max="1793" width="25" style="2" customWidth="1"/>
    <col min="1794" max="1869" width="10" style="2" customWidth="1"/>
    <col min="1870" max="2048" width="9.140625" style="2"/>
    <col min="2049" max="2049" width="25" style="2" customWidth="1"/>
    <col min="2050" max="2125" width="10" style="2" customWidth="1"/>
    <col min="2126" max="2304" width="9.140625" style="2"/>
    <col min="2305" max="2305" width="25" style="2" customWidth="1"/>
    <col min="2306" max="2381" width="10" style="2" customWidth="1"/>
    <col min="2382" max="2560" width="9.140625" style="2"/>
    <col min="2561" max="2561" width="25" style="2" customWidth="1"/>
    <col min="2562" max="2637" width="10" style="2" customWidth="1"/>
    <col min="2638" max="2816" width="9.140625" style="2"/>
    <col min="2817" max="2817" width="25" style="2" customWidth="1"/>
    <col min="2818" max="2893" width="10" style="2" customWidth="1"/>
    <col min="2894" max="3072" width="9.140625" style="2"/>
    <col min="3073" max="3073" width="25" style="2" customWidth="1"/>
    <col min="3074" max="3149" width="10" style="2" customWidth="1"/>
    <col min="3150" max="3328" width="9.140625" style="2"/>
    <col min="3329" max="3329" width="25" style="2" customWidth="1"/>
    <col min="3330" max="3405" width="10" style="2" customWidth="1"/>
    <col min="3406" max="3584" width="9.140625" style="2"/>
    <col min="3585" max="3585" width="25" style="2" customWidth="1"/>
    <col min="3586" max="3661" width="10" style="2" customWidth="1"/>
    <col min="3662" max="3840" width="9.140625" style="2"/>
    <col min="3841" max="3841" width="25" style="2" customWidth="1"/>
    <col min="3842" max="3917" width="10" style="2" customWidth="1"/>
    <col min="3918" max="4096" width="9.140625" style="2"/>
    <col min="4097" max="4097" width="25" style="2" customWidth="1"/>
    <col min="4098" max="4173" width="10" style="2" customWidth="1"/>
    <col min="4174" max="4352" width="9.140625" style="2"/>
    <col min="4353" max="4353" width="25" style="2" customWidth="1"/>
    <col min="4354" max="4429" width="10" style="2" customWidth="1"/>
    <col min="4430" max="4608" width="9.140625" style="2"/>
    <col min="4609" max="4609" width="25" style="2" customWidth="1"/>
    <col min="4610" max="4685" width="10" style="2" customWidth="1"/>
    <col min="4686" max="4864" width="9.140625" style="2"/>
    <col min="4865" max="4865" width="25" style="2" customWidth="1"/>
    <col min="4866" max="4941" width="10" style="2" customWidth="1"/>
    <col min="4942" max="5120" width="9.140625" style="2"/>
    <col min="5121" max="5121" width="25" style="2" customWidth="1"/>
    <col min="5122" max="5197" width="10" style="2" customWidth="1"/>
    <col min="5198" max="5376" width="9.140625" style="2"/>
    <col min="5377" max="5377" width="25" style="2" customWidth="1"/>
    <col min="5378" max="5453" width="10" style="2" customWidth="1"/>
    <col min="5454" max="5632" width="9.140625" style="2"/>
    <col min="5633" max="5633" width="25" style="2" customWidth="1"/>
    <col min="5634" max="5709" width="10" style="2" customWidth="1"/>
    <col min="5710" max="5888" width="9.140625" style="2"/>
    <col min="5889" max="5889" width="25" style="2" customWidth="1"/>
    <col min="5890" max="5965" width="10" style="2" customWidth="1"/>
    <col min="5966" max="6144" width="9.140625" style="2"/>
    <col min="6145" max="6145" width="25" style="2" customWidth="1"/>
    <col min="6146" max="6221" width="10" style="2" customWidth="1"/>
    <col min="6222" max="6400" width="9.140625" style="2"/>
    <col min="6401" max="6401" width="25" style="2" customWidth="1"/>
    <col min="6402" max="6477" width="10" style="2" customWidth="1"/>
    <col min="6478" max="6656" width="9.140625" style="2"/>
    <col min="6657" max="6657" width="25" style="2" customWidth="1"/>
    <col min="6658" max="6733" width="10" style="2" customWidth="1"/>
    <col min="6734" max="6912" width="9.140625" style="2"/>
    <col min="6913" max="6913" width="25" style="2" customWidth="1"/>
    <col min="6914" max="6989" width="10" style="2" customWidth="1"/>
    <col min="6990" max="7168" width="9.140625" style="2"/>
    <col min="7169" max="7169" width="25" style="2" customWidth="1"/>
    <col min="7170" max="7245" width="10" style="2" customWidth="1"/>
    <col min="7246" max="7424" width="9.140625" style="2"/>
    <col min="7425" max="7425" width="25" style="2" customWidth="1"/>
    <col min="7426" max="7501" width="10" style="2" customWidth="1"/>
    <col min="7502" max="7680" width="9.140625" style="2"/>
    <col min="7681" max="7681" width="25" style="2" customWidth="1"/>
    <col min="7682" max="7757" width="10" style="2" customWidth="1"/>
    <col min="7758" max="7936" width="9.140625" style="2"/>
    <col min="7937" max="7937" width="25" style="2" customWidth="1"/>
    <col min="7938" max="8013" width="10" style="2" customWidth="1"/>
    <col min="8014" max="8192" width="9.140625" style="2"/>
    <col min="8193" max="8193" width="25" style="2" customWidth="1"/>
    <col min="8194" max="8269" width="10" style="2" customWidth="1"/>
    <col min="8270" max="8448" width="9.140625" style="2"/>
    <col min="8449" max="8449" width="25" style="2" customWidth="1"/>
    <col min="8450" max="8525" width="10" style="2" customWidth="1"/>
    <col min="8526" max="8704" width="9.140625" style="2"/>
    <col min="8705" max="8705" width="25" style="2" customWidth="1"/>
    <col min="8706" max="8781" width="10" style="2" customWidth="1"/>
    <col min="8782" max="8960" width="9.140625" style="2"/>
    <col min="8961" max="8961" width="25" style="2" customWidth="1"/>
    <col min="8962" max="9037" width="10" style="2" customWidth="1"/>
    <col min="9038" max="9216" width="9.140625" style="2"/>
    <col min="9217" max="9217" width="25" style="2" customWidth="1"/>
    <col min="9218" max="9293" width="10" style="2" customWidth="1"/>
    <col min="9294" max="9472" width="9.140625" style="2"/>
    <col min="9473" max="9473" width="25" style="2" customWidth="1"/>
    <col min="9474" max="9549" width="10" style="2" customWidth="1"/>
    <col min="9550" max="9728" width="9.140625" style="2"/>
    <col min="9729" max="9729" width="25" style="2" customWidth="1"/>
    <col min="9730" max="9805" width="10" style="2" customWidth="1"/>
    <col min="9806" max="9984" width="9.140625" style="2"/>
    <col min="9985" max="9985" width="25" style="2" customWidth="1"/>
    <col min="9986" max="10061" width="10" style="2" customWidth="1"/>
    <col min="10062" max="10240" width="9.140625" style="2"/>
    <col min="10241" max="10241" width="25" style="2" customWidth="1"/>
    <col min="10242" max="10317" width="10" style="2" customWidth="1"/>
    <col min="10318" max="10496" width="9.140625" style="2"/>
    <col min="10497" max="10497" width="25" style="2" customWidth="1"/>
    <col min="10498" max="10573" width="10" style="2" customWidth="1"/>
    <col min="10574" max="10752" width="9.140625" style="2"/>
    <col min="10753" max="10753" width="25" style="2" customWidth="1"/>
    <col min="10754" max="10829" width="10" style="2" customWidth="1"/>
    <col min="10830" max="11008" width="9.140625" style="2"/>
    <col min="11009" max="11009" width="25" style="2" customWidth="1"/>
    <col min="11010" max="11085" width="10" style="2" customWidth="1"/>
    <col min="11086" max="11264" width="9.140625" style="2"/>
    <col min="11265" max="11265" width="25" style="2" customWidth="1"/>
    <col min="11266" max="11341" width="10" style="2" customWidth="1"/>
    <col min="11342" max="11520" width="9.140625" style="2"/>
    <col min="11521" max="11521" width="25" style="2" customWidth="1"/>
    <col min="11522" max="11597" width="10" style="2" customWidth="1"/>
    <col min="11598" max="11776" width="9.140625" style="2"/>
    <col min="11777" max="11777" width="25" style="2" customWidth="1"/>
    <col min="11778" max="11853" width="10" style="2" customWidth="1"/>
    <col min="11854" max="12032" width="9.140625" style="2"/>
    <col min="12033" max="12033" width="25" style="2" customWidth="1"/>
    <col min="12034" max="12109" width="10" style="2" customWidth="1"/>
    <col min="12110" max="12288" width="9.140625" style="2"/>
    <col min="12289" max="12289" width="25" style="2" customWidth="1"/>
    <col min="12290" max="12365" width="10" style="2" customWidth="1"/>
    <col min="12366" max="12544" width="9.140625" style="2"/>
    <col min="12545" max="12545" width="25" style="2" customWidth="1"/>
    <col min="12546" max="12621" width="10" style="2" customWidth="1"/>
    <col min="12622" max="12800" width="9.140625" style="2"/>
    <col min="12801" max="12801" width="25" style="2" customWidth="1"/>
    <col min="12802" max="12877" width="10" style="2" customWidth="1"/>
    <col min="12878" max="13056" width="9.140625" style="2"/>
    <col min="13057" max="13057" width="25" style="2" customWidth="1"/>
    <col min="13058" max="13133" width="10" style="2" customWidth="1"/>
    <col min="13134" max="13312" width="9.140625" style="2"/>
    <col min="13313" max="13313" width="25" style="2" customWidth="1"/>
    <col min="13314" max="13389" width="10" style="2" customWidth="1"/>
    <col min="13390" max="13568" width="9.140625" style="2"/>
    <col min="13569" max="13569" width="25" style="2" customWidth="1"/>
    <col min="13570" max="13645" width="10" style="2" customWidth="1"/>
    <col min="13646" max="13824" width="9.140625" style="2"/>
    <col min="13825" max="13825" width="25" style="2" customWidth="1"/>
    <col min="13826" max="13901" width="10" style="2" customWidth="1"/>
    <col min="13902" max="14080" width="9.140625" style="2"/>
    <col min="14081" max="14081" width="25" style="2" customWidth="1"/>
    <col min="14082" max="14157" width="10" style="2" customWidth="1"/>
    <col min="14158" max="14336" width="9.140625" style="2"/>
    <col min="14337" max="14337" width="25" style="2" customWidth="1"/>
    <col min="14338" max="14413" width="10" style="2" customWidth="1"/>
    <col min="14414" max="14592" width="9.140625" style="2"/>
    <col min="14593" max="14593" width="25" style="2" customWidth="1"/>
    <col min="14594" max="14669" width="10" style="2" customWidth="1"/>
    <col min="14670" max="14848" width="9.140625" style="2"/>
    <col min="14849" max="14849" width="25" style="2" customWidth="1"/>
    <col min="14850" max="14925" width="10" style="2" customWidth="1"/>
    <col min="14926" max="15104" width="9.140625" style="2"/>
    <col min="15105" max="15105" width="25" style="2" customWidth="1"/>
    <col min="15106" max="15181" width="10" style="2" customWidth="1"/>
    <col min="15182" max="15360" width="9.140625" style="2"/>
    <col min="15361" max="15361" width="25" style="2" customWidth="1"/>
    <col min="15362" max="15437" width="10" style="2" customWidth="1"/>
    <col min="15438" max="15616" width="9.140625" style="2"/>
    <col min="15617" max="15617" width="25" style="2" customWidth="1"/>
    <col min="15618" max="15693" width="10" style="2" customWidth="1"/>
    <col min="15694" max="15872" width="9.140625" style="2"/>
    <col min="15873" max="15873" width="25" style="2" customWidth="1"/>
    <col min="15874" max="15949" width="10" style="2" customWidth="1"/>
    <col min="15950" max="16128" width="9.140625" style="2"/>
    <col min="16129" max="16129" width="25" style="2" customWidth="1"/>
    <col min="16130" max="16205" width="10" style="2" customWidth="1"/>
    <col min="16206" max="16384" width="9.140625" style="2"/>
  </cols>
  <sheetData>
    <row r="2" spans="1:77" x14ac:dyDescent="0.25">
      <c r="A2" s="2" t="s">
        <v>10</v>
      </c>
      <c r="B2" s="2" t="s">
        <v>56</v>
      </c>
      <c r="C2" s="2" t="s">
        <v>57</v>
      </c>
      <c r="D2" s="2" t="s">
        <v>58</v>
      </c>
      <c r="E2" s="2" t="s">
        <v>59</v>
      </c>
      <c r="F2" s="2" t="s">
        <v>60</v>
      </c>
      <c r="G2" s="2" t="s">
        <v>61</v>
      </c>
      <c r="H2" s="2" t="s">
        <v>62</v>
      </c>
      <c r="I2" s="2" t="s">
        <v>63</v>
      </c>
      <c r="J2" s="2" t="s">
        <v>64</v>
      </c>
      <c r="K2" s="2" t="s">
        <v>65</v>
      </c>
      <c r="L2" s="2" t="s">
        <v>66</v>
      </c>
      <c r="M2" s="2" t="s">
        <v>67</v>
      </c>
      <c r="N2" s="2" t="s">
        <v>68</v>
      </c>
      <c r="O2" s="2" t="s">
        <v>69</v>
      </c>
      <c r="P2" s="2" t="s">
        <v>70</v>
      </c>
      <c r="Q2" s="2" t="s">
        <v>71</v>
      </c>
      <c r="R2" s="2" t="s">
        <v>72</v>
      </c>
      <c r="S2" s="2" t="s">
        <v>73</v>
      </c>
      <c r="T2" s="2" t="s">
        <v>74</v>
      </c>
      <c r="U2" s="2" t="s">
        <v>75</v>
      </c>
      <c r="V2" s="2" t="s">
        <v>76</v>
      </c>
      <c r="W2" s="2" t="s">
        <v>77</v>
      </c>
      <c r="X2" s="2" t="s">
        <v>78</v>
      </c>
      <c r="Y2" s="2" t="s">
        <v>79</v>
      </c>
      <c r="Z2" s="2" t="s">
        <v>80</v>
      </c>
      <c r="AA2" s="2" t="s">
        <v>81</v>
      </c>
      <c r="AB2" s="2" t="s">
        <v>82</v>
      </c>
      <c r="AC2" s="2" t="s">
        <v>83</v>
      </c>
      <c r="AD2" s="2" t="s">
        <v>84</v>
      </c>
      <c r="AE2" s="2" t="s">
        <v>85</v>
      </c>
      <c r="AF2" s="2" t="s">
        <v>86</v>
      </c>
      <c r="AG2" s="2" t="s">
        <v>87</v>
      </c>
      <c r="AH2" s="2" t="s">
        <v>88</v>
      </c>
      <c r="AI2" s="2" t="s">
        <v>89</v>
      </c>
      <c r="AJ2" s="2" t="s">
        <v>90</v>
      </c>
      <c r="AK2" s="2" t="s">
        <v>91</v>
      </c>
      <c r="AL2" s="2" t="s">
        <v>92</v>
      </c>
      <c r="AM2" s="2" t="s">
        <v>93</v>
      </c>
      <c r="AN2" s="2" t="s">
        <v>94</v>
      </c>
      <c r="AO2" s="2" t="s">
        <v>95</v>
      </c>
      <c r="AP2" s="2" t="s">
        <v>96</v>
      </c>
      <c r="AQ2" s="2" t="s">
        <v>97</v>
      </c>
      <c r="AR2" s="2" t="s">
        <v>98</v>
      </c>
      <c r="AS2" s="2" t="s">
        <v>99</v>
      </c>
      <c r="AT2" s="2" t="s">
        <v>100</v>
      </c>
      <c r="AU2" s="2" t="s">
        <v>101</v>
      </c>
      <c r="AV2" s="2" t="s">
        <v>102</v>
      </c>
      <c r="AW2" s="2" t="s">
        <v>103</v>
      </c>
      <c r="AX2" s="2" t="s">
        <v>104</v>
      </c>
      <c r="AY2" s="2" t="s">
        <v>105</v>
      </c>
      <c r="AZ2" s="2" t="s">
        <v>106</v>
      </c>
      <c r="BA2" s="2" t="s">
        <v>107</v>
      </c>
      <c r="BB2" s="2" t="s">
        <v>108</v>
      </c>
      <c r="BC2" s="2" t="s">
        <v>109</v>
      </c>
      <c r="BD2" s="2" t="s">
        <v>110</v>
      </c>
      <c r="BE2" s="2" t="s">
        <v>111</v>
      </c>
      <c r="BF2" s="2" t="s">
        <v>112</v>
      </c>
      <c r="BG2" s="2" t="s">
        <v>113</v>
      </c>
      <c r="BH2" s="2" t="s">
        <v>114</v>
      </c>
      <c r="BI2" s="2" t="s">
        <v>115</v>
      </c>
      <c r="BJ2" s="2" t="s">
        <v>116</v>
      </c>
      <c r="BK2" s="2" t="s">
        <v>117</v>
      </c>
      <c r="BL2" s="2" t="s">
        <v>118</v>
      </c>
      <c r="BM2" s="2" t="s">
        <v>119</v>
      </c>
      <c r="BN2" s="2" t="s">
        <v>120</v>
      </c>
      <c r="BO2" s="2" t="s">
        <v>121</v>
      </c>
      <c r="BP2" s="2" t="s">
        <v>122</v>
      </c>
      <c r="BQ2" s="2" t="s">
        <v>123</v>
      </c>
      <c r="BR2" s="2" t="s">
        <v>124</v>
      </c>
      <c r="BS2" s="2" t="s">
        <v>125</v>
      </c>
      <c r="BT2" s="2" t="s">
        <v>126</v>
      </c>
      <c r="BU2" s="2" t="s">
        <v>127</v>
      </c>
      <c r="BV2" s="2" t="s">
        <v>128</v>
      </c>
      <c r="BW2" s="2" t="s">
        <v>129</v>
      </c>
      <c r="BX2" s="2" t="s">
        <v>130</v>
      </c>
      <c r="BY2" s="2" t="s">
        <v>131</v>
      </c>
    </row>
    <row r="3" spans="1:77" x14ac:dyDescent="0.25">
      <c r="A3" s="3" t="s">
        <v>132</v>
      </c>
      <c r="B3" s="3">
        <v>23940505584.950001</v>
      </c>
      <c r="C3" s="3">
        <v>20335879249.639999</v>
      </c>
      <c r="D3" s="3">
        <v>25298492025.939999</v>
      </c>
      <c r="E3" s="3">
        <v>25345674442.060001</v>
      </c>
      <c r="F3" s="3">
        <v>22335981736.759998</v>
      </c>
      <c r="G3" s="3">
        <v>18692156055.25</v>
      </c>
      <c r="H3" s="3">
        <v>22480525254.689999</v>
      </c>
      <c r="I3" s="3">
        <v>22230117658.799999</v>
      </c>
      <c r="J3" s="3">
        <v>19717801668.09</v>
      </c>
      <c r="K3" s="3">
        <v>16856207937.370001</v>
      </c>
      <c r="L3" s="3">
        <v>18395256845.959999</v>
      </c>
      <c r="M3" s="3">
        <v>16575382294.719999</v>
      </c>
      <c r="N3" s="3">
        <v>18993477826.41</v>
      </c>
      <c r="O3" s="3">
        <v>11580485375.73</v>
      </c>
      <c r="P3" s="3">
        <v>13913411369.299999</v>
      </c>
      <c r="Q3" s="3">
        <v>12622349261.91</v>
      </c>
      <c r="R3" s="3">
        <v>8795118059.2000008</v>
      </c>
      <c r="S3" s="3">
        <v>8486749508.1300001</v>
      </c>
      <c r="T3" s="3">
        <v>10250867583.690001</v>
      </c>
      <c r="U3" s="3">
        <v>9712539795.1000004</v>
      </c>
      <c r="V3" s="3">
        <v>7548667681.0100002</v>
      </c>
      <c r="W3" s="3">
        <v>7425283641.25</v>
      </c>
      <c r="X3" s="3">
        <v>8760367928.2199993</v>
      </c>
      <c r="Y3" s="3">
        <v>10043956018.76</v>
      </c>
      <c r="Z3" s="3">
        <v>7557618464.21</v>
      </c>
      <c r="AA3" s="3">
        <v>7033899623.9700003</v>
      </c>
      <c r="AB3" s="3">
        <v>7581739634.1400003</v>
      </c>
      <c r="AC3" s="3">
        <v>9068214851.0699997</v>
      </c>
      <c r="AD3" s="3">
        <v>7864949634.5699997</v>
      </c>
      <c r="AE3" s="3">
        <v>6971645884.9799995</v>
      </c>
      <c r="AF3" s="3">
        <v>7165785851.6099997</v>
      </c>
      <c r="AG3" s="3">
        <v>6523896552.5100002</v>
      </c>
      <c r="AH3" s="3">
        <v>6667000764.0699997</v>
      </c>
      <c r="AI3" s="3">
        <v>7248470094.79</v>
      </c>
      <c r="AJ3" s="3">
        <v>6015967741.6199999</v>
      </c>
      <c r="AK3" s="3">
        <v>4760279727.2299995</v>
      </c>
      <c r="AL3" s="3">
        <v>3816252052.9899998</v>
      </c>
      <c r="AM3" s="3">
        <v>5605234329.1400003</v>
      </c>
      <c r="AN3" s="3">
        <v>4220589097.9400001</v>
      </c>
      <c r="AO3" s="3">
        <v>2305705956.0599999</v>
      </c>
      <c r="AP3" s="3">
        <v>2740311421.3400002</v>
      </c>
      <c r="AQ3" s="3">
        <v>3547360262.3699999</v>
      </c>
      <c r="AR3" s="3">
        <v>3039906100.4099998</v>
      </c>
      <c r="AS3" s="3">
        <v>1862796679.6099999</v>
      </c>
      <c r="AT3" s="3">
        <v>2261196354.4899998</v>
      </c>
      <c r="AU3" s="3">
        <v>3033468864.0900002</v>
      </c>
      <c r="AV3" s="3">
        <v>2512537167.1999998</v>
      </c>
      <c r="AW3" s="3">
        <v>1755168283.0999999</v>
      </c>
      <c r="AX3" s="3">
        <v>1866799971.4100001</v>
      </c>
      <c r="AY3" s="3">
        <v>2626220914.1399999</v>
      </c>
      <c r="AZ3" s="3">
        <v>1993496395.46</v>
      </c>
      <c r="BA3" s="3">
        <v>2779048497.8600001</v>
      </c>
      <c r="BB3" s="3">
        <v>1829293372.8399999</v>
      </c>
      <c r="BC3" s="3">
        <v>1041550780.74</v>
      </c>
      <c r="BD3" s="3">
        <v>1587538095.6800001</v>
      </c>
      <c r="BE3" s="3">
        <v>1650991953.6600001</v>
      </c>
      <c r="BF3" s="3">
        <v>1238891283.6900001</v>
      </c>
      <c r="BG3" s="3">
        <v>660486658.28999996</v>
      </c>
      <c r="BH3" s="3">
        <v>1353005869.77</v>
      </c>
      <c r="BI3" s="3">
        <v>1350196364.3599999</v>
      </c>
      <c r="BJ3" s="3">
        <v>894174531.34000003</v>
      </c>
      <c r="BK3" s="3">
        <v>542127021.28999996</v>
      </c>
      <c r="BL3" s="3">
        <v>1144017320.6199999</v>
      </c>
      <c r="BM3" s="3">
        <v>939355347.26999998</v>
      </c>
      <c r="BN3" s="3">
        <v>756328963.59000003</v>
      </c>
      <c r="BO3" s="3">
        <v>460677303.19999999</v>
      </c>
      <c r="BP3" s="3">
        <v>853431905.86000001</v>
      </c>
      <c r="BQ3" s="3">
        <v>848273574.83000004</v>
      </c>
      <c r="BR3" s="3">
        <v>543696794.62</v>
      </c>
      <c r="BS3" s="3">
        <v>275158309.58999997</v>
      </c>
      <c r="BT3" s="3">
        <v>733889255.88999999</v>
      </c>
      <c r="BU3" s="3">
        <v>471012070.57999998</v>
      </c>
      <c r="BV3" s="3">
        <v>408232011.69999999</v>
      </c>
      <c r="BW3" s="3">
        <v>237639354.09</v>
      </c>
      <c r="BX3" s="3">
        <v>718014858.52999997</v>
      </c>
      <c r="BY3" s="3" t="s">
        <v>133</v>
      </c>
    </row>
    <row r="4" spans="1:77" x14ac:dyDescent="0.25">
      <c r="A4" s="3" t="s">
        <v>134</v>
      </c>
      <c r="B4" s="3">
        <v>23262139974.98</v>
      </c>
      <c r="C4" s="3">
        <v>19547410128.169998</v>
      </c>
      <c r="D4" s="3">
        <v>24405394535.330002</v>
      </c>
      <c r="E4" s="3">
        <v>24494915396.389999</v>
      </c>
      <c r="F4" s="3">
        <v>21446869731.119999</v>
      </c>
      <c r="G4" s="3">
        <v>17843785626.880001</v>
      </c>
      <c r="H4" s="3">
        <v>21644002712.860001</v>
      </c>
      <c r="I4" s="3">
        <v>21397202402.02</v>
      </c>
      <c r="J4" s="3">
        <v>18844960092.900002</v>
      </c>
      <c r="K4" s="3">
        <v>15930543508.15</v>
      </c>
      <c r="L4" s="3">
        <v>17466166384.959999</v>
      </c>
      <c r="M4" s="3">
        <v>15767393814.16</v>
      </c>
      <c r="N4" s="3">
        <v>18260437281.049999</v>
      </c>
      <c r="O4" s="3">
        <v>10881391134.09</v>
      </c>
      <c r="P4" s="3">
        <v>13308639084.870001</v>
      </c>
      <c r="Q4" s="3">
        <v>12230305961.41</v>
      </c>
      <c r="R4" s="3">
        <v>8458649358.9899998</v>
      </c>
      <c r="S4" s="3">
        <v>8184480942.4700003</v>
      </c>
      <c r="T4" s="3">
        <v>9988753730.9699993</v>
      </c>
      <c r="U4" s="3">
        <v>9510894764.3899994</v>
      </c>
      <c r="V4" s="3">
        <v>7370041494.9399996</v>
      </c>
      <c r="W4" s="3">
        <v>7234374029.9499998</v>
      </c>
      <c r="X4" s="3">
        <v>8544273436</v>
      </c>
      <c r="Y4" s="3">
        <v>9855739363.3299999</v>
      </c>
      <c r="Z4" s="3">
        <v>7396560764.5200005</v>
      </c>
      <c r="AA4" s="3">
        <v>6871802652.4499998</v>
      </c>
      <c r="AB4" s="3">
        <v>7449825750.6400003</v>
      </c>
      <c r="AC4" s="3">
        <v>8986088271.3600006</v>
      </c>
      <c r="AD4" s="3">
        <v>7807845854.1300001</v>
      </c>
      <c r="AE4" s="3">
        <v>6962081339.5</v>
      </c>
      <c r="AF4" s="3">
        <v>7165785851.6099997</v>
      </c>
      <c r="AG4" s="3">
        <v>6523896552.5100002</v>
      </c>
      <c r="AH4" s="3">
        <v>6667000764.0699997</v>
      </c>
      <c r="AI4" s="3">
        <v>7248470094.79</v>
      </c>
      <c r="AJ4" s="3">
        <v>6015967741.6199999</v>
      </c>
      <c r="AK4" s="3">
        <v>4760279727.2299995</v>
      </c>
      <c r="AL4" s="3">
        <v>3816252052.9899998</v>
      </c>
      <c r="AM4" s="3">
        <v>5605234329.1400003</v>
      </c>
      <c r="AN4" s="3">
        <v>4220589097.9400001</v>
      </c>
      <c r="AO4" s="3">
        <v>2305705956.0599999</v>
      </c>
      <c r="AP4" s="3">
        <v>2740311421.3400002</v>
      </c>
      <c r="AQ4" s="3">
        <v>3547360262.3699999</v>
      </c>
      <c r="AR4" s="3">
        <v>3039906100.4099998</v>
      </c>
      <c r="AS4" s="3">
        <v>1862796679.6099999</v>
      </c>
      <c r="AT4" s="3">
        <v>2261196354.4899998</v>
      </c>
      <c r="AU4" s="3">
        <v>3033468864.0900002</v>
      </c>
      <c r="AV4" s="3">
        <v>2512537167.1999998</v>
      </c>
      <c r="AW4" s="3">
        <v>1755168283.0999999</v>
      </c>
      <c r="AX4" s="3">
        <v>1866799971.4100001</v>
      </c>
      <c r="AY4" s="3">
        <v>2626220914.1399999</v>
      </c>
      <c r="AZ4" s="3">
        <v>1993496395.46</v>
      </c>
      <c r="BA4" s="3">
        <v>2779048497.8600001</v>
      </c>
      <c r="BB4" s="3">
        <v>1829293372.8399999</v>
      </c>
      <c r="BC4" s="3">
        <v>1041550780.74</v>
      </c>
      <c r="BD4" s="3">
        <v>1587538095.6800001</v>
      </c>
      <c r="BE4" s="3">
        <v>1650991953.6600001</v>
      </c>
      <c r="BF4" s="3">
        <v>1238891283.6900001</v>
      </c>
      <c r="BG4" s="3">
        <v>660486658.28999996</v>
      </c>
      <c r="BH4" s="3">
        <v>1353005869.77</v>
      </c>
      <c r="BI4" s="3">
        <v>1350196364.3599999</v>
      </c>
      <c r="BJ4" s="3">
        <v>894174531.34000003</v>
      </c>
      <c r="BK4" s="3">
        <v>542127021.28999996</v>
      </c>
      <c r="BL4" s="3">
        <v>1144017320.6199999</v>
      </c>
      <c r="BM4" s="3">
        <v>939355347.26999998</v>
      </c>
      <c r="BN4" s="3">
        <v>756328963.59000003</v>
      </c>
      <c r="BO4" s="3">
        <v>460677303.19999999</v>
      </c>
      <c r="BP4" s="3">
        <v>853431905.86000001</v>
      </c>
      <c r="BQ4" s="3">
        <v>848273574.83000004</v>
      </c>
      <c r="BR4" s="3">
        <v>543696794.62</v>
      </c>
      <c r="BS4" s="3">
        <v>275158309.58999997</v>
      </c>
      <c r="BT4" s="3">
        <v>733889255.88999999</v>
      </c>
      <c r="BU4" s="3">
        <v>471012070.57999998</v>
      </c>
      <c r="BV4" s="3">
        <v>408232011.69999999</v>
      </c>
      <c r="BW4" s="3">
        <v>237639354.09</v>
      </c>
      <c r="BX4" s="3">
        <v>718014858.52999997</v>
      </c>
      <c r="BY4" s="3" t="s">
        <v>133</v>
      </c>
    </row>
    <row r="5" spans="1:77" x14ac:dyDescent="0.25">
      <c r="A5" s="3" t="s">
        <v>135</v>
      </c>
      <c r="B5" s="3">
        <v>8035637200</v>
      </c>
      <c r="C5" s="3">
        <v>6834382700</v>
      </c>
      <c r="D5" s="3">
        <v>6737937900</v>
      </c>
      <c r="E5" s="3">
        <v>9730249300</v>
      </c>
      <c r="F5" s="3">
        <v>7306722200</v>
      </c>
      <c r="G5" s="3">
        <v>6296292000</v>
      </c>
      <c r="H5" s="3">
        <v>6484303000</v>
      </c>
      <c r="I5" s="3">
        <v>6734683300</v>
      </c>
      <c r="J5" s="3">
        <v>6759778300</v>
      </c>
      <c r="K5" s="3">
        <v>6153990500</v>
      </c>
      <c r="L5" s="3">
        <v>6217578500</v>
      </c>
      <c r="M5" s="3">
        <v>6272318100</v>
      </c>
      <c r="N5" s="3">
        <v>6480304400</v>
      </c>
      <c r="O5" s="3">
        <v>4246868200</v>
      </c>
      <c r="P5" s="3">
        <v>5123258600</v>
      </c>
      <c r="Q5" s="3">
        <v>6506302300</v>
      </c>
      <c r="R5" s="3">
        <v>3405663300</v>
      </c>
      <c r="S5" s="3">
        <v>2929189100</v>
      </c>
      <c r="T5" s="3">
        <v>3048304500</v>
      </c>
      <c r="U5" s="3">
        <v>3848527400</v>
      </c>
      <c r="V5" s="3">
        <v>2405829100</v>
      </c>
      <c r="W5" s="3">
        <v>2481011800</v>
      </c>
      <c r="X5" s="3">
        <v>2556368100</v>
      </c>
      <c r="Y5" s="3">
        <v>3257512800</v>
      </c>
      <c r="Z5" s="3">
        <v>2492150700</v>
      </c>
      <c r="AA5" s="3">
        <v>2105852200</v>
      </c>
      <c r="AB5" s="3">
        <v>2261820100</v>
      </c>
      <c r="AC5" s="3">
        <v>3289879400</v>
      </c>
      <c r="AD5" s="3">
        <v>2249486500</v>
      </c>
      <c r="AE5" s="3">
        <v>1947089200</v>
      </c>
      <c r="AF5" s="3">
        <v>1795606100</v>
      </c>
      <c r="AG5" s="3">
        <v>2380450200</v>
      </c>
      <c r="AH5" s="3">
        <v>1779396400</v>
      </c>
      <c r="AI5" s="3">
        <v>1624803000</v>
      </c>
      <c r="AJ5" s="3">
        <v>1843049100</v>
      </c>
      <c r="AK5" s="3">
        <v>1706601900</v>
      </c>
      <c r="AL5" s="3">
        <v>1423545100</v>
      </c>
      <c r="AM5" s="3">
        <v>1371022800</v>
      </c>
      <c r="AN5" s="3">
        <v>1568404000</v>
      </c>
      <c r="AO5" s="3">
        <v>1042400700</v>
      </c>
      <c r="AP5" s="3">
        <v>1223652400</v>
      </c>
      <c r="AQ5" s="3">
        <v>962457700</v>
      </c>
      <c r="AR5" s="3">
        <v>1244335800</v>
      </c>
      <c r="AS5" s="3">
        <v>1093472600</v>
      </c>
      <c r="AT5" s="3">
        <v>860421000</v>
      </c>
      <c r="AU5" s="3">
        <v>833767700</v>
      </c>
      <c r="AV5" s="3">
        <v>808026700</v>
      </c>
      <c r="AW5" s="3">
        <v>776430300</v>
      </c>
      <c r="AX5" s="3">
        <v>599878000</v>
      </c>
      <c r="AY5" s="3">
        <v>704386600</v>
      </c>
      <c r="AZ5" s="3">
        <v>771928100</v>
      </c>
      <c r="BA5" s="3">
        <v>760385600</v>
      </c>
      <c r="BB5" s="3">
        <v>682464300</v>
      </c>
      <c r="BC5" s="3">
        <v>556577700</v>
      </c>
      <c r="BD5" s="3">
        <v>714477100</v>
      </c>
      <c r="BE5" s="3">
        <v>853895000</v>
      </c>
      <c r="BF5" s="3">
        <v>508816000</v>
      </c>
      <c r="BG5" s="3">
        <v>372664900</v>
      </c>
      <c r="BH5" s="3">
        <v>682652600</v>
      </c>
      <c r="BI5" s="3">
        <v>580790600</v>
      </c>
      <c r="BJ5" s="3">
        <v>500322000</v>
      </c>
      <c r="BK5" s="3">
        <v>344265500</v>
      </c>
      <c r="BL5" s="3">
        <v>586333600</v>
      </c>
      <c r="BM5" s="3">
        <v>327175200</v>
      </c>
      <c r="BN5" s="3">
        <v>450399000</v>
      </c>
      <c r="BO5" s="3">
        <v>292154100</v>
      </c>
      <c r="BP5" s="3">
        <v>452275200</v>
      </c>
      <c r="BQ5" s="3">
        <v>466886000</v>
      </c>
      <c r="BR5" s="3">
        <v>359659200</v>
      </c>
      <c r="BS5" s="3">
        <v>206233100</v>
      </c>
      <c r="BT5" s="3">
        <v>393885300</v>
      </c>
      <c r="BU5" s="3">
        <v>351715900</v>
      </c>
      <c r="BV5" s="3">
        <v>283646300</v>
      </c>
      <c r="BW5" s="3">
        <v>173722000</v>
      </c>
      <c r="BX5" s="3">
        <v>380838500</v>
      </c>
      <c r="BY5" s="3" t="s">
        <v>133</v>
      </c>
    </row>
    <row r="6" spans="1:77" x14ac:dyDescent="0.25">
      <c r="A6" s="3" t="s">
        <v>11</v>
      </c>
      <c r="B6" s="3">
        <v>2078569800</v>
      </c>
      <c r="C6" s="3">
        <v>1719883100</v>
      </c>
      <c r="D6" s="3">
        <v>2032443500</v>
      </c>
      <c r="E6" s="3">
        <v>2244132600</v>
      </c>
      <c r="F6" s="3">
        <v>1974261200</v>
      </c>
      <c r="G6" s="3">
        <v>1504179400</v>
      </c>
      <c r="H6" s="3">
        <v>1707440700</v>
      </c>
      <c r="I6" s="3">
        <v>1885866400</v>
      </c>
      <c r="J6" s="3">
        <v>1612030300</v>
      </c>
      <c r="K6" s="3">
        <v>1506432200</v>
      </c>
      <c r="L6" s="3">
        <v>1518592900</v>
      </c>
      <c r="M6" s="3">
        <v>1666998100</v>
      </c>
      <c r="N6" s="3">
        <v>1762209900</v>
      </c>
      <c r="O6" s="3">
        <v>1334230700</v>
      </c>
      <c r="P6" s="3">
        <v>1176997700</v>
      </c>
      <c r="Q6" s="3">
        <v>1184705400</v>
      </c>
      <c r="R6" s="3">
        <v>749991000</v>
      </c>
      <c r="S6" s="3">
        <v>710405700</v>
      </c>
      <c r="T6" s="3">
        <v>765002000</v>
      </c>
      <c r="U6" s="3">
        <v>791289800</v>
      </c>
      <c r="V6" s="3">
        <v>581169700</v>
      </c>
      <c r="W6" s="3">
        <v>586081100</v>
      </c>
      <c r="X6" s="3">
        <v>579796900</v>
      </c>
      <c r="Y6" s="3">
        <v>745243200</v>
      </c>
      <c r="Z6" s="3">
        <v>605764000</v>
      </c>
      <c r="AA6" s="3">
        <v>480608100</v>
      </c>
      <c r="AB6" s="3">
        <v>506935200</v>
      </c>
      <c r="AC6" s="3">
        <v>753055300</v>
      </c>
      <c r="AD6" s="3">
        <v>508298300</v>
      </c>
      <c r="AE6" s="3">
        <v>451445400</v>
      </c>
      <c r="AF6" s="3">
        <v>481121200</v>
      </c>
      <c r="AG6" s="3">
        <v>415430400</v>
      </c>
      <c r="AH6" s="3">
        <v>569230700</v>
      </c>
      <c r="AI6" s="3">
        <v>577589900</v>
      </c>
      <c r="AJ6" s="3">
        <v>482055400</v>
      </c>
      <c r="AK6" s="3">
        <v>395386900</v>
      </c>
      <c r="AL6" s="3">
        <v>310774700</v>
      </c>
      <c r="AM6" s="3">
        <v>453009300</v>
      </c>
      <c r="AN6" s="3">
        <v>392063100</v>
      </c>
      <c r="AO6" s="3">
        <v>231636500</v>
      </c>
      <c r="AP6" s="3">
        <v>252104900</v>
      </c>
      <c r="AQ6" s="3">
        <v>273803400</v>
      </c>
      <c r="AR6" s="3">
        <v>295386800</v>
      </c>
      <c r="AS6" s="3">
        <v>207465300</v>
      </c>
      <c r="AT6" s="3">
        <v>211587400</v>
      </c>
      <c r="AU6" s="3">
        <v>280171800</v>
      </c>
      <c r="AV6" s="3">
        <v>251448300</v>
      </c>
      <c r="AW6" s="3">
        <v>184773200</v>
      </c>
      <c r="AX6" s="3">
        <v>172885400</v>
      </c>
      <c r="AY6" s="3">
        <v>241244000</v>
      </c>
      <c r="AZ6" s="3">
        <v>200810700</v>
      </c>
      <c r="BA6" s="3">
        <v>209007100</v>
      </c>
      <c r="BB6" s="3">
        <v>273419700</v>
      </c>
      <c r="BC6" s="3">
        <v>151511800</v>
      </c>
      <c r="BD6" s="3">
        <v>237705000</v>
      </c>
      <c r="BE6" s="3">
        <v>251506600</v>
      </c>
      <c r="BF6" s="3">
        <v>200185000</v>
      </c>
      <c r="BG6" s="3">
        <v>109908900</v>
      </c>
      <c r="BH6" s="3">
        <v>224939700</v>
      </c>
      <c r="BI6" s="3">
        <v>236610300</v>
      </c>
      <c r="BJ6" s="3">
        <v>156367700</v>
      </c>
      <c r="BK6" s="3">
        <v>97413800</v>
      </c>
      <c r="BL6" s="3">
        <v>196715000</v>
      </c>
      <c r="BM6" s="3">
        <v>167121800</v>
      </c>
      <c r="BN6" s="3">
        <v>137993000</v>
      </c>
      <c r="BO6" s="3">
        <v>78697700</v>
      </c>
      <c r="BP6" s="3">
        <v>151243800</v>
      </c>
      <c r="BQ6" s="3">
        <v>174654800</v>
      </c>
      <c r="BR6" s="3">
        <v>105794500</v>
      </c>
      <c r="BS6" s="3">
        <v>60857900</v>
      </c>
      <c r="BT6" s="3">
        <v>136080900</v>
      </c>
      <c r="BU6" s="3">
        <v>109760700</v>
      </c>
      <c r="BV6" s="3">
        <v>72427200</v>
      </c>
      <c r="BW6" s="3">
        <v>42816700</v>
      </c>
      <c r="BX6" s="3">
        <v>115551800</v>
      </c>
      <c r="BY6" s="3" t="s">
        <v>133</v>
      </c>
    </row>
    <row r="7" spans="1:77" x14ac:dyDescent="0.25">
      <c r="A7" s="3" t="s">
        <v>136</v>
      </c>
      <c r="B7" s="3">
        <v>3810838600</v>
      </c>
      <c r="C7" s="3">
        <v>3155777000</v>
      </c>
      <c r="D7" s="3">
        <v>2447742900</v>
      </c>
      <c r="E7" s="3">
        <v>4786127700</v>
      </c>
      <c r="F7" s="3">
        <v>3208001000</v>
      </c>
      <c r="G7" s="3">
        <v>2332003800</v>
      </c>
      <c r="H7" s="3">
        <v>2407159900</v>
      </c>
      <c r="I7" s="3">
        <v>3433241400</v>
      </c>
      <c r="J7" s="3">
        <v>3215685600</v>
      </c>
      <c r="K7" s="3">
        <v>2114429200</v>
      </c>
      <c r="L7" s="3">
        <v>2525570600</v>
      </c>
      <c r="M7" s="3">
        <v>1980238300</v>
      </c>
      <c r="N7" s="3">
        <v>3004559700</v>
      </c>
      <c r="O7" s="3">
        <v>1446114900</v>
      </c>
      <c r="P7" s="3">
        <v>1973301700</v>
      </c>
      <c r="Q7" s="3">
        <v>2885042500</v>
      </c>
      <c r="R7" s="3">
        <v>1418225200</v>
      </c>
      <c r="S7" s="3">
        <v>1025035700</v>
      </c>
      <c r="T7" s="3">
        <v>1180622900</v>
      </c>
      <c r="U7" s="3">
        <v>1277565200</v>
      </c>
      <c r="V7" s="3">
        <v>728465400</v>
      </c>
      <c r="W7" s="3">
        <v>636602200</v>
      </c>
      <c r="X7" s="3">
        <v>806537800</v>
      </c>
      <c r="Y7" s="3">
        <v>784685600</v>
      </c>
      <c r="Z7" s="3">
        <v>738987000</v>
      </c>
      <c r="AA7" s="3">
        <v>560580700</v>
      </c>
      <c r="AB7" s="3">
        <v>704741200</v>
      </c>
      <c r="AC7" s="3">
        <v>818069300</v>
      </c>
      <c r="AD7" s="3">
        <v>873492100</v>
      </c>
      <c r="AE7" s="3">
        <v>512653600</v>
      </c>
      <c r="AF7" s="3">
        <v>586532900</v>
      </c>
      <c r="AG7" s="3">
        <v>787948200</v>
      </c>
      <c r="AH7" s="3">
        <v>428487100</v>
      </c>
      <c r="AI7" s="3">
        <v>547856200</v>
      </c>
      <c r="AJ7" s="3">
        <v>808353300</v>
      </c>
      <c r="AK7" s="3">
        <v>545951200</v>
      </c>
      <c r="AL7" s="3">
        <v>654183300</v>
      </c>
      <c r="AM7" s="3">
        <v>568682100</v>
      </c>
      <c r="AN7" s="3">
        <v>708575200</v>
      </c>
      <c r="AO7" s="3">
        <v>167119100</v>
      </c>
      <c r="AP7" s="3">
        <v>550913600</v>
      </c>
      <c r="AQ7" s="3">
        <v>318211800</v>
      </c>
      <c r="AR7" s="3">
        <v>540768500</v>
      </c>
      <c r="AS7" s="3">
        <v>264315500</v>
      </c>
      <c r="AT7" s="3">
        <v>258164500</v>
      </c>
      <c r="AU7" s="3">
        <v>183319800</v>
      </c>
      <c r="AV7" s="3">
        <v>234708700</v>
      </c>
      <c r="AW7" s="3">
        <v>148043100</v>
      </c>
      <c r="AX7" s="3">
        <v>163246500</v>
      </c>
      <c r="AY7" s="3">
        <v>171826300</v>
      </c>
      <c r="AZ7" s="3">
        <v>198645600</v>
      </c>
      <c r="BA7" s="3">
        <v>191844500</v>
      </c>
      <c r="BB7" s="3">
        <v>120347400</v>
      </c>
      <c r="BC7" s="3">
        <v>100380400</v>
      </c>
      <c r="BD7" s="3">
        <v>191506700</v>
      </c>
      <c r="BE7" s="3">
        <v>152675900</v>
      </c>
      <c r="BF7" s="3">
        <v>124156600</v>
      </c>
      <c r="BG7" s="3">
        <v>119694200</v>
      </c>
      <c r="BH7" s="3">
        <v>178364100</v>
      </c>
      <c r="BI7" s="3">
        <v>123319700</v>
      </c>
      <c r="BJ7" s="3">
        <v>141327200</v>
      </c>
      <c r="BK7" s="3">
        <v>99682300</v>
      </c>
      <c r="BL7" s="3">
        <v>165915900</v>
      </c>
      <c r="BM7" s="3">
        <v>4460700</v>
      </c>
      <c r="BN7" s="3">
        <v>122310800</v>
      </c>
      <c r="BO7" s="3">
        <v>78267000</v>
      </c>
      <c r="BP7" s="3">
        <v>119817100</v>
      </c>
      <c r="BQ7" s="3">
        <v>39982600</v>
      </c>
      <c r="BR7" s="3">
        <v>106360300</v>
      </c>
      <c r="BS7" s="3">
        <v>40738400</v>
      </c>
      <c r="BT7" s="3">
        <v>121107800</v>
      </c>
      <c r="BU7" s="3">
        <v>91993300</v>
      </c>
      <c r="BV7" s="3">
        <v>67238600</v>
      </c>
      <c r="BW7" s="3">
        <v>36030100</v>
      </c>
      <c r="BX7" s="3">
        <v>124848200</v>
      </c>
      <c r="BY7" s="3" t="s">
        <v>133</v>
      </c>
    </row>
    <row r="8" spans="1:77" x14ac:dyDescent="0.25">
      <c r="A8" s="3" t="s">
        <v>12</v>
      </c>
      <c r="B8" s="3">
        <v>612523100</v>
      </c>
      <c r="C8" s="3">
        <v>502028000</v>
      </c>
      <c r="D8" s="3">
        <v>661305600</v>
      </c>
      <c r="E8" s="3">
        <v>665002600</v>
      </c>
      <c r="F8" s="3">
        <v>627029100</v>
      </c>
      <c r="G8" s="3">
        <v>1115456100</v>
      </c>
      <c r="H8" s="3">
        <v>871503100</v>
      </c>
      <c r="I8" s="3">
        <v>-273499700</v>
      </c>
      <c r="J8" s="3">
        <v>645988600</v>
      </c>
      <c r="K8" s="3">
        <v>1254497500</v>
      </c>
      <c r="L8" s="3">
        <v>945090500</v>
      </c>
      <c r="M8" s="3">
        <v>1008157600</v>
      </c>
      <c r="N8" s="3">
        <v>599040400</v>
      </c>
      <c r="O8" s="3">
        <v>526436400</v>
      </c>
      <c r="P8" s="3">
        <v>852434100</v>
      </c>
      <c r="Q8" s="3">
        <v>1025941700</v>
      </c>
      <c r="R8" s="3">
        <v>267688600</v>
      </c>
      <c r="S8" s="3">
        <v>217036200</v>
      </c>
      <c r="T8" s="3">
        <v>170385400</v>
      </c>
      <c r="U8" s="3">
        <v>549560000</v>
      </c>
      <c r="V8" s="3">
        <v>343387500</v>
      </c>
      <c r="W8" s="3">
        <v>349414200</v>
      </c>
      <c r="X8" s="3">
        <v>242599800</v>
      </c>
      <c r="Y8" s="3">
        <v>698022100</v>
      </c>
      <c r="Z8" s="3">
        <v>329905200</v>
      </c>
      <c r="AA8" s="3">
        <v>317660200</v>
      </c>
      <c r="AB8" s="3">
        <v>329145900</v>
      </c>
      <c r="AC8" s="3">
        <v>692582800</v>
      </c>
      <c r="AD8" s="3">
        <v>365753400</v>
      </c>
      <c r="AE8" s="3">
        <v>515766300</v>
      </c>
      <c r="AF8" s="3">
        <v>284030300</v>
      </c>
      <c r="AG8" s="3">
        <v>382502300</v>
      </c>
      <c r="AH8" s="3">
        <v>435471700</v>
      </c>
      <c r="AI8" s="3">
        <v>216447500</v>
      </c>
      <c r="AJ8" s="3">
        <v>190131900</v>
      </c>
      <c r="AK8" s="3">
        <v>226550400</v>
      </c>
      <c r="AL8" s="3">
        <v>169179300</v>
      </c>
      <c r="AM8" s="3">
        <v>157387800</v>
      </c>
      <c r="AN8" s="3">
        <v>167210200</v>
      </c>
      <c r="AO8" s="3">
        <v>193958700</v>
      </c>
      <c r="AP8" s="3">
        <v>167816300</v>
      </c>
      <c r="AQ8" s="3">
        <v>170037000</v>
      </c>
      <c r="AR8" s="3">
        <v>144719700</v>
      </c>
      <c r="AS8" s="3">
        <v>181630800</v>
      </c>
      <c r="AT8" s="3">
        <v>124069500</v>
      </c>
      <c r="AU8" s="3">
        <v>134934900</v>
      </c>
      <c r="AV8" s="3">
        <v>180649100</v>
      </c>
      <c r="AW8" s="3">
        <v>76973000</v>
      </c>
      <c r="AX8" s="3">
        <v>113438800</v>
      </c>
      <c r="AY8" s="3">
        <v>97909100</v>
      </c>
      <c r="AZ8" s="3">
        <v>243703700</v>
      </c>
      <c r="BA8" s="3">
        <v>120689600</v>
      </c>
      <c r="BB8" s="3">
        <v>95962500</v>
      </c>
      <c r="BC8" s="3">
        <v>131255300</v>
      </c>
      <c r="BD8" s="3">
        <v>212477800</v>
      </c>
      <c r="BE8" s="3">
        <v>222760400</v>
      </c>
      <c r="BF8" s="3">
        <v>89749100</v>
      </c>
      <c r="BG8" s="3">
        <v>73201900</v>
      </c>
      <c r="BH8" s="3">
        <v>199195000</v>
      </c>
      <c r="BI8" s="3">
        <v>104718800</v>
      </c>
      <c r="BJ8" s="3">
        <v>134741700</v>
      </c>
      <c r="BK8" s="3">
        <v>82820500</v>
      </c>
      <c r="BL8" s="3">
        <v>153658400</v>
      </c>
      <c r="BM8" s="3">
        <v>38341000</v>
      </c>
      <c r="BN8" s="3">
        <v>138244800</v>
      </c>
      <c r="BO8" s="3">
        <v>60175900</v>
      </c>
      <c r="BP8" s="3">
        <v>139760600</v>
      </c>
      <c r="BQ8" s="3">
        <v>117497600</v>
      </c>
      <c r="BR8" s="3">
        <v>99287400</v>
      </c>
      <c r="BS8" s="3">
        <v>48515400</v>
      </c>
      <c r="BT8" s="3">
        <v>99955900</v>
      </c>
      <c r="BU8" s="3">
        <v>67810900</v>
      </c>
      <c r="BV8" s="3">
        <v>73044700</v>
      </c>
      <c r="BW8" s="3">
        <v>63384800</v>
      </c>
      <c r="BX8" s="3">
        <v>103936000</v>
      </c>
      <c r="BY8" s="3" t="s">
        <v>133</v>
      </c>
    </row>
    <row r="9" spans="1:77" x14ac:dyDescent="0.25">
      <c r="A9" s="3" t="s">
        <v>13</v>
      </c>
      <c r="B9" s="3">
        <v>1576901900</v>
      </c>
      <c r="C9" s="3">
        <v>1412760500</v>
      </c>
      <c r="D9" s="3">
        <v>1559853200</v>
      </c>
      <c r="E9" s="3">
        <v>2028574900</v>
      </c>
      <c r="F9" s="3">
        <v>1423549300</v>
      </c>
      <c r="G9" s="3">
        <v>1259055600</v>
      </c>
      <c r="H9" s="3">
        <v>1456803000</v>
      </c>
      <c r="I9" s="3">
        <v>1641650100</v>
      </c>
      <c r="J9" s="3">
        <v>1231144100</v>
      </c>
      <c r="K9" s="3">
        <v>1251655000</v>
      </c>
      <c r="L9" s="3">
        <v>1201491600</v>
      </c>
      <c r="M9" s="3">
        <v>1598022900</v>
      </c>
      <c r="N9" s="3">
        <v>1071526500</v>
      </c>
      <c r="O9" s="3">
        <v>910015700</v>
      </c>
      <c r="P9" s="3">
        <v>1122230500</v>
      </c>
      <c r="Q9" s="3">
        <v>1401085600</v>
      </c>
      <c r="R9" s="3">
        <v>926512400</v>
      </c>
      <c r="S9" s="3">
        <v>954578800</v>
      </c>
      <c r="T9" s="3">
        <v>905013000</v>
      </c>
      <c r="U9" s="3">
        <v>1220271300</v>
      </c>
      <c r="V9" s="3">
        <v>765449100</v>
      </c>
      <c r="W9" s="3">
        <v>907211200</v>
      </c>
      <c r="X9" s="3">
        <v>919920400</v>
      </c>
      <c r="Y9" s="3">
        <v>1041541800</v>
      </c>
      <c r="Z9" s="3">
        <v>844149300</v>
      </c>
      <c r="AA9" s="3">
        <v>761861200</v>
      </c>
      <c r="AB9" s="3">
        <v>730947200</v>
      </c>
      <c r="AC9" s="3">
        <v>1091307300</v>
      </c>
      <c r="AD9" s="3">
        <v>591555600</v>
      </c>
      <c r="AE9" s="3">
        <v>593436900</v>
      </c>
      <c r="AF9" s="3">
        <v>558440900</v>
      </c>
      <c r="AG9" s="3">
        <v>916056500</v>
      </c>
      <c r="AH9" s="3">
        <v>456471300</v>
      </c>
      <c r="AI9" s="3">
        <v>371835600</v>
      </c>
      <c r="AJ9" s="3">
        <v>459827200</v>
      </c>
      <c r="AK9" s="3">
        <v>672554400</v>
      </c>
      <c r="AL9" s="3">
        <v>358362200</v>
      </c>
      <c r="AM9" s="3">
        <v>288926600</v>
      </c>
      <c r="AN9" s="3">
        <v>354029200</v>
      </c>
      <c r="AO9" s="3">
        <v>494797600</v>
      </c>
      <c r="AP9" s="3">
        <v>290352200</v>
      </c>
      <c r="AQ9" s="3">
        <v>251173600</v>
      </c>
      <c r="AR9" s="3">
        <v>309690800</v>
      </c>
      <c r="AS9" s="3">
        <v>484010400</v>
      </c>
      <c r="AT9" s="3">
        <v>269244300</v>
      </c>
      <c r="AU9" s="3">
        <v>241375800</v>
      </c>
      <c r="AV9" s="3">
        <v>222528000</v>
      </c>
      <c r="AW9" s="3">
        <v>405098500</v>
      </c>
      <c r="AX9" s="3">
        <v>166366800</v>
      </c>
      <c r="AY9" s="3">
        <v>201260300</v>
      </c>
      <c r="AZ9" s="3">
        <v>168448500</v>
      </c>
      <c r="BA9" s="3">
        <v>247362500</v>
      </c>
      <c r="BB9" s="3">
        <v>197926600</v>
      </c>
      <c r="BC9" s="3">
        <v>178327000</v>
      </c>
      <c r="BD9" s="3">
        <v>99539500</v>
      </c>
      <c r="BE9" s="3">
        <v>236713100</v>
      </c>
      <c r="BF9" s="3">
        <v>102506200</v>
      </c>
      <c r="BG9" s="3">
        <v>73749800</v>
      </c>
      <c r="BH9" s="3">
        <v>82982500</v>
      </c>
      <c r="BI9" s="3">
        <v>134180500</v>
      </c>
      <c r="BJ9" s="3">
        <v>74003600</v>
      </c>
      <c r="BK9" s="3">
        <v>68709900</v>
      </c>
      <c r="BL9" s="3">
        <v>73791100</v>
      </c>
      <c r="BM9" s="3">
        <v>120938500</v>
      </c>
      <c r="BN9" s="3">
        <v>64198600</v>
      </c>
      <c r="BO9" s="3">
        <v>78224900</v>
      </c>
      <c r="BP9" s="3">
        <v>48201000</v>
      </c>
      <c r="BQ9" s="3">
        <v>138556200</v>
      </c>
      <c r="BR9" s="3">
        <v>56090900</v>
      </c>
      <c r="BS9" s="3">
        <v>58281300</v>
      </c>
      <c r="BT9" s="3">
        <v>38951800</v>
      </c>
      <c r="BU9" s="3">
        <v>84353100</v>
      </c>
      <c r="BV9" s="3">
        <v>74285000</v>
      </c>
      <c r="BW9" s="3">
        <v>40738700</v>
      </c>
      <c r="BX9" s="3">
        <v>39164500</v>
      </c>
      <c r="BY9" s="3" t="s">
        <v>133</v>
      </c>
    </row>
    <row r="10" spans="1:77" x14ac:dyDescent="0.25">
      <c r="A10" s="3" t="s">
        <v>14</v>
      </c>
      <c r="B10" s="3">
        <v>14303400</v>
      </c>
      <c r="C10" s="3">
        <v>13241900</v>
      </c>
      <c r="D10" s="3">
        <v>10349600</v>
      </c>
      <c r="E10" s="3">
        <v>-16462300</v>
      </c>
      <c r="F10" s="3">
        <v>12555000</v>
      </c>
      <c r="G10" s="3">
        <v>43692100</v>
      </c>
      <c r="H10" s="3">
        <v>8904100</v>
      </c>
      <c r="I10" s="3">
        <v>6751100</v>
      </c>
      <c r="J10" s="3">
        <v>7933600</v>
      </c>
      <c r="K10" s="3">
        <v>4555700</v>
      </c>
      <c r="L10" s="3">
        <v>2713200</v>
      </c>
      <c r="M10" s="3">
        <v>7481000</v>
      </c>
      <c r="N10" s="3" t="s">
        <v>133</v>
      </c>
      <c r="O10" s="3" t="s">
        <v>133</v>
      </c>
      <c r="P10" s="3" t="s">
        <v>133</v>
      </c>
      <c r="Q10" s="3" t="s">
        <v>133</v>
      </c>
      <c r="R10" s="3" t="s">
        <v>133</v>
      </c>
      <c r="S10" s="3" t="s">
        <v>133</v>
      </c>
      <c r="T10" s="3" t="s">
        <v>133</v>
      </c>
      <c r="U10" s="3" t="s">
        <v>133</v>
      </c>
      <c r="V10" s="3" t="s">
        <v>133</v>
      </c>
      <c r="W10" s="3" t="s">
        <v>133</v>
      </c>
      <c r="X10" s="3" t="s">
        <v>133</v>
      </c>
      <c r="Y10" s="3" t="s">
        <v>133</v>
      </c>
      <c r="Z10" s="3" t="s">
        <v>133</v>
      </c>
      <c r="AA10" s="3" t="s">
        <v>133</v>
      </c>
      <c r="AB10" s="3" t="s">
        <v>133</v>
      </c>
      <c r="AC10" s="3" t="s">
        <v>133</v>
      </c>
      <c r="AD10" s="3" t="s">
        <v>133</v>
      </c>
      <c r="AE10" s="3" t="s">
        <v>133</v>
      </c>
      <c r="AF10" s="3" t="s">
        <v>133</v>
      </c>
      <c r="AG10" s="3" t="s">
        <v>133</v>
      </c>
      <c r="AH10" s="3" t="s">
        <v>133</v>
      </c>
      <c r="AI10" s="3" t="s">
        <v>133</v>
      </c>
      <c r="AJ10" s="3" t="s">
        <v>133</v>
      </c>
      <c r="AK10" s="3" t="s">
        <v>133</v>
      </c>
      <c r="AL10" s="3" t="s">
        <v>133</v>
      </c>
      <c r="AM10" s="3" t="s">
        <v>133</v>
      </c>
      <c r="AN10" s="3" t="s">
        <v>133</v>
      </c>
      <c r="AO10" s="3" t="s">
        <v>133</v>
      </c>
      <c r="AP10" s="3" t="s">
        <v>133</v>
      </c>
      <c r="AQ10" s="3" t="s">
        <v>133</v>
      </c>
      <c r="AR10" s="3" t="s">
        <v>133</v>
      </c>
      <c r="AS10" s="3" t="s">
        <v>133</v>
      </c>
      <c r="AT10" s="3" t="s">
        <v>133</v>
      </c>
      <c r="AU10" s="3" t="s">
        <v>133</v>
      </c>
      <c r="AV10" s="3" t="s">
        <v>133</v>
      </c>
      <c r="AW10" s="3" t="s">
        <v>133</v>
      </c>
      <c r="AX10" s="3" t="s">
        <v>133</v>
      </c>
      <c r="AY10" s="3" t="s">
        <v>133</v>
      </c>
      <c r="AZ10" s="3" t="s">
        <v>133</v>
      </c>
      <c r="BA10" s="3" t="s">
        <v>133</v>
      </c>
      <c r="BB10" s="3" t="s">
        <v>133</v>
      </c>
      <c r="BC10" s="3" t="s">
        <v>133</v>
      </c>
      <c r="BD10" s="3" t="s">
        <v>133</v>
      </c>
      <c r="BE10" s="3" t="s">
        <v>133</v>
      </c>
      <c r="BF10" s="3" t="s">
        <v>133</v>
      </c>
      <c r="BG10" s="3" t="s">
        <v>133</v>
      </c>
      <c r="BH10" s="3" t="s">
        <v>133</v>
      </c>
      <c r="BI10" s="3" t="s">
        <v>133</v>
      </c>
      <c r="BJ10" s="3" t="s">
        <v>133</v>
      </c>
      <c r="BK10" s="3" t="s">
        <v>133</v>
      </c>
      <c r="BL10" s="3" t="s">
        <v>133</v>
      </c>
      <c r="BM10" s="3" t="s">
        <v>133</v>
      </c>
      <c r="BN10" s="3" t="s">
        <v>133</v>
      </c>
      <c r="BO10" s="3" t="s">
        <v>133</v>
      </c>
      <c r="BP10" s="3" t="s">
        <v>133</v>
      </c>
      <c r="BQ10" s="3" t="s">
        <v>133</v>
      </c>
      <c r="BR10" s="3" t="s">
        <v>133</v>
      </c>
      <c r="BS10" s="3" t="s">
        <v>133</v>
      </c>
      <c r="BT10" s="3" t="s">
        <v>133</v>
      </c>
      <c r="BU10" s="3" t="s">
        <v>133</v>
      </c>
      <c r="BV10" s="3" t="s">
        <v>133</v>
      </c>
      <c r="BW10" s="3" t="s">
        <v>133</v>
      </c>
      <c r="BX10" s="3" t="s">
        <v>133</v>
      </c>
      <c r="BY10" s="3" t="s">
        <v>133</v>
      </c>
    </row>
    <row r="11" spans="1:77" x14ac:dyDescent="0.25">
      <c r="A11" s="3" t="s">
        <v>15</v>
      </c>
      <c r="B11" s="3">
        <v>-82458700</v>
      </c>
      <c r="C11" s="3">
        <v>-67709900</v>
      </c>
      <c r="D11" s="3">
        <v>-5135100</v>
      </c>
      <c r="E11" s="3">
        <v>8000000</v>
      </c>
      <c r="F11" s="3">
        <v>1370800</v>
      </c>
      <c r="G11" s="3">
        <v>-1575300</v>
      </c>
      <c r="H11" s="3">
        <v>-337500</v>
      </c>
      <c r="I11" s="3">
        <v>862900</v>
      </c>
      <c r="J11" s="3">
        <v>-159500</v>
      </c>
      <c r="K11" s="3">
        <v>-764000</v>
      </c>
      <c r="L11" s="3">
        <v>-3460600</v>
      </c>
      <c r="M11" s="3">
        <v>-16449100</v>
      </c>
      <c r="N11" s="3">
        <v>-1768000</v>
      </c>
      <c r="O11" s="3">
        <v>-8010900</v>
      </c>
      <c r="P11" s="3">
        <v>-29494300</v>
      </c>
      <c r="Q11" s="3">
        <v>-31873200</v>
      </c>
      <c r="R11" s="3">
        <v>10924100</v>
      </c>
      <c r="S11" s="3">
        <v>-9194700</v>
      </c>
      <c r="T11" s="3">
        <v>-3031400</v>
      </c>
      <c r="U11" s="3">
        <v>-15134700</v>
      </c>
      <c r="V11" s="3">
        <v>-33136500</v>
      </c>
      <c r="W11" s="3">
        <v>-12522600</v>
      </c>
      <c r="X11" s="3">
        <v>-6473000</v>
      </c>
      <c r="Y11" s="3">
        <v>-27396700</v>
      </c>
      <c r="Z11" s="3">
        <v>-41882900</v>
      </c>
      <c r="AA11" s="3">
        <v>-29766000</v>
      </c>
      <c r="AB11" s="3">
        <v>-24123200</v>
      </c>
      <c r="AC11" s="3">
        <v>-85247500</v>
      </c>
      <c r="AD11" s="3">
        <v>-105036300</v>
      </c>
      <c r="AE11" s="3">
        <v>-124271300</v>
      </c>
      <c r="AF11" s="3">
        <v>-114519200</v>
      </c>
      <c r="AG11" s="3">
        <v>-123510700</v>
      </c>
      <c r="AH11" s="3">
        <v>-110264400</v>
      </c>
      <c r="AI11" s="3">
        <v>-89882000</v>
      </c>
      <c r="AJ11" s="3">
        <v>-97318800</v>
      </c>
      <c r="AK11" s="3">
        <v>-132938000</v>
      </c>
      <c r="AL11" s="3">
        <v>-68925000</v>
      </c>
      <c r="AM11" s="3">
        <v>-95414900</v>
      </c>
      <c r="AN11" s="3">
        <v>-53473700</v>
      </c>
      <c r="AO11" s="3">
        <v>-39246400</v>
      </c>
      <c r="AP11" s="3">
        <v>-37555800</v>
      </c>
      <c r="AQ11" s="3">
        <v>-53526800</v>
      </c>
      <c r="AR11" s="3">
        <v>-46248000</v>
      </c>
      <c r="AS11" s="3">
        <v>-43206700</v>
      </c>
      <c r="AT11" s="3">
        <v>-2644700</v>
      </c>
      <c r="AU11" s="3">
        <v>-6477300</v>
      </c>
      <c r="AV11" s="3">
        <v>-81307400</v>
      </c>
      <c r="AW11" s="3">
        <v>-40318700</v>
      </c>
      <c r="AX11" s="3">
        <v>-16059500</v>
      </c>
      <c r="AY11" s="3">
        <v>-6442100</v>
      </c>
      <c r="AZ11" s="3">
        <v>-39680500</v>
      </c>
      <c r="BA11" s="3">
        <v>-6585800</v>
      </c>
      <c r="BB11" s="3">
        <v>-5191900</v>
      </c>
      <c r="BC11" s="3">
        <v>-6214200</v>
      </c>
      <c r="BD11" s="3">
        <v>-26751900</v>
      </c>
      <c r="BE11" s="3">
        <v>-10811100</v>
      </c>
      <c r="BF11" s="3">
        <v>-7780900</v>
      </c>
      <c r="BG11" s="3">
        <v>-3890000</v>
      </c>
      <c r="BH11" s="3">
        <v>-2828600</v>
      </c>
      <c r="BI11" s="3">
        <v>-18038700</v>
      </c>
      <c r="BJ11" s="3">
        <v>-6118000</v>
      </c>
      <c r="BK11" s="3">
        <v>-4361000</v>
      </c>
      <c r="BL11" s="3">
        <v>-3746900</v>
      </c>
      <c r="BM11" s="3">
        <v>-3686700</v>
      </c>
      <c r="BN11" s="3">
        <v>-12348200</v>
      </c>
      <c r="BO11" s="3">
        <v>-3211400</v>
      </c>
      <c r="BP11" s="3">
        <v>-6747400</v>
      </c>
      <c r="BQ11" s="3">
        <v>-3805200</v>
      </c>
      <c r="BR11" s="3">
        <v>-7873900</v>
      </c>
      <c r="BS11" s="3">
        <v>-2159900</v>
      </c>
      <c r="BT11" s="3">
        <v>-2211100</v>
      </c>
      <c r="BU11" s="3">
        <v>-2202100</v>
      </c>
      <c r="BV11" s="3">
        <v>-3349200</v>
      </c>
      <c r="BW11" s="3">
        <v>-9248300</v>
      </c>
      <c r="BX11" s="3">
        <v>-2662000</v>
      </c>
      <c r="BY11" s="3" t="s">
        <v>133</v>
      </c>
    </row>
    <row r="12" spans="1:77" x14ac:dyDescent="0.25">
      <c r="A12" s="3" t="s">
        <v>137</v>
      </c>
      <c r="B12" s="3" t="s">
        <v>133</v>
      </c>
      <c r="C12" s="3" t="s">
        <v>133</v>
      </c>
      <c r="D12" s="3" t="s">
        <v>133</v>
      </c>
      <c r="E12" s="3" t="s">
        <v>133</v>
      </c>
      <c r="F12" s="3" t="s">
        <v>133</v>
      </c>
      <c r="G12" s="3" t="s">
        <v>133</v>
      </c>
      <c r="H12" s="3" t="s">
        <v>133</v>
      </c>
      <c r="I12" s="3" t="s">
        <v>133</v>
      </c>
      <c r="J12" s="3" t="s">
        <v>133</v>
      </c>
      <c r="K12" s="3" t="s">
        <v>133</v>
      </c>
      <c r="L12" s="3" t="s">
        <v>133</v>
      </c>
      <c r="M12" s="3" t="s">
        <v>133</v>
      </c>
      <c r="N12" s="3" t="s">
        <v>133</v>
      </c>
      <c r="O12" s="3" t="s">
        <v>133</v>
      </c>
      <c r="P12" s="3" t="s">
        <v>133</v>
      </c>
      <c r="Q12" s="3" t="s">
        <v>133</v>
      </c>
      <c r="R12" s="3" t="s">
        <v>133</v>
      </c>
      <c r="S12" s="3" t="s">
        <v>133</v>
      </c>
      <c r="T12" s="3" t="s">
        <v>133</v>
      </c>
      <c r="U12" s="3" t="s">
        <v>133</v>
      </c>
      <c r="V12" s="3" t="s">
        <v>133</v>
      </c>
      <c r="W12" s="3" t="s">
        <v>133</v>
      </c>
      <c r="X12" s="3" t="s">
        <v>133</v>
      </c>
      <c r="Y12" s="3" t="s">
        <v>133</v>
      </c>
      <c r="Z12" s="3" t="s">
        <v>133</v>
      </c>
      <c r="AA12" s="3" t="s">
        <v>133</v>
      </c>
      <c r="AB12" s="3" t="s">
        <v>133</v>
      </c>
      <c r="AC12" s="3" t="s">
        <v>133</v>
      </c>
      <c r="AD12" s="3" t="s">
        <v>133</v>
      </c>
      <c r="AE12" s="3" t="s">
        <v>133</v>
      </c>
      <c r="AF12" s="3" t="s">
        <v>133</v>
      </c>
      <c r="AG12" s="3" t="s">
        <v>133</v>
      </c>
      <c r="AH12" s="3" t="s">
        <v>133</v>
      </c>
      <c r="AI12" s="3" t="s">
        <v>133</v>
      </c>
      <c r="AJ12" s="3" t="s">
        <v>133</v>
      </c>
      <c r="AK12" s="3" t="s">
        <v>133</v>
      </c>
      <c r="AL12" s="3" t="s">
        <v>133</v>
      </c>
      <c r="AM12" s="3" t="s">
        <v>133</v>
      </c>
      <c r="AN12" s="3" t="s">
        <v>133</v>
      </c>
      <c r="AO12" s="3" t="s">
        <v>133</v>
      </c>
      <c r="AP12" s="3" t="s">
        <v>133</v>
      </c>
      <c r="AQ12" s="3" t="s">
        <v>133</v>
      </c>
      <c r="AR12" s="3" t="s">
        <v>133</v>
      </c>
      <c r="AS12" s="3" t="s">
        <v>133</v>
      </c>
      <c r="AT12" s="3" t="s">
        <v>133</v>
      </c>
      <c r="AU12" s="3" t="s">
        <v>133</v>
      </c>
      <c r="AV12" s="3" t="s">
        <v>133</v>
      </c>
      <c r="AW12" s="3" t="s">
        <v>133</v>
      </c>
      <c r="AX12" s="3" t="s">
        <v>133</v>
      </c>
      <c r="AY12" s="3" t="s">
        <v>133</v>
      </c>
      <c r="AZ12" s="3" t="s">
        <v>133</v>
      </c>
      <c r="BA12" s="3" t="s">
        <v>133</v>
      </c>
      <c r="BB12" s="3" t="s">
        <v>133</v>
      </c>
      <c r="BC12" s="3" t="s">
        <v>133</v>
      </c>
      <c r="BD12" s="3" t="s">
        <v>133</v>
      </c>
      <c r="BE12" s="3" t="s">
        <v>133</v>
      </c>
      <c r="BF12" s="3" t="s">
        <v>133</v>
      </c>
      <c r="BG12" s="3" t="s">
        <v>133</v>
      </c>
      <c r="BH12" s="3" t="s">
        <v>133</v>
      </c>
      <c r="BI12" s="3" t="s">
        <v>133</v>
      </c>
      <c r="BJ12" s="3" t="s">
        <v>133</v>
      </c>
      <c r="BK12" s="3" t="s">
        <v>133</v>
      </c>
      <c r="BL12" s="3" t="s">
        <v>133</v>
      </c>
      <c r="BM12" s="3" t="s">
        <v>133</v>
      </c>
      <c r="BN12" s="3" t="s">
        <v>133</v>
      </c>
      <c r="BO12" s="3" t="s">
        <v>133</v>
      </c>
      <c r="BP12" s="3" t="s">
        <v>133</v>
      </c>
      <c r="BQ12" s="3" t="s">
        <v>133</v>
      </c>
      <c r="BR12" s="3" t="s">
        <v>133</v>
      </c>
      <c r="BS12" s="3" t="s">
        <v>133</v>
      </c>
      <c r="BT12" s="3" t="s">
        <v>133</v>
      </c>
      <c r="BU12" s="3" t="s">
        <v>133</v>
      </c>
      <c r="BV12" s="3" t="s">
        <v>133</v>
      </c>
      <c r="BW12" s="3" t="s">
        <v>133</v>
      </c>
      <c r="BX12" s="3" t="s">
        <v>133</v>
      </c>
      <c r="BY12" s="3" t="s">
        <v>133</v>
      </c>
    </row>
    <row r="13" spans="1:77" x14ac:dyDescent="0.25">
      <c r="A13" s="3" t="s">
        <v>138</v>
      </c>
      <c r="B13" s="3">
        <v>85377600</v>
      </c>
      <c r="C13" s="3">
        <v>71128800</v>
      </c>
      <c r="D13" s="3">
        <v>7361400</v>
      </c>
      <c r="E13" s="3">
        <v>11624600</v>
      </c>
      <c r="F13" s="3">
        <v>1773100</v>
      </c>
      <c r="G13" s="3">
        <v>3951000</v>
      </c>
      <c r="H13" s="3">
        <v>3318600</v>
      </c>
      <c r="I13" s="3">
        <v>5942200</v>
      </c>
      <c r="J13" s="3">
        <v>1947500</v>
      </c>
      <c r="K13" s="3">
        <v>1858100</v>
      </c>
      <c r="L13" s="3">
        <v>4663000</v>
      </c>
      <c r="M13" s="3">
        <v>17529200</v>
      </c>
      <c r="N13" s="3" t="s">
        <v>133</v>
      </c>
      <c r="O13" s="3" t="s">
        <v>133</v>
      </c>
      <c r="P13" s="3" t="s">
        <v>133</v>
      </c>
      <c r="Q13" s="3" t="s">
        <v>133</v>
      </c>
      <c r="R13" s="3" t="s">
        <v>133</v>
      </c>
      <c r="S13" s="3" t="s">
        <v>133</v>
      </c>
      <c r="T13" s="3" t="s">
        <v>133</v>
      </c>
      <c r="U13" s="3" t="s">
        <v>133</v>
      </c>
      <c r="V13" s="3" t="s">
        <v>133</v>
      </c>
      <c r="W13" s="3" t="s">
        <v>133</v>
      </c>
      <c r="X13" s="3" t="s">
        <v>133</v>
      </c>
      <c r="Y13" s="3" t="s">
        <v>133</v>
      </c>
      <c r="Z13" s="3" t="s">
        <v>133</v>
      </c>
      <c r="AA13" s="3" t="s">
        <v>133</v>
      </c>
      <c r="AB13" s="3" t="s">
        <v>133</v>
      </c>
      <c r="AC13" s="3" t="s">
        <v>133</v>
      </c>
      <c r="AD13" s="3" t="s">
        <v>133</v>
      </c>
      <c r="AE13" s="3" t="s">
        <v>133</v>
      </c>
      <c r="AF13" s="3" t="s">
        <v>133</v>
      </c>
      <c r="AG13" s="3" t="s">
        <v>133</v>
      </c>
      <c r="AH13" s="3" t="s">
        <v>133</v>
      </c>
      <c r="AI13" s="3" t="s">
        <v>133</v>
      </c>
      <c r="AJ13" s="3" t="s">
        <v>133</v>
      </c>
      <c r="AK13" s="3" t="s">
        <v>133</v>
      </c>
      <c r="AL13" s="3" t="s">
        <v>133</v>
      </c>
      <c r="AM13" s="3" t="s">
        <v>133</v>
      </c>
      <c r="AN13" s="3" t="s">
        <v>133</v>
      </c>
      <c r="AO13" s="3" t="s">
        <v>133</v>
      </c>
      <c r="AP13" s="3" t="s">
        <v>133</v>
      </c>
      <c r="AQ13" s="3" t="s">
        <v>133</v>
      </c>
      <c r="AR13" s="3" t="s">
        <v>133</v>
      </c>
      <c r="AS13" s="3" t="s">
        <v>133</v>
      </c>
      <c r="AT13" s="3" t="s">
        <v>133</v>
      </c>
      <c r="AU13" s="3" t="s">
        <v>133</v>
      </c>
      <c r="AV13" s="3" t="s">
        <v>133</v>
      </c>
      <c r="AW13" s="3" t="s">
        <v>133</v>
      </c>
      <c r="AX13" s="3" t="s">
        <v>133</v>
      </c>
      <c r="AY13" s="3" t="s">
        <v>133</v>
      </c>
      <c r="AZ13" s="3" t="s">
        <v>133</v>
      </c>
      <c r="BA13" s="3" t="s">
        <v>133</v>
      </c>
      <c r="BB13" s="3" t="s">
        <v>133</v>
      </c>
      <c r="BC13" s="3" t="s">
        <v>133</v>
      </c>
      <c r="BD13" s="3" t="s">
        <v>133</v>
      </c>
      <c r="BE13" s="3" t="s">
        <v>133</v>
      </c>
      <c r="BF13" s="3" t="s">
        <v>133</v>
      </c>
      <c r="BG13" s="3" t="s">
        <v>133</v>
      </c>
      <c r="BH13" s="3" t="s">
        <v>133</v>
      </c>
      <c r="BI13" s="3" t="s">
        <v>133</v>
      </c>
      <c r="BJ13" s="3" t="s">
        <v>133</v>
      </c>
      <c r="BK13" s="3" t="s">
        <v>133</v>
      </c>
      <c r="BL13" s="3" t="s">
        <v>133</v>
      </c>
      <c r="BM13" s="3" t="s">
        <v>133</v>
      </c>
      <c r="BN13" s="3" t="s">
        <v>133</v>
      </c>
      <c r="BO13" s="3" t="s">
        <v>133</v>
      </c>
      <c r="BP13" s="3" t="s">
        <v>133</v>
      </c>
      <c r="BQ13" s="3" t="s">
        <v>133</v>
      </c>
      <c r="BR13" s="3" t="s">
        <v>133</v>
      </c>
      <c r="BS13" s="3" t="s">
        <v>133</v>
      </c>
      <c r="BT13" s="3" t="s">
        <v>133</v>
      </c>
      <c r="BU13" s="3" t="s">
        <v>133</v>
      </c>
      <c r="BV13" s="3" t="s">
        <v>133</v>
      </c>
      <c r="BW13" s="3" t="s">
        <v>133</v>
      </c>
      <c r="BX13" s="3" t="s">
        <v>133</v>
      </c>
      <c r="BY13" s="3" t="s">
        <v>133</v>
      </c>
    </row>
    <row r="14" spans="1:77" x14ac:dyDescent="0.25">
      <c r="A14" s="3" t="s">
        <v>139</v>
      </c>
      <c r="B14" s="3" t="s">
        <v>133</v>
      </c>
      <c r="C14" s="3" t="s">
        <v>133</v>
      </c>
      <c r="D14" s="3" t="s">
        <v>133</v>
      </c>
      <c r="E14" s="3" t="s">
        <v>133</v>
      </c>
      <c r="F14" s="3" t="s">
        <v>133</v>
      </c>
      <c r="G14" s="3" t="s">
        <v>133</v>
      </c>
      <c r="H14" s="3" t="s">
        <v>133</v>
      </c>
      <c r="I14" s="3">
        <v>-2510900</v>
      </c>
      <c r="J14" s="3">
        <v>-2442500</v>
      </c>
      <c r="K14" s="3">
        <v>-3501700</v>
      </c>
      <c r="L14" s="3">
        <v>2280400</v>
      </c>
      <c r="M14" s="3">
        <v>151500</v>
      </c>
      <c r="N14" s="3">
        <v>-5000000</v>
      </c>
      <c r="O14" s="3">
        <v>2151200</v>
      </c>
      <c r="P14" s="3">
        <v>-5356400</v>
      </c>
      <c r="Q14" s="3">
        <v>6836400</v>
      </c>
      <c r="R14" s="3">
        <v>-45300</v>
      </c>
      <c r="S14" s="3">
        <v>2556700</v>
      </c>
      <c r="T14" s="3">
        <v>2979600</v>
      </c>
      <c r="U14" s="3">
        <v>-690800</v>
      </c>
      <c r="V14" s="3">
        <v>-253800</v>
      </c>
      <c r="W14" s="3">
        <v>605200</v>
      </c>
      <c r="X14" s="3">
        <v>-200800</v>
      </c>
      <c r="Y14" s="3">
        <v>39500</v>
      </c>
      <c r="Z14" s="3">
        <v>150000</v>
      </c>
      <c r="AA14" s="3">
        <v>1003900</v>
      </c>
      <c r="AB14" s="3">
        <v>-760600</v>
      </c>
      <c r="AC14" s="3">
        <v>-185700</v>
      </c>
      <c r="AD14" s="3">
        <v>250000</v>
      </c>
      <c r="AE14" s="3" t="s">
        <v>133</v>
      </c>
      <c r="AF14" s="3" t="s">
        <v>133</v>
      </c>
      <c r="AG14" s="3">
        <v>2023400</v>
      </c>
      <c r="AH14" s="3" t="s">
        <v>133</v>
      </c>
      <c r="AI14" s="3" t="s">
        <v>133</v>
      </c>
      <c r="AJ14" s="3" t="s">
        <v>133</v>
      </c>
      <c r="AK14" s="3">
        <v>-903000</v>
      </c>
      <c r="AL14" s="3">
        <v>-29400</v>
      </c>
      <c r="AM14" s="3" t="s">
        <v>133</v>
      </c>
      <c r="AN14" s="3" t="s">
        <v>133</v>
      </c>
      <c r="AO14" s="3">
        <v>-5864800</v>
      </c>
      <c r="AP14" s="3">
        <v>21200</v>
      </c>
      <c r="AQ14" s="3">
        <v>2758600</v>
      </c>
      <c r="AR14" s="3">
        <v>18000</v>
      </c>
      <c r="AS14" s="3">
        <v>-742700</v>
      </c>
      <c r="AT14" s="3" t="s">
        <v>133</v>
      </c>
      <c r="AU14" s="3" t="s">
        <v>133</v>
      </c>
      <c r="AV14" s="3" t="s">
        <v>133</v>
      </c>
      <c r="AW14" s="3">
        <v>1861200</v>
      </c>
      <c r="AX14" s="3" t="s">
        <v>133</v>
      </c>
      <c r="AY14" s="3" t="s">
        <v>133</v>
      </c>
      <c r="AZ14" s="3" t="s">
        <v>133</v>
      </c>
      <c r="BA14" s="3">
        <v>-1932300</v>
      </c>
      <c r="BB14" s="3" t="s">
        <v>133</v>
      </c>
      <c r="BC14" s="3" t="s">
        <v>133</v>
      </c>
      <c r="BD14" s="3" t="s">
        <v>133</v>
      </c>
      <c r="BE14" s="3" t="s">
        <v>133</v>
      </c>
      <c r="BF14" s="3" t="s">
        <v>133</v>
      </c>
      <c r="BG14" s="3" t="s">
        <v>133</v>
      </c>
      <c r="BH14" s="3" t="s">
        <v>133</v>
      </c>
      <c r="BI14" s="3" t="s">
        <v>133</v>
      </c>
      <c r="BJ14" s="3" t="s">
        <v>133</v>
      </c>
      <c r="BK14" s="3" t="s">
        <v>133</v>
      </c>
      <c r="BL14" s="3" t="s">
        <v>133</v>
      </c>
      <c r="BM14" s="3" t="s">
        <v>133</v>
      </c>
      <c r="BN14" s="3" t="s">
        <v>133</v>
      </c>
      <c r="BO14" s="3" t="s">
        <v>133</v>
      </c>
      <c r="BP14" s="3" t="s">
        <v>133</v>
      </c>
      <c r="BQ14" s="3" t="s">
        <v>133</v>
      </c>
      <c r="BR14" s="3" t="s">
        <v>133</v>
      </c>
      <c r="BS14" s="3" t="s">
        <v>133</v>
      </c>
      <c r="BT14" s="3" t="s">
        <v>133</v>
      </c>
      <c r="BU14" s="3" t="s">
        <v>133</v>
      </c>
      <c r="BV14" s="3" t="s">
        <v>133</v>
      </c>
      <c r="BW14" s="3" t="s">
        <v>133</v>
      </c>
      <c r="BX14" s="3" t="s">
        <v>133</v>
      </c>
      <c r="BY14" s="3" t="s">
        <v>133</v>
      </c>
    </row>
    <row r="15" spans="1:77" x14ac:dyDescent="0.25">
      <c r="A15" s="3" t="s">
        <v>140</v>
      </c>
      <c r="B15" s="3">
        <v>-1243100</v>
      </c>
      <c r="C15" s="3">
        <v>76287500</v>
      </c>
      <c r="D15" s="3">
        <v>180300</v>
      </c>
      <c r="E15" s="3">
        <v>-2130300</v>
      </c>
      <c r="F15" s="3">
        <v>-4251300</v>
      </c>
      <c r="G15" s="3">
        <v>11705700</v>
      </c>
      <c r="H15" s="3">
        <v>-10700</v>
      </c>
      <c r="I15" s="3" t="s">
        <v>133</v>
      </c>
      <c r="J15" s="3" t="s">
        <v>133</v>
      </c>
      <c r="K15" s="3" t="s">
        <v>133</v>
      </c>
      <c r="L15" s="3" t="s">
        <v>133</v>
      </c>
      <c r="M15" s="3" t="s">
        <v>133</v>
      </c>
      <c r="N15" s="3" t="s">
        <v>133</v>
      </c>
      <c r="O15" s="3" t="s">
        <v>133</v>
      </c>
      <c r="P15" s="3" t="s">
        <v>133</v>
      </c>
      <c r="Q15" s="3" t="s">
        <v>133</v>
      </c>
      <c r="R15" s="3" t="s">
        <v>133</v>
      </c>
      <c r="S15" s="3" t="s">
        <v>133</v>
      </c>
      <c r="T15" s="3" t="s">
        <v>133</v>
      </c>
      <c r="U15" s="3" t="s">
        <v>133</v>
      </c>
      <c r="V15" s="3" t="s">
        <v>133</v>
      </c>
      <c r="W15" s="3" t="s">
        <v>133</v>
      </c>
      <c r="X15" s="3" t="s">
        <v>133</v>
      </c>
      <c r="Y15" s="3" t="s">
        <v>133</v>
      </c>
      <c r="Z15" s="3" t="s">
        <v>133</v>
      </c>
      <c r="AA15" s="3" t="s">
        <v>133</v>
      </c>
      <c r="AB15" s="3" t="s">
        <v>133</v>
      </c>
      <c r="AC15" s="3" t="s">
        <v>133</v>
      </c>
      <c r="AD15" s="3" t="s">
        <v>133</v>
      </c>
      <c r="AE15" s="3" t="s">
        <v>133</v>
      </c>
      <c r="AF15" s="3" t="s">
        <v>133</v>
      </c>
      <c r="AG15" s="3" t="s">
        <v>133</v>
      </c>
      <c r="AH15" s="3" t="s">
        <v>133</v>
      </c>
      <c r="AI15" s="3" t="s">
        <v>133</v>
      </c>
      <c r="AJ15" s="3" t="s">
        <v>133</v>
      </c>
      <c r="AK15" s="3" t="s">
        <v>133</v>
      </c>
      <c r="AL15" s="3" t="s">
        <v>133</v>
      </c>
      <c r="AM15" s="3" t="s">
        <v>133</v>
      </c>
      <c r="AN15" s="3" t="s">
        <v>133</v>
      </c>
      <c r="AO15" s="3" t="s">
        <v>133</v>
      </c>
      <c r="AP15" s="3" t="s">
        <v>133</v>
      </c>
      <c r="AQ15" s="3" t="s">
        <v>133</v>
      </c>
      <c r="AR15" s="3" t="s">
        <v>133</v>
      </c>
      <c r="AS15" s="3" t="s">
        <v>133</v>
      </c>
      <c r="AT15" s="3" t="s">
        <v>133</v>
      </c>
      <c r="AU15" s="3" t="s">
        <v>133</v>
      </c>
      <c r="AV15" s="3" t="s">
        <v>133</v>
      </c>
      <c r="AW15" s="3" t="s">
        <v>133</v>
      </c>
      <c r="AX15" s="3" t="s">
        <v>133</v>
      </c>
      <c r="AY15" s="3" t="s">
        <v>133</v>
      </c>
      <c r="AZ15" s="3" t="s">
        <v>133</v>
      </c>
      <c r="BA15" s="3" t="s">
        <v>133</v>
      </c>
      <c r="BB15" s="3" t="s">
        <v>133</v>
      </c>
      <c r="BC15" s="3" t="s">
        <v>133</v>
      </c>
      <c r="BD15" s="3" t="s">
        <v>133</v>
      </c>
      <c r="BE15" s="3" t="s">
        <v>133</v>
      </c>
      <c r="BF15" s="3" t="s">
        <v>133</v>
      </c>
      <c r="BG15" s="3" t="s">
        <v>133</v>
      </c>
      <c r="BH15" s="3" t="s">
        <v>133</v>
      </c>
      <c r="BI15" s="3" t="s">
        <v>133</v>
      </c>
      <c r="BJ15" s="3" t="s">
        <v>133</v>
      </c>
      <c r="BK15" s="3" t="s">
        <v>133</v>
      </c>
      <c r="BL15" s="3" t="s">
        <v>133</v>
      </c>
      <c r="BM15" s="3" t="s">
        <v>133</v>
      </c>
      <c r="BN15" s="3" t="s">
        <v>133</v>
      </c>
      <c r="BO15" s="3" t="s">
        <v>133</v>
      </c>
      <c r="BP15" s="3" t="s">
        <v>133</v>
      </c>
      <c r="BQ15" s="3" t="s">
        <v>133</v>
      </c>
      <c r="BR15" s="3" t="s">
        <v>133</v>
      </c>
      <c r="BS15" s="3" t="s">
        <v>133</v>
      </c>
      <c r="BT15" s="3" t="s">
        <v>133</v>
      </c>
      <c r="BU15" s="3" t="s">
        <v>133</v>
      </c>
      <c r="BV15" s="3" t="s">
        <v>133</v>
      </c>
      <c r="BW15" s="3" t="s">
        <v>133</v>
      </c>
      <c r="BX15" s="3" t="s">
        <v>133</v>
      </c>
      <c r="BY15" s="3" t="s">
        <v>133</v>
      </c>
    </row>
    <row r="16" spans="1:77" x14ac:dyDescent="0.25">
      <c r="A16" s="3" t="s">
        <v>141</v>
      </c>
      <c r="B16" s="3">
        <v>-999400</v>
      </c>
      <c r="C16" s="3">
        <v>10093800</v>
      </c>
      <c r="D16" s="3">
        <v>-2776700</v>
      </c>
      <c r="E16" s="3">
        <v>94987900</v>
      </c>
      <c r="F16" s="3">
        <v>-114916400</v>
      </c>
      <c r="G16" s="3" t="s">
        <v>133</v>
      </c>
      <c r="H16" s="3" t="s">
        <v>133</v>
      </c>
      <c r="I16" s="3" t="s">
        <v>133</v>
      </c>
      <c r="J16" s="3" t="s">
        <v>133</v>
      </c>
      <c r="K16" s="3" t="s">
        <v>133</v>
      </c>
      <c r="L16" s="3" t="s">
        <v>133</v>
      </c>
      <c r="M16" s="3" t="s">
        <v>133</v>
      </c>
      <c r="N16" s="3" t="s">
        <v>133</v>
      </c>
      <c r="O16" s="3" t="s">
        <v>133</v>
      </c>
      <c r="P16" s="3" t="s">
        <v>133</v>
      </c>
      <c r="Q16" s="3" t="s">
        <v>133</v>
      </c>
      <c r="R16" s="3" t="s">
        <v>133</v>
      </c>
      <c r="S16" s="3" t="s">
        <v>133</v>
      </c>
      <c r="T16" s="3" t="s">
        <v>133</v>
      </c>
      <c r="U16" s="3" t="s">
        <v>133</v>
      </c>
      <c r="V16" s="3" t="s">
        <v>133</v>
      </c>
      <c r="W16" s="3" t="s">
        <v>133</v>
      </c>
      <c r="X16" s="3" t="s">
        <v>133</v>
      </c>
      <c r="Y16" s="3" t="s">
        <v>133</v>
      </c>
      <c r="Z16" s="3" t="s">
        <v>133</v>
      </c>
      <c r="AA16" s="3" t="s">
        <v>133</v>
      </c>
      <c r="AB16" s="3" t="s">
        <v>133</v>
      </c>
      <c r="AC16" s="3" t="s">
        <v>133</v>
      </c>
      <c r="AD16" s="3" t="s">
        <v>133</v>
      </c>
      <c r="AE16" s="3" t="s">
        <v>133</v>
      </c>
      <c r="AF16" s="3" t="s">
        <v>133</v>
      </c>
      <c r="AG16" s="3" t="s">
        <v>133</v>
      </c>
      <c r="AH16" s="3" t="s">
        <v>133</v>
      </c>
      <c r="AI16" s="3" t="s">
        <v>133</v>
      </c>
      <c r="AJ16" s="3" t="s">
        <v>133</v>
      </c>
      <c r="AK16" s="3" t="s">
        <v>133</v>
      </c>
      <c r="AL16" s="3" t="s">
        <v>133</v>
      </c>
      <c r="AM16" s="3" t="s">
        <v>133</v>
      </c>
      <c r="AN16" s="3" t="s">
        <v>133</v>
      </c>
      <c r="AO16" s="3" t="s">
        <v>133</v>
      </c>
      <c r="AP16" s="3" t="s">
        <v>133</v>
      </c>
      <c r="AQ16" s="3" t="s">
        <v>133</v>
      </c>
      <c r="AR16" s="3" t="s">
        <v>133</v>
      </c>
      <c r="AS16" s="3" t="s">
        <v>133</v>
      </c>
      <c r="AT16" s="3" t="s">
        <v>133</v>
      </c>
      <c r="AU16" s="3" t="s">
        <v>133</v>
      </c>
      <c r="AV16" s="3" t="s">
        <v>133</v>
      </c>
      <c r="AW16" s="3" t="s">
        <v>133</v>
      </c>
      <c r="AX16" s="3" t="s">
        <v>133</v>
      </c>
      <c r="AY16" s="3" t="s">
        <v>133</v>
      </c>
      <c r="AZ16" s="3" t="s">
        <v>133</v>
      </c>
      <c r="BA16" s="3" t="s">
        <v>133</v>
      </c>
      <c r="BB16" s="3" t="s">
        <v>133</v>
      </c>
      <c r="BC16" s="3" t="s">
        <v>133</v>
      </c>
      <c r="BD16" s="3" t="s">
        <v>133</v>
      </c>
      <c r="BE16" s="3" t="s">
        <v>133</v>
      </c>
      <c r="BF16" s="3" t="s">
        <v>133</v>
      </c>
      <c r="BG16" s="3" t="s">
        <v>133</v>
      </c>
      <c r="BH16" s="3" t="s">
        <v>133</v>
      </c>
      <c r="BI16" s="3" t="s">
        <v>133</v>
      </c>
      <c r="BJ16" s="3" t="s">
        <v>133</v>
      </c>
      <c r="BK16" s="3" t="s">
        <v>133</v>
      </c>
      <c r="BL16" s="3" t="s">
        <v>133</v>
      </c>
      <c r="BM16" s="3" t="s">
        <v>133</v>
      </c>
      <c r="BN16" s="3" t="s">
        <v>133</v>
      </c>
      <c r="BO16" s="3" t="s">
        <v>133</v>
      </c>
      <c r="BP16" s="3" t="s">
        <v>133</v>
      </c>
      <c r="BQ16" s="3" t="s">
        <v>133</v>
      </c>
      <c r="BR16" s="3" t="s">
        <v>133</v>
      </c>
      <c r="BS16" s="3" t="s">
        <v>133</v>
      </c>
      <c r="BT16" s="3" t="s">
        <v>133</v>
      </c>
      <c r="BU16" s="3" t="s">
        <v>133</v>
      </c>
      <c r="BV16" s="3" t="s">
        <v>133</v>
      </c>
      <c r="BW16" s="3" t="s">
        <v>133</v>
      </c>
      <c r="BX16" s="3" t="s">
        <v>133</v>
      </c>
      <c r="BY16" s="3" t="s">
        <v>133</v>
      </c>
    </row>
    <row r="17" spans="1:77" x14ac:dyDescent="0.25">
      <c r="A17" s="3" t="s">
        <v>142</v>
      </c>
      <c r="B17" s="3" t="s">
        <v>133</v>
      </c>
      <c r="C17" s="3" t="s">
        <v>133</v>
      </c>
      <c r="D17" s="3" t="s">
        <v>133</v>
      </c>
      <c r="E17" s="3" t="s">
        <v>133</v>
      </c>
      <c r="F17" s="3" t="s">
        <v>133</v>
      </c>
      <c r="G17" s="3" t="s">
        <v>133</v>
      </c>
      <c r="H17" s="3" t="s">
        <v>133</v>
      </c>
      <c r="I17" s="3" t="s">
        <v>133</v>
      </c>
      <c r="J17" s="3" t="s">
        <v>133</v>
      </c>
      <c r="K17" s="3" t="s">
        <v>133</v>
      </c>
      <c r="L17" s="3" t="s">
        <v>133</v>
      </c>
      <c r="M17" s="3" t="s">
        <v>133</v>
      </c>
      <c r="N17" s="3" t="s">
        <v>133</v>
      </c>
      <c r="O17" s="3" t="s">
        <v>133</v>
      </c>
      <c r="P17" s="3" t="s">
        <v>133</v>
      </c>
      <c r="Q17" s="3" t="s">
        <v>133</v>
      </c>
      <c r="R17" s="3" t="s">
        <v>133</v>
      </c>
      <c r="S17" s="3" t="s">
        <v>133</v>
      </c>
      <c r="T17" s="3" t="s">
        <v>133</v>
      </c>
      <c r="U17" s="3">
        <v>357.04</v>
      </c>
      <c r="V17" s="3">
        <v>526750</v>
      </c>
      <c r="W17" s="3">
        <v>3010000</v>
      </c>
      <c r="X17" s="3">
        <v>332169.86</v>
      </c>
      <c r="Y17" s="3">
        <v>85265.75</v>
      </c>
      <c r="Z17" s="3" t="s">
        <v>133</v>
      </c>
      <c r="AA17" s="3" t="s">
        <v>133</v>
      </c>
      <c r="AB17" s="3" t="s">
        <v>133</v>
      </c>
      <c r="AC17" s="3" t="s">
        <v>133</v>
      </c>
      <c r="AD17" s="3" t="s">
        <v>133</v>
      </c>
      <c r="AE17" s="3" t="s">
        <v>133</v>
      </c>
      <c r="AF17" s="3" t="s">
        <v>133</v>
      </c>
      <c r="AG17" s="3" t="s">
        <v>133</v>
      </c>
      <c r="AH17" s="3" t="s">
        <v>133</v>
      </c>
      <c r="AI17" s="3">
        <v>3010000</v>
      </c>
      <c r="AJ17" s="3">
        <v>93250</v>
      </c>
      <c r="AK17" s="3">
        <v>93250</v>
      </c>
      <c r="AL17" s="3">
        <v>93250</v>
      </c>
      <c r="AM17" s="3">
        <v>3103250</v>
      </c>
      <c r="AN17" s="3">
        <v>93250</v>
      </c>
      <c r="AO17" s="3">
        <v>93250</v>
      </c>
      <c r="AP17" s="3">
        <v>93250</v>
      </c>
      <c r="AQ17" s="3" t="s">
        <v>133</v>
      </c>
      <c r="AR17" s="3" t="s">
        <v>133</v>
      </c>
      <c r="AS17" s="3">
        <v>237325</v>
      </c>
      <c r="AT17" s="3">
        <v>237325</v>
      </c>
      <c r="AU17" s="3">
        <v>433722.26</v>
      </c>
      <c r="AV17" s="3">
        <v>301075</v>
      </c>
      <c r="AW17" s="3">
        <v>301075</v>
      </c>
      <c r="AX17" s="3">
        <v>301075</v>
      </c>
      <c r="AY17" s="3">
        <v>301075</v>
      </c>
      <c r="AZ17" s="3">
        <v>419025</v>
      </c>
      <c r="BA17" s="3">
        <v>955000</v>
      </c>
      <c r="BB17" s="3" t="s">
        <v>133</v>
      </c>
      <c r="BC17" s="3" t="s">
        <v>133</v>
      </c>
      <c r="BD17" s="3" t="s">
        <v>133</v>
      </c>
      <c r="BE17" s="3" t="s">
        <v>133</v>
      </c>
      <c r="BF17" s="3" t="s">
        <v>133</v>
      </c>
      <c r="BG17" s="3" t="s">
        <v>133</v>
      </c>
      <c r="BH17" s="3" t="s">
        <v>133</v>
      </c>
      <c r="BI17" s="3">
        <v>404235.37</v>
      </c>
      <c r="BJ17" s="3" t="s">
        <v>133</v>
      </c>
      <c r="BK17" s="3">
        <v>211376.83</v>
      </c>
      <c r="BL17" s="3">
        <v>-187658.6</v>
      </c>
      <c r="BM17" s="3" t="s">
        <v>133</v>
      </c>
      <c r="BN17" s="3" t="s">
        <v>133</v>
      </c>
      <c r="BO17" s="3" t="s">
        <v>133</v>
      </c>
      <c r="BP17" s="3" t="s">
        <v>133</v>
      </c>
      <c r="BQ17" s="3" t="s">
        <v>133</v>
      </c>
      <c r="BR17" s="3" t="s">
        <v>133</v>
      </c>
      <c r="BS17" s="3" t="s">
        <v>133</v>
      </c>
      <c r="BT17" s="3" t="s">
        <v>133</v>
      </c>
      <c r="BU17" s="3" t="s">
        <v>133</v>
      </c>
      <c r="BV17" s="3" t="s">
        <v>133</v>
      </c>
      <c r="BW17" s="3" t="s">
        <v>133</v>
      </c>
      <c r="BX17" s="3" t="s">
        <v>133</v>
      </c>
      <c r="BY17" s="3" t="s">
        <v>133</v>
      </c>
    </row>
    <row r="18" spans="1:77" x14ac:dyDescent="0.25">
      <c r="A18" s="3" t="s">
        <v>143</v>
      </c>
      <c r="B18" s="3" t="s">
        <v>133</v>
      </c>
      <c r="C18" s="3" t="s">
        <v>133</v>
      </c>
      <c r="D18" s="3" t="s">
        <v>133</v>
      </c>
      <c r="E18" s="3" t="s">
        <v>133</v>
      </c>
      <c r="F18" s="3" t="s">
        <v>133</v>
      </c>
      <c r="G18" s="3" t="s">
        <v>133</v>
      </c>
      <c r="H18" s="3" t="s">
        <v>133</v>
      </c>
      <c r="I18" s="3" t="s">
        <v>133</v>
      </c>
      <c r="J18" s="3" t="s">
        <v>133</v>
      </c>
      <c r="K18" s="3" t="s">
        <v>133</v>
      </c>
      <c r="L18" s="3" t="s">
        <v>133</v>
      </c>
      <c r="M18" s="3" t="s">
        <v>133</v>
      </c>
      <c r="N18" s="3" t="s">
        <v>133</v>
      </c>
      <c r="O18" s="3" t="s">
        <v>133</v>
      </c>
      <c r="P18" s="3" t="s">
        <v>133</v>
      </c>
      <c r="Q18" s="3" t="s">
        <v>133</v>
      </c>
      <c r="R18" s="3" t="s">
        <v>133</v>
      </c>
      <c r="S18" s="3" t="s">
        <v>133</v>
      </c>
      <c r="T18" s="3" t="s">
        <v>133</v>
      </c>
      <c r="U18" s="3" t="s">
        <v>133</v>
      </c>
      <c r="V18" s="3" t="s">
        <v>133</v>
      </c>
      <c r="W18" s="3" t="s">
        <v>133</v>
      </c>
      <c r="X18" s="3" t="s">
        <v>133</v>
      </c>
      <c r="Y18" s="3" t="s">
        <v>133</v>
      </c>
      <c r="Z18" s="3" t="s">
        <v>133</v>
      </c>
      <c r="AA18" s="3" t="s">
        <v>133</v>
      </c>
      <c r="AB18" s="3" t="s">
        <v>133</v>
      </c>
      <c r="AC18" s="3" t="s">
        <v>133</v>
      </c>
      <c r="AD18" s="3" t="s">
        <v>133</v>
      </c>
      <c r="AE18" s="3" t="s">
        <v>133</v>
      </c>
      <c r="AF18" s="3" t="s">
        <v>133</v>
      </c>
      <c r="AG18" s="3" t="s">
        <v>133</v>
      </c>
      <c r="AH18" s="3" t="s">
        <v>133</v>
      </c>
      <c r="AI18" s="3" t="s">
        <v>133</v>
      </c>
      <c r="AJ18" s="3" t="s">
        <v>133</v>
      </c>
      <c r="AK18" s="3" t="s">
        <v>133</v>
      </c>
      <c r="AL18" s="3" t="s">
        <v>133</v>
      </c>
      <c r="AM18" s="3" t="s">
        <v>133</v>
      </c>
      <c r="AN18" s="3" t="s">
        <v>133</v>
      </c>
      <c r="AO18" s="3" t="s">
        <v>133</v>
      </c>
      <c r="AP18" s="3" t="s">
        <v>133</v>
      </c>
      <c r="AQ18" s="3" t="s">
        <v>133</v>
      </c>
      <c r="AR18" s="3" t="s">
        <v>133</v>
      </c>
      <c r="AS18" s="3" t="s">
        <v>133</v>
      </c>
      <c r="AT18" s="3" t="s">
        <v>133</v>
      </c>
      <c r="AU18" s="3" t="s">
        <v>133</v>
      </c>
      <c r="AV18" s="3" t="s">
        <v>133</v>
      </c>
      <c r="AW18" s="3" t="s">
        <v>133</v>
      </c>
      <c r="AX18" s="3" t="s">
        <v>133</v>
      </c>
      <c r="AY18" s="3" t="s">
        <v>133</v>
      </c>
      <c r="AZ18" s="3" t="s">
        <v>133</v>
      </c>
      <c r="BA18" s="3" t="s">
        <v>133</v>
      </c>
      <c r="BB18" s="3" t="s">
        <v>133</v>
      </c>
      <c r="BC18" s="3" t="s">
        <v>133</v>
      </c>
      <c r="BD18" s="3" t="s">
        <v>133</v>
      </c>
      <c r="BE18" s="3" t="s">
        <v>133</v>
      </c>
      <c r="BF18" s="3" t="s">
        <v>133</v>
      </c>
      <c r="BG18" s="3" t="s">
        <v>133</v>
      </c>
      <c r="BH18" s="3" t="s">
        <v>133</v>
      </c>
      <c r="BI18" s="3" t="s">
        <v>133</v>
      </c>
      <c r="BJ18" s="3" t="s">
        <v>133</v>
      </c>
      <c r="BK18" s="3" t="s">
        <v>133</v>
      </c>
      <c r="BL18" s="3" t="s">
        <v>133</v>
      </c>
      <c r="BM18" s="3" t="s">
        <v>133</v>
      </c>
      <c r="BN18" s="3" t="s">
        <v>133</v>
      </c>
      <c r="BO18" s="3" t="s">
        <v>133</v>
      </c>
      <c r="BP18" s="3" t="s">
        <v>133</v>
      </c>
      <c r="BQ18" s="3" t="s">
        <v>133</v>
      </c>
      <c r="BR18" s="3" t="s">
        <v>133</v>
      </c>
      <c r="BS18" s="3" t="s">
        <v>133</v>
      </c>
      <c r="BT18" s="3" t="s">
        <v>133</v>
      </c>
      <c r="BU18" s="3" t="s">
        <v>133</v>
      </c>
      <c r="BV18" s="3" t="s">
        <v>133</v>
      </c>
      <c r="BW18" s="3" t="s">
        <v>133</v>
      </c>
      <c r="BX18" s="3" t="s">
        <v>133</v>
      </c>
      <c r="BY18" s="3" t="s">
        <v>133</v>
      </c>
    </row>
    <row r="19" spans="1:77" x14ac:dyDescent="0.25">
      <c r="A19" s="3" t="s">
        <v>144</v>
      </c>
      <c r="B19" s="3">
        <v>968800</v>
      </c>
      <c r="C19" s="3">
        <v>8703600</v>
      </c>
      <c r="D19" s="3">
        <v>2843200</v>
      </c>
      <c r="E19" s="3" t="s">
        <v>133</v>
      </c>
      <c r="F19" s="3" t="s">
        <v>133</v>
      </c>
      <c r="G19" s="3" t="s">
        <v>133</v>
      </c>
      <c r="H19" s="3" t="s">
        <v>133</v>
      </c>
      <c r="I19" s="3" t="s">
        <v>133</v>
      </c>
      <c r="J19" s="3" t="s">
        <v>133</v>
      </c>
      <c r="K19" s="3" t="s">
        <v>133</v>
      </c>
      <c r="L19" s="3" t="s">
        <v>133</v>
      </c>
      <c r="M19" s="3" t="s">
        <v>133</v>
      </c>
      <c r="N19" s="3" t="s">
        <v>133</v>
      </c>
      <c r="O19" s="3" t="s">
        <v>133</v>
      </c>
      <c r="P19" s="3" t="s">
        <v>133</v>
      </c>
      <c r="Q19" s="3" t="s">
        <v>133</v>
      </c>
      <c r="R19" s="3" t="s">
        <v>133</v>
      </c>
      <c r="S19" s="3" t="s">
        <v>133</v>
      </c>
      <c r="T19" s="3" t="s">
        <v>133</v>
      </c>
      <c r="U19" s="3" t="s">
        <v>133</v>
      </c>
      <c r="V19" s="3" t="s">
        <v>133</v>
      </c>
      <c r="W19" s="3" t="s">
        <v>133</v>
      </c>
      <c r="X19" s="3" t="s">
        <v>133</v>
      </c>
      <c r="Y19" s="3" t="s">
        <v>133</v>
      </c>
      <c r="Z19" s="3" t="s">
        <v>133</v>
      </c>
      <c r="AA19" s="3" t="s">
        <v>133</v>
      </c>
      <c r="AB19" s="3" t="s">
        <v>133</v>
      </c>
      <c r="AC19" s="3" t="s">
        <v>133</v>
      </c>
      <c r="AD19" s="3" t="s">
        <v>133</v>
      </c>
      <c r="AE19" s="3" t="s">
        <v>133</v>
      </c>
      <c r="AF19" s="3" t="s">
        <v>133</v>
      </c>
      <c r="AG19" s="3" t="s">
        <v>133</v>
      </c>
      <c r="AH19" s="3" t="s">
        <v>133</v>
      </c>
      <c r="AI19" s="3" t="s">
        <v>133</v>
      </c>
      <c r="AJ19" s="3" t="s">
        <v>133</v>
      </c>
      <c r="AK19" s="3" t="s">
        <v>133</v>
      </c>
      <c r="AL19" s="3" t="s">
        <v>133</v>
      </c>
      <c r="AM19" s="3" t="s">
        <v>133</v>
      </c>
      <c r="AN19" s="3" t="s">
        <v>133</v>
      </c>
      <c r="AO19" s="3" t="s">
        <v>133</v>
      </c>
      <c r="AP19" s="3" t="s">
        <v>133</v>
      </c>
      <c r="AQ19" s="3" t="s">
        <v>133</v>
      </c>
      <c r="AR19" s="3" t="s">
        <v>133</v>
      </c>
      <c r="AS19" s="3" t="s">
        <v>133</v>
      </c>
      <c r="AT19" s="3" t="s">
        <v>133</v>
      </c>
      <c r="AU19" s="3" t="s">
        <v>133</v>
      </c>
      <c r="AV19" s="3" t="s">
        <v>133</v>
      </c>
      <c r="AW19" s="3" t="s">
        <v>133</v>
      </c>
      <c r="AX19" s="3" t="s">
        <v>133</v>
      </c>
      <c r="AY19" s="3" t="s">
        <v>133</v>
      </c>
      <c r="AZ19" s="3" t="s">
        <v>133</v>
      </c>
      <c r="BA19" s="3" t="s">
        <v>133</v>
      </c>
      <c r="BB19" s="3" t="s">
        <v>133</v>
      </c>
      <c r="BC19" s="3" t="s">
        <v>133</v>
      </c>
      <c r="BD19" s="3" t="s">
        <v>133</v>
      </c>
      <c r="BE19" s="3" t="s">
        <v>133</v>
      </c>
      <c r="BF19" s="3" t="s">
        <v>133</v>
      </c>
      <c r="BG19" s="3" t="s">
        <v>133</v>
      </c>
      <c r="BH19" s="3" t="s">
        <v>133</v>
      </c>
      <c r="BI19" s="3" t="s">
        <v>133</v>
      </c>
      <c r="BJ19" s="3" t="s">
        <v>133</v>
      </c>
      <c r="BK19" s="3" t="s">
        <v>133</v>
      </c>
      <c r="BL19" s="3" t="s">
        <v>133</v>
      </c>
      <c r="BM19" s="3" t="s">
        <v>133</v>
      </c>
      <c r="BN19" s="3" t="s">
        <v>133</v>
      </c>
      <c r="BO19" s="3" t="s">
        <v>133</v>
      </c>
      <c r="BP19" s="3" t="s">
        <v>133</v>
      </c>
      <c r="BQ19" s="3" t="s">
        <v>133</v>
      </c>
      <c r="BR19" s="3" t="s">
        <v>133</v>
      </c>
      <c r="BS19" s="3" t="s">
        <v>133</v>
      </c>
      <c r="BT19" s="3" t="s">
        <v>133</v>
      </c>
      <c r="BU19" s="3" t="s">
        <v>133</v>
      </c>
      <c r="BV19" s="3" t="s">
        <v>133</v>
      </c>
      <c r="BW19" s="3" t="s">
        <v>133</v>
      </c>
      <c r="BX19" s="3" t="s">
        <v>133</v>
      </c>
      <c r="BY19" s="3" t="s">
        <v>133</v>
      </c>
    </row>
    <row r="20" spans="1:77" x14ac:dyDescent="0.25">
      <c r="A20" s="3" t="s">
        <v>16</v>
      </c>
      <c r="B20" s="3">
        <v>15904905962.67</v>
      </c>
      <c r="C20" s="3">
        <v>13520293981.43</v>
      </c>
      <c r="D20" s="3">
        <v>18560620625.580002</v>
      </c>
      <c r="E20" s="3">
        <v>15729181926.74</v>
      </c>
      <c r="F20" s="3">
        <v>14914311018.67</v>
      </c>
      <c r="G20" s="3">
        <v>12401774053.75</v>
      </c>
      <c r="H20" s="3">
        <v>15996222276.98</v>
      </c>
      <c r="I20" s="3">
        <v>15505068453.58</v>
      </c>
      <c r="J20" s="3">
        <v>12958023407.1</v>
      </c>
      <c r="K20" s="3">
        <v>10702217427.540001</v>
      </c>
      <c r="L20" s="3">
        <v>12177678392.959999</v>
      </c>
      <c r="M20" s="3">
        <v>10303064148.1</v>
      </c>
      <c r="N20" s="3">
        <v>12513173469.08</v>
      </c>
      <c r="O20" s="3">
        <v>7333617153.71</v>
      </c>
      <c r="P20" s="3">
        <v>8790152762.5599995</v>
      </c>
      <c r="Q20" s="3">
        <v>6116046965.9899998</v>
      </c>
      <c r="R20" s="3">
        <v>5389454734.5699997</v>
      </c>
      <c r="S20" s="3">
        <v>5557560361.6499996</v>
      </c>
      <c r="T20" s="3">
        <v>7202563107.21</v>
      </c>
      <c r="U20" s="3">
        <v>5864012715.3199997</v>
      </c>
      <c r="V20" s="3">
        <v>5143365362.6499996</v>
      </c>
      <c r="W20" s="3">
        <v>4947281865.1700001</v>
      </c>
      <c r="X20" s="3">
        <v>6204332019.7299995</v>
      </c>
      <c r="Y20" s="3">
        <v>6786528512.6000004</v>
      </c>
      <c r="Z20" s="3">
        <v>5065467754.1999998</v>
      </c>
      <c r="AA20" s="3">
        <v>4931057419.2299995</v>
      </c>
      <c r="AB20" s="3">
        <v>5319919564.8699999</v>
      </c>
      <c r="AC20" s="3">
        <v>5778335409.1599998</v>
      </c>
      <c r="AD20" s="3">
        <v>5615463122.0200005</v>
      </c>
      <c r="AE20" s="3">
        <v>5027566700.6700001</v>
      </c>
      <c r="AF20" s="3">
        <v>5370179720.1499996</v>
      </c>
      <c r="AG20" s="3">
        <v>4143446395.6199999</v>
      </c>
      <c r="AH20" s="3">
        <v>4887604367.5699997</v>
      </c>
      <c r="AI20" s="3">
        <v>5626677130.2600002</v>
      </c>
      <c r="AJ20" s="3">
        <v>4173011924.1999998</v>
      </c>
      <c r="AK20" s="3">
        <v>3053771042.4899998</v>
      </c>
      <c r="AL20" s="3">
        <v>2392800234.8800001</v>
      </c>
      <c r="AM20" s="3">
        <v>4237314790.6799998</v>
      </c>
      <c r="AN20" s="3">
        <v>2652278357.0300002</v>
      </c>
      <c r="AO20" s="3">
        <v>1263398497.45</v>
      </c>
      <c r="AP20" s="3">
        <v>1516752252.3399999</v>
      </c>
      <c r="AQ20" s="3">
        <v>2585185134.52</v>
      </c>
      <c r="AR20" s="3">
        <v>1795570345.1900001</v>
      </c>
      <c r="AS20" s="3">
        <v>769561366.60000002</v>
      </c>
      <c r="AT20" s="3">
        <v>1401012724.8800001</v>
      </c>
      <c r="AU20" s="3">
        <v>2200134878.9099998</v>
      </c>
      <c r="AV20" s="3">
        <v>1704811540.3299999</v>
      </c>
      <c r="AW20" s="3">
        <v>979039105.63</v>
      </c>
      <c r="AX20" s="3">
        <v>1267223062.3</v>
      </c>
      <c r="AY20" s="3">
        <v>1922135359.21</v>
      </c>
      <c r="AZ20" s="3">
        <v>1221987327.8900001</v>
      </c>
      <c r="BA20" s="3">
        <v>2019617917.03</v>
      </c>
      <c r="BB20" s="3">
        <v>1146829089.5999999</v>
      </c>
      <c r="BC20" s="3">
        <v>485832988.24000001</v>
      </c>
      <c r="BD20" s="3">
        <v>873061006.92999995</v>
      </c>
      <c r="BE20" s="3">
        <v>798866409.46000004</v>
      </c>
      <c r="BF20" s="3">
        <v>730075291.12</v>
      </c>
      <c r="BG20" s="3">
        <v>287821767.83999997</v>
      </c>
      <c r="BH20" s="3">
        <v>670353297.54999995</v>
      </c>
      <c r="BI20" s="3">
        <v>769813291.45000005</v>
      </c>
      <c r="BJ20" s="3">
        <v>393864773.77999997</v>
      </c>
      <c r="BK20" s="3">
        <v>198105047.21000001</v>
      </c>
      <c r="BL20" s="3">
        <v>557497298.74000001</v>
      </c>
      <c r="BM20" s="3">
        <v>612414149.40999997</v>
      </c>
      <c r="BN20" s="3">
        <v>306003566.60000002</v>
      </c>
      <c r="BO20" s="3">
        <v>168532601.61000001</v>
      </c>
      <c r="BP20" s="3">
        <v>401156738.20999998</v>
      </c>
      <c r="BQ20" s="3">
        <v>380683226.81</v>
      </c>
      <c r="BR20" s="3">
        <v>184091183.16</v>
      </c>
      <c r="BS20" s="3">
        <v>69324651.939999998</v>
      </c>
      <c r="BT20" s="3">
        <v>341339342.32999998</v>
      </c>
      <c r="BU20" s="3">
        <v>120051075.19</v>
      </c>
      <c r="BV20" s="3">
        <v>126314797.01000001</v>
      </c>
      <c r="BW20" s="3">
        <v>63886513.25</v>
      </c>
      <c r="BX20" s="3">
        <v>337954898.82999998</v>
      </c>
      <c r="BY20" s="3" t="s">
        <v>133</v>
      </c>
    </row>
    <row r="21" spans="1:77" x14ac:dyDescent="0.25">
      <c r="A21" s="3" t="s">
        <v>145</v>
      </c>
      <c r="B21" s="3">
        <v>4739400</v>
      </c>
      <c r="C21" s="3">
        <v>1612000</v>
      </c>
      <c r="D21" s="3">
        <v>1008800</v>
      </c>
      <c r="E21" s="3">
        <v>561800</v>
      </c>
      <c r="F21" s="3">
        <v>1623200</v>
      </c>
      <c r="G21" s="3">
        <v>4805900</v>
      </c>
      <c r="H21" s="3">
        <v>2463500</v>
      </c>
      <c r="I21" s="3">
        <v>900300</v>
      </c>
      <c r="J21" s="3">
        <v>4004800</v>
      </c>
      <c r="K21" s="3">
        <v>4483900</v>
      </c>
      <c r="L21" s="3">
        <v>2230600</v>
      </c>
      <c r="M21" s="3">
        <v>2426200</v>
      </c>
      <c r="N21" s="3">
        <v>4178600</v>
      </c>
      <c r="O21" s="3">
        <v>3827100</v>
      </c>
      <c r="P21" s="3">
        <v>1770100</v>
      </c>
      <c r="Q21" s="3">
        <v>291600</v>
      </c>
      <c r="R21" s="3">
        <v>2887400</v>
      </c>
      <c r="S21" s="3">
        <v>1175200</v>
      </c>
      <c r="T21" s="3">
        <v>4199600</v>
      </c>
      <c r="U21" s="3">
        <v>3671400</v>
      </c>
      <c r="V21" s="3">
        <v>438900</v>
      </c>
      <c r="W21" s="3">
        <v>212900</v>
      </c>
      <c r="X21" s="3">
        <v>500000</v>
      </c>
      <c r="Y21" s="3">
        <v>4053100</v>
      </c>
      <c r="Z21" s="3">
        <v>1878300</v>
      </c>
      <c r="AA21" s="3">
        <v>57900</v>
      </c>
      <c r="AB21" s="3">
        <v>573200</v>
      </c>
      <c r="AC21" s="3">
        <v>5051200</v>
      </c>
      <c r="AD21" s="3">
        <v>27530100</v>
      </c>
      <c r="AE21" s="3">
        <v>148700</v>
      </c>
      <c r="AF21" s="3">
        <v>33300</v>
      </c>
      <c r="AG21" s="3">
        <v>2085600</v>
      </c>
      <c r="AH21" s="3">
        <v>2476100</v>
      </c>
      <c r="AI21" s="3">
        <v>239400</v>
      </c>
      <c r="AJ21" s="3">
        <v>1955400</v>
      </c>
      <c r="AK21" s="3">
        <v>2228100</v>
      </c>
      <c r="AL21" s="3">
        <v>1961500</v>
      </c>
      <c r="AM21" s="3">
        <v>1012900</v>
      </c>
      <c r="AN21" s="3">
        <v>1979100</v>
      </c>
      <c r="AO21" s="3">
        <v>3336100</v>
      </c>
      <c r="AP21" s="3">
        <v>1572600</v>
      </c>
      <c r="AQ21" s="3">
        <v>388100</v>
      </c>
      <c r="AR21" s="3">
        <v>10300</v>
      </c>
      <c r="AS21" s="3">
        <v>5753700</v>
      </c>
      <c r="AT21" s="3">
        <v>-1367300</v>
      </c>
      <c r="AU21" s="3">
        <v>630000</v>
      </c>
      <c r="AV21" s="3">
        <v>1231600</v>
      </c>
      <c r="AW21" s="3">
        <v>3900700</v>
      </c>
      <c r="AX21" s="3">
        <v>1216900</v>
      </c>
      <c r="AY21" s="3">
        <v>594100</v>
      </c>
      <c r="AZ21" s="3">
        <v>570500</v>
      </c>
      <c r="BA21" s="3">
        <v>267100</v>
      </c>
      <c r="BB21" s="3">
        <v>312300</v>
      </c>
      <c r="BC21" s="3">
        <v>1219600</v>
      </c>
      <c r="BD21" s="3">
        <v>1118100</v>
      </c>
      <c r="BE21" s="3">
        <v>88700</v>
      </c>
      <c r="BF21" s="3">
        <v>145300</v>
      </c>
      <c r="BG21" s="3">
        <v>586900</v>
      </c>
      <c r="BH21" s="3">
        <v>328700</v>
      </c>
      <c r="BI21" s="3">
        <v>449500</v>
      </c>
      <c r="BJ21" s="3">
        <v>115300</v>
      </c>
      <c r="BK21" s="3">
        <v>1186600</v>
      </c>
      <c r="BL21" s="3">
        <v>11500</v>
      </c>
      <c r="BM21" s="3">
        <v>3388700</v>
      </c>
      <c r="BN21" s="3">
        <v>177600</v>
      </c>
      <c r="BO21" s="3">
        <v>20700</v>
      </c>
      <c r="BP21" s="3">
        <v>14900</v>
      </c>
      <c r="BQ21" s="3">
        <v>327900</v>
      </c>
      <c r="BR21" s="3">
        <v>482100</v>
      </c>
      <c r="BS21" s="3">
        <v>470700</v>
      </c>
      <c r="BT21" s="3">
        <v>111600</v>
      </c>
      <c r="BU21" s="3">
        <v>69200</v>
      </c>
      <c r="BV21" s="3">
        <v>13400</v>
      </c>
      <c r="BW21" s="3">
        <v>5000</v>
      </c>
      <c r="BX21" s="3">
        <v>50200</v>
      </c>
      <c r="BY21" s="3" t="s">
        <v>133</v>
      </c>
    </row>
    <row r="22" spans="1:77" x14ac:dyDescent="0.25">
      <c r="A22" s="3" t="s">
        <v>146</v>
      </c>
      <c r="B22" s="3" t="s">
        <v>133</v>
      </c>
      <c r="C22" s="3" t="s">
        <v>133</v>
      </c>
      <c r="D22" s="3" t="s">
        <v>133</v>
      </c>
      <c r="E22" s="3" t="s">
        <v>133</v>
      </c>
      <c r="F22" s="3" t="s">
        <v>133</v>
      </c>
      <c r="G22" s="3" t="s">
        <v>133</v>
      </c>
      <c r="H22" s="3" t="s">
        <v>133</v>
      </c>
      <c r="I22" s="3" t="s">
        <v>133</v>
      </c>
      <c r="J22" s="3" t="s">
        <v>133</v>
      </c>
      <c r="K22" s="3" t="s">
        <v>133</v>
      </c>
      <c r="L22" s="3" t="s">
        <v>133</v>
      </c>
      <c r="M22" s="3" t="s">
        <v>133</v>
      </c>
      <c r="N22" s="3" t="s">
        <v>133</v>
      </c>
      <c r="O22" s="3" t="s">
        <v>133</v>
      </c>
      <c r="P22" s="3" t="s">
        <v>133</v>
      </c>
      <c r="Q22" s="3" t="s">
        <v>133</v>
      </c>
      <c r="R22" s="3">
        <v>1100</v>
      </c>
      <c r="S22" s="3">
        <v>-41400</v>
      </c>
      <c r="T22" s="3">
        <v>117300</v>
      </c>
      <c r="U22" s="3">
        <v>204300</v>
      </c>
      <c r="V22" s="3">
        <v>1300</v>
      </c>
      <c r="W22" s="3" t="s">
        <v>133</v>
      </c>
      <c r="X22" s="3" t="s">
        <v>133</v>
      </c>
      <c r="Y22" s="3">
        <v>1424700</v>
      </c>
      <c r="Z22" s="3" t="s">
        <v>133</v>
      </c>
      <c r="AA22" s="3">
        <v>36800</v>
      </c>
      <c r="AB22" s="3">
        <v>173400</v>
      </c>
      <c r="AC22" s="3" t="s">
        <v>133</v>
      </c>
      <c r="AD22" s="3" t="s">
        <v>133</v>
      </c>
      <c r="AE22" s="3" t="s">
        <v>133</v>
      </c>
      <c r="AF22" s="3" t="s">
        <v>133</v>
      </c>
      <c r="AG22" s="3" t="s">
        <v>133</v>
      </c>
      <c r="AH22" s="3" t="s">
        <v>133</v>
      </c>
      <c r="AI22" s="3" t="s">
        <v>133</v>
      </c>
      <c r="AJ22" s="3" t="s">
        <v>133</v>
      </c>
      <c r="AK22" s="3" t="s">
        <v>133</v>
      </c>
      <c r="AL22" s="3" t="s">
        <v>133</v>
      </c>
      <c r="AM22" s="3" t="s">
        <v>133</v>
      </c>
      <c r="AN22" s="3" t="s">
        <v>133</v>
      </c>
      <c r="AO22" s="3" t="s">
        <v>133</v>
      </c>
      <c r="AP22" s="3" t="s">
        <v>133</v>
      </c>
      <c r="AQ22" s="3" t="s">
        <v>133</v>
      </c>
      <c r="AR22" s="3" t="s">
        <v>133</v>
      </c>
      <c r="AS22" s="3" t="s">
        <v>133</v>
      </c>
      <c r="AT22" s="3" t="s">
        <v>133</v>
      </c>
      <c r="AU22" s="3" t="s">
        <v>133</v>
      </c>
      <c r="AV22" s="3" t="s">
        <v>133</v>
      </c>
      <c r="AW22" s="3" t="s">
        <v>133</v>
      </c>
      <c r="AX22" s="3" t="s">
        <v>133</v>
      </c>
      <c r="AY22" s="3" t="s">
        <v>133</v>
      </c>
      <c r="AZ22" s="3" t="s">
        <v>133</v>
      </c>
      <c r="BA22" s="3" t="s">
        <v>133</v>
      </c>
      <c r="BB22" s="3" t="s">
        <v>133</v>
      </c>
      <c r="BC22" s="3" t="s">
        <v>133</v>
      </c>
      <c r="BD22" s="3" t="s">
        <v>133</v>
      </c>
      <c r="BE22" s="3" t="s">
        <v>133</v>
      </c>
      <c r="BF22" s="3" t="s">
        <v>133</v>
      </c>
      <c r="BG22" s="3" t="s">
        <v>133</v>
      </c>
      <c r="BH22" s="3" t="s">
        <v>133</v>
      </c>
      <c r="BI22" s="3" t="s">
        <v>133</v>
      </c>
      <c r="BJ22" s="3" t="s">
        <v>133</v>
      </c>
      <c r="BK22" s="3" t="s">
        <v>133</v>
      </c>
      <c r="BL22" s="3" t="s">
        <v>133</v>
      </c>
      <c r="BM22" s="3" t="s">
        <v>133</v>
      </c>
      <c r="BN22" s="3" t="s">
        <v>133</v>
      </c>
      <c r="BO22" s="3" t="s">
        <v>133</v>
      </c>
      <c r="BP22" s="3" t="s">
        <v>133</v>
      </c>
      <c r="BQ22" s="3" t="s">
        <v>133</v>
      </c>
      <c r="BR22" s="3" t="s">
        <v>133</v>
      </c>
      <c r="BS22" s="3" t="s">
        <v>133</v>
      </c>
      <c r="BT22" s="3" t="s">
        <v>133</v>
      </c>
      <c r="BU22" s="3" t="s">
        <v>133</v>
      </c>
      <c r="BV22" s="3" t="s">
        <v>133</v>
      </c>
      <c r="BW22" s="3" t="s">
        <v>133</v>
      </c>
      <c r="BX22" s="3" t="s">
        <v>133</v>
      </c>
      <c r="BY22" s="3" t="s">
        <v>133</v>
      </c>
    </row>
    <row r="23" spans="1:77" x14ac:dyDescent="0.25">
      <c r="A23" s="3" t="s">
        <v>147</v>
      </c>
      <c r="B23" s="3">
        <v>9440300</v>
      </c>
      <c r="C23" s="3">
        <v>24923400</v>
      </c>
      <c r="D23" s="3">
        <v>80127600</v>
      </c>
      <c r="E23" s="3">
        <v>153105100</v>
      </c>
      <c r="F23" s="3">
        <v>152400</v>
      </c>
      <c r="G23" s="3">
        <v>5132800</v>
      </c>
      <c r="H23" s="3">
        <v>110001600</v>
      </c>
      <c r="I23" s="3">
        <v>255683700</v>
      </c>
      <c r="J23" s="3">
        <v>104676600</v>
      </c>
      <c r="K23" s="3">
        <v>159267200</v>
      </c>
      <c r="L23" s="3">
        <v>7376200</v>
      </c>
      <c r="M23" s="3">
        <v>58255900</v>
      </c>
      <c r="N23" s="3">
        <v>108043900</v>
      </c>
      <c r="O23" s="3">
        <v>8955100</v>
      </c>
      <c r="P23" s="3">
        <v>36882400</v>
      </c>
      <c r="Q23" s="3">
        <v>196442400</v>
      </c>
      <c r="R23" s="3">
        <v>119642600</v>
      </c>
      <c r="S23" s="3">
        <v>185800</v>
      </c>
      <c r="T23" s="3">
        <v>27200</v>
      </c>
      <c r="U23" s="3">
        <v>28198700</v>
      </c>
      <c r="V23" s="3">
        <v>131008200</v>
      </c>
      <c r="W23" s="3">
        <v>77500</v>
      </c>
      <c r="X23" s="3">
        <v>2815800</v>
      </c>
      <c r="Y23" s="3">
        <v>87435800</v>
      </c>
      <c r="Z23" s="3">
        <v>111328500</v>
      </c>
      <c r="AA23" s="3">
        <v>20286500</v>
      </c>
      <c r="AB23" s="3">
        <v>8142700</v>
      </c>
      <c r="AC23" s="3">
        <v>18413300</v>
      </c>
      <c r="AD23" s="3">
        <v>101012200</v>
      </c>
      <c r="AE23" s="3">
        <v>20197400</v>
      </c>
      <c r="AF23" s="3">
        <v>252324800</v>
      </c>
      <c r="AG23" s="3">
        <v>30298200</v>
      </c>
      <c r="AH23" s="3">
        <v>105000000</v>
      </c>
      <c r="AI23" s="3">
        <v>1669300</v>
      </c>
      <c r="AJ23" s="3">
        <v>38300</v>
      </c>
      <c r="AK23" s="3">
        <v>892900</v>
      </c>
      <c r="AL23" s="3">
        <v>2554300</v>
      </c>
      <c r="AM23" s="3">
        <v>5086900</v>
      </c>
      <c r="AN23" s="3">
        <v>151400</v>
      </c>
      <c r="AO23" s="3">
        <v>102300</v>
      </c>
      <c r="AP23" s="3">
        <v>56800</v>
      </c>
      <c r="AQ23" s="3">
        <v>837600</v>
      </c>
      <c r="AR23" s="3">
        <v>2800000</v>
      </c>
      <c r="AS23" s="3">
        <v>142000</v>
      </c>
      <c r="AT23" s="3">
        <v>77700</v>
      </c>
      <c r="AU23" s="3">
        <v>8900</v>
      </c>
      <c r="AV23" s="3">
        <v>1000000</v>
      </c>
      <c r="AW23" s="3">
        <v>1530000</v>
      </c>
      <c r="AX23" s="3">
        <v>73300</v>
      </c>
      <c r="AY23" s="3" t="s">
        <v>133</v>
      </c>
      <c r="AZ23" s="3" t="s">
        <v>133</v>
      </c>
      <c r="BA23" s="3">
        <v>5906800</v>
      </c>
      <c r="BB23" s="3">
        <v>155000</v>
      </c>
      <c r="BC23" s="3">
        <v>160600</v>
      </c>
      <c r="BD23" s="3">
        <v>10700</v>
      </c>
      <c r="BE23" s="3">
        <v>149500</v>
      </c>
      <c r="BF23" s="3">
        <v>50000</v>
      </c>
      <c r="BG23" s="3" t="s">
        <v>133</v>
      </c>
      <c r="BH23" s="3">
        <v>1100</v>
      </c>
      <c r="BI23" s="3">
        <v>796600</v>
      </c>
      <c r="BJ23" s="3" t="s">
        <v>133</v>
      </c>
      <c r="BK23" s="3" t="s">
        <v>133</v>
      </c>
      <c r="BL23" s="3" t="s">
        <v>133</v>
      </c>
      <c r="BM23" s="3">
        <v>984000</v>
      </c>
      <c r="BN23" s="3">
        <v>50000</v>
      </c>
      <c r="BO23" s="3">
        <v>1000</v>
      </c>
      <c r="BP23" s="3">
        <v>1400</v>
      </c>
      <c r="BQ23" s="3">
        <v>5700</v>
      </c>
      <c r="BR23" s="3">
        <v>121900</v>
      </c>
      <c r="BS23" s="3">
        <v>1600</v>
      </c>
      <c r="BT23" s="3">
        <v>8400</v>
      </c>
      <c r="BU23" s="3" t="s">
        <v>133</v>
      </c>
      <c r="BV23" s="3" t="s">
        <v>133</v>
      </c>
      <c r="BW23" s="3">
        <v>10400</v>
      </c>
      <c r="BX23" s="3">
        <v>200</v>
      </c>
      <c r="BY23" s="3" t="s">
        <v>133</v>
      </c>
    </row>
    <row r="24" spans="1:77" x14ac:dyDescent="0.25">
      <c r="A24" s="3" t="s">
        <v>148</v>
      </c>
      <c r="B24" s="3" t="s">
        <v>133</v>
      </c>
      <c r="C24" s="3" t="s">
        <v>133</v>
      </c>
      <c r="D24" s="3" t="s">
        <v>133</v>
      </c>
      <c r="E24" s="3" t="s">
        <v>133</v>
      </c>
      <c r="F24" s="3" t="s">
        <v>133</v>
      </c>
      <c r="G24" s="3" t="s">
        <v>133</v>
      </c>
      <c r="H24" s="3" t="s">
        <v>133</v>
      </c>
      <c r="I24" s="3" t="s">
        <v>133</v>
      </c>
      <c r="J24" s="3" t="s">
        <v>133</v>
      </c>
      <c r="K24" s="3" t="s">
        <v>133</v>
      </c>
      <c r="L24" s="3" t="s">
        <v>133</v>
      </c>
      <c r="M24" s="3" t="s">
        <v>133</v>
      </c>
      <c r="N24" s="3" t="s">
        <v>133</v>
      </c>
      <c r="O24" s="3" t="s">
        <v>133</v>
      </c>
      <c r="P24" s="3" t="s">
        <v>133</v>
      </c>
      <c r="Q24" s="3" t="s">
        <v>133</v>
      </c>
      <c r="R24" s="3">
        <v>17400</v>
      </c>
      <c r="S24" s="3">
        <v>6200</v>
      </c>
      <c r="T24" s="3">
        <v>26600</v>
      </c>
      <c r="U24" s="3">
        <v>149600</v>
      </c>
      <c r="V24" s="3" t="s">
        <v>133</v>
      </c>
      <c r="W24" s="3">
        <v>23100</v>
      </c>
      <c r="X24" s="3">
        <v>15800</v>
      </c>
      <c r="Y24" s="3">
        <v>80915000</v>
      </c>
      <c r="Z24" s="3">
        <v>8600</v>
      </c>
      <c r="AA24" s="3">
        <v>-779700</v>
      </c>
      <c r="AB24" s="3">
        <v>6610500</v>
      </c>
      <c r="AC24" s="3">
        <v>8822100</v>
      </c>
      <c r="AD24" s="3" t="s">
        <v>133</v>
      </c>
      <c r="AE24" s="3" t="s">
        <v>133</v>
      </c>
      <c r="AF24" s="3" t="s">
        <v>133</v>
      </c>
      <c r="AG24" s="3">
        <v>81600</v>
      </c>
      <c r="AH24" s="3" t="s">
        <v>133</v>
      </c>
      <c r="AI24" s="3" t="s">
        <v>133</v>
      </c>
      <c r="AJ24" s="3" t="s">
        <v>133</v>
      </c>
      <c r="AK24" s="3" t="s">
        <v>133</v>
      </c>
      <c r="AL24" s="3" t="s">
        <v>133</v>
      </c>
      <c r="AM24" s="3" t="s">
        <v>133</v>
      </c>
      <c r="AN24" s="3" t="s">
        <v>133</v>
      </c>
      <c r="AO24" s="3" t="s">
        <v>133</v>
      </c>
      <c r="AP24" s="3" t="s">
        <v>133</v>
      </c>
      <c r="AQ24" s="3" t="s">
        <v>133</v>
      </c>
      <c r="AR24" s="3" t="s">
        <v>133</v>
      </c>
      <c r="AS24" s="3" t="s">
        <v>133</v>
      </c>
      <c r="AT24" s="3" t="s">
        <v>133</v>
      </c>
      <c r="AU24" s="3" t="s">
        <v>133</v>
      </c>
      <c r="AV24" s="3" t="s">
        <v>133</v>
      </c>
      <c r="AW24" s="3" t="s">
        <v>133</v>
      </c>
      <c r="AX24" s="3" t="s">
        <v>133</v>
      </c>
      <c r="AY24" s="3" t="s">
        <v>133</v>
      </c>
      <c r="AZ24" s="3" t="s">
        <v>133</v>
      </c>
      <c r="BA24" s="3" t="s">
        <v>133</v>
      </c>
      <c r="BB24" s="3" t="s">
        <v>133</v>
      </c>
      <c r="BC24" s="3" t="s">
        <v>133</v>
      </c>
      <c r="BD24" s="3" t="s">
        <v>133</v>
      </c>
      <c r="BE24" s="3" t="s">
        <v>133</v>
      </c>
      <c r="BF24" s="3" t="s">
        <v>133</v>
      </c>
      <c r="BG24" s="3" t="s">
        <v>133</v>
      </c>
      <c r="BH24" s="3" t="s">
        <v>133</v>
      </c>
      <c r="BI24" s="3" t="s">
        <v>133</v>
      </c>
      <c r="BJ24" s="3" t="s">
        <v>133</v>
      </c>
      <c r="BK24" s="3" t="s">
        <v>133</v>
      </c>
      <c r="BL24" s="3" t="s">
        <v>133</v>
      </c>
      <c r="BM24" s="3" t="s">
        <v>133</v>
      </c>
      <c r="BN24" s="3" t="s">
        <v>133</v>
      </c>
      <c r="BO24" s="3" t="s">
        <v>133</v>
      </c>
      <c r="BP24" s="3" t="s">
        <v>133</v>
      </c>
      <c r="BQ24" s="3" t="s">
        <v>133</v>
      </c>
      <c r="BR24" s="3" t="s">
        <v>133</v>
      </c>
      <c r="BS24" s="3" t="s">
        <v>133</v>
      </c>
      <c r="BT24" s="3" t="s">
        <v>133</v>
      </c>
      <c r="BU24" s="3" t="s">
        <v>133</v>
      </c>
      <c r="BV24" s="3" t="s">
        <v>133</v>
      </c>
      <c r="BW24" s="3" t="s">
        <v>133</v>
      </c>
      <c r="BX24" s="3" t="s">
        <v>133</v>
      </c>
      <c r="BY24" s="3" t="s">
        <v>133</v>
      </c>
    </row>
    <row r="25" spans="1:77" x14ac:dyDescent="0.25">
      <c r="A25" s="3" t="s">
        <v>149</v>
      </c>
      <c r="B25" s="3">
        <v>15900205100</v>
      </c>
      <c r="C25" s="3">
        <v>13496982600</v>
      </c>
      <c r="D25" s="3">
        <v>18481501900</v>
      </c>
      <c r="E25" s="3">
        <v>15576638700</v>
      </c>
      <c r="F25" s="3">
        <v>14915781800</v>
      </c>
      <c r="G25" s="3">
        <v>12401447200</v>
      </c>
      <c r="H25" s="3">
        <v>15888684200</v>
      </c>
      <c r="I25" s="3">
        <v>15250285000</v>
      </c>
      <c r="J25" s="3">
        <v>12857351600</v>
      </c>
      <c r="K25" s="3">
        <v>10547434000</v>
      </c>
      <c r="L25" s="3">
        <v>12172532800</v>
      </c>
      <c r="M25" s="3">
        <v>10247234500</v>
      </c>
      <c r="N25" s="3">
        <v>12409308100</v>
      </c>
      <c r="O25" s="3">
        <v>7328489100</v>
      </c>
      <c r="P25" s="3">
        <v>8755040400</v>
      </c>
      <c r="Q25" s="3">
        <v>5919896100</v>
      </c>
      <c r="R25" s="3">
        <v>5272699500</v>
      </c>
      <c r="S25" s="3">
        <v>5558549700</v>
      </c>
      <c r="T25" s="3">
        <v>7206735500</v>
      </c>
      <c r="U25" s="3">
        <v>5839485400</v>
      </c>
      <c r="V25" s="3">
        <v>5012796000</v>
      </c>
      <c r="W25" s="3">
        <v>4947417300</v>
      </c>
      <c r="X25" s="3">
        <v>6202016200</v>
      </c>
      <c r="Y25" s="3">
        <v>6703145900</v>
      </c>
      <c r="Z25" s="3">
        <v>4956017600</v>
      </c>
      <c r="AA25" s="3">
        <v>4910828800</v>
      </c>
      <c r="AB25" s="3">
        <v>5312350100</v>
      </c>
      <c r="AC25" s="3">
        <v>5764973300</v>
      </c>
      <c r="AD25" s="3">
        <v>5541981000</v>
      </c>
      <c r="AE25" s="3">
        <v>5007517900</v>
      </c>
      <c r="AF25" s="3">
        <v>5117888200</v>
      </c>
      <c r="AG25" s="3">
        <v>4115233800</v>
      </c>
      <c r="AH25" s="3">
        <v>4785080500</v>
      </c>
      <c r="AI25" s="3">
        <v>5625247200</v>
      </c>
      <c r="AJ25" s="3">
        <v>4174929000</v>
      </c>
      <c r="AK25" s="3">
        <v>3055106200</v>
      </c>
      <c r="AL25" s="3">
        <v>2392207400</v>
      </c>
      <c r="AM25" s="3">
        <v>4233240800</v>
      </c>
      <c r="AN25" s="3">
        <v>2654106100</v>
      </c>
      <c r="AO25" s="3">
        <v>1266632400</v>
      </c>
      <c r="AP25" s="3">
        <v>1518268000</v>
      </c>
      <c r="AQ25" s="3">
        <v>2584735600</v>
      </c>
      <c r="AR25" s="3">
        <v>1792780700</v>
      </c>
      <c r="AS25" s="3">
        <v>775173000</v>
      </c>
      <c r="AT25" s="3">
        <v>1399567700</v>
      </c>
      <c r="AU25" s="3">
        <v>2200756000</v>
      </c>
      <c r="AV25" s="3">
        <v>1705043200</v>
      </c>
      <c r="AW25" s="3">
        <v>981409700</v>
      </c>
      <c r="AX25" s="3">
        <v>1268366600</v>
      </c>
      <c r="AY25" s="3">
        <v>1912966500</v>
      </c>
      <c r="AZ25" s="3">
        <v>1222557800</v>
      </c>
      <c r="BA25" s="3">
        <v>2013978200</v>
      </c>
      <c r="BB25" s="3">
        <v>1146986400</v>
      </c>
      <c r="BC25" s="3">
        <v>486891900</v>
      </c>
      <c r="BD25" s="3">
        <v>874168400</v>
      </c>
      <c r="BE25" s="3">
        <v>798805600</v>
      </c>
      <c r="BF25" s="3">
        <v>730170600</v>
      </c>
      <c r="BG25" s="3">
        <v>288408700</v>
      </c>
      <c r="BH25" s="3">
        <v>670680900</v>
      </c>
      <c r="BI25" s="3">
        <v>769466200</v>
      </c>
      <c r="BJ25" s="3">
        <v>393980100</v>
      </c>
      <c r="BK25" s="3">
        <v>199291300</v>
      </c>
      <c r="BL25" s="3">
        <v>557508800</v>
      </c>
      <c r="BM25" s="3">
        <v>614818800</v>
      </c>
      <c r="BN25" s="3">
        <v>306131200</v>
      </c>
      <c r="BO25" s="3">
        <v>168552300</v>
      </c>
      <c r="BP25" s="3">
        <v>401170200</v>
      </c>
      <c r="BQ25" s="3">
        <v>381005500</v>
      </c>
      <c r="BR25" s="3">
        <v>185052800</v>
      </c>
      <c r="BS25" s="3">
        <v>69793800</v>
      </c>
      <c r="BT25" s="3">
        <v>341442500</v>
      </c>
      <c r="BU25" s="3">
        <v>120120300</v>
      </c>
      <c r="BV25" s="3">
        <v>126446100</v>
      </c>
      <c r="BW25" s="3">
        <v>63881100</v>
      </c>
      <c r="BX25" s="3">
        <v>338004900</v>
      </c>
      <c r="BY25" s="3" t="s">
        <v>133</v>
      </c>
    </row>
    <row r="26" spans="1:77" x14ac:dyDescent="0.25">
      <c r="A26" s="3" t="s">
        <v>150</v>
      </c>
      <c r="B26" s="3">
        <v>3977078192.4899998</v>
      </c>
      <c r="C26" s="3">
        <v>3432289571.9200001</v>
      </c>
      <c r="D26" s="3">
        <v>4618648408.6599998</v>
      </c>
      <c r="E26" s="3">
        <v>4018941196.5</v>
      </c>
      <c r="F26" s="3">
        <v>3700006034.5</v>
      </c>
      <c r="G26" s="3">
        <v>3120640716.5599999</v>
      </c>
      <c r="H26" s="3">
        <v>3972963057.6500001</v>
      </c>
      <c r="I26" s="3">
        <v>3992022243.0599999</v>
      </c>
      <c r="J26" s="3">
        <v>3207349098.8000002</v>
      </c>
      <c r="K26" s="3">
        <v>2756617348.52</v>
      </c>
      <c r="L26" s="3">
        <v>3041997000.2800002</v>
      </c>
      <c r="M26" s="3">
        <v>2602280315.3699999</v>
      </c>
      <c r="N26" s="3">
        <v>3092277769.2600002</v>
      </c>
      <c r="O26" s="3">
        <v>1828883853.0899999</v>
      </c>
      <c r="P26" s="3">
        <v>2210206968.8800001</v>
      </c>
      <c r="Q26" s="3">
        <v>1319444807.1199999</v>
      </c>
      <c r="R26" s="3">
        <v>1319710724.02</v>
      </c>
      <c r="S26" s="3">
        <v>1393425433.45</v>
      </c>
      <c r="T26" s="3">
        <v>1994656882.6400001</v>
      </c>
      <c r="U26" s="3">
        <v>1511278111.24</v>
      </c>
      <c r="V26" s="3">
        <v>1250527205.5899999</v>
      </c>
      <c r="W26" s="3">
        <v>1211217212.98</v>
      </c>
      <c r="X26" s="3">
        <v>1573695806.3099999</v>
      </c>
      <c r="Y26" s="3">
        <v>1809464071.48</v>
      </c>
      <c r="Z26" s="3">
        <v>1244865927.25</v>
      </c>
      <c r="AA26" s="3">
        <v>1199224284.8099999</v>
      </c>
      <c r="AB26" s="3">
        <v>1359416643.96</v>
      </c>
      <c r="AC26" s="3">
        <v>1462248695.25</v>
      </c>
      <c r="AD26" s="3">
        <v>1500720474.8800001</v>
      </c>
      <c r="AE26" s="3">
        <v>1159966389.5599999</v>
      </c>
      <c r="AF26" s="3">
        <v>1344524985.23</v>
      </c>
      <c r="AG26" s="3">
        <v>1044762884.6900001</v>
      </c>
      <c r="AH26" s="3">
        <v>1196040240.1800001</v>
      </c>
      <c r="AI26" s="3">
        <v>1405798471.9100001</v>
      </c>
      <c r="AJ26" s="3">
        <v>1045438170.21</v>
      </c>
      <c r="AK26" s="3">
        <v>735496727.08000004</v>
      </c>
      <c r="AL26" s="3">
        <v>627799241.63</v>
      </c>
      <c r="AM26" s="3">
        <v>1058225970.39</v>
      </c>
      <c r="AN26" s="3">
        <v>662814727.08000004</v>
      </c>
      <c r="AO26" s="3">
        <v>337975357.87</v>
      </c>
      <c r="AP26" s="3">
        <v>381726167.82999998</v>
      </c>
      <c r="AQ26" s="3">
        <v>654555835.46000004</v>
      </c>
      <c r="AR26" s="3">
        <v>448397873.24000001</v>
      </c>
      <c r="AS26" s="3">
        <v>202079697.72999999</v>
      </c>
      <c r="AT26" s="3">
        <v>348614340.61000001</v>
      </c>
      <c r="AU26" s="3">
        <v>550754309.78999996</v>
      </c>
      <c r="AV26" s="3">
        <v>426202592.50999999</v>
      </c>
      <c r="AW26" s="3">
        <v>284849156.44999999</v>
      </c>
      <c r="AX26" s="3">
        <v>316107100.74000001</v>
      </c>
      <c r="AY26" s="3">
        <v>478076004.56</v>
      </c>
      <c r="AZ26" s="3">
        <v>305509033.30000001</v>
      </c>
      <c r="BA26" s="3">
        <v>717147696.44000006</v>
      </c>
      <c r="BB26" s="3">
        <v>371712701.12</v>
      </c>
      <c r="BC26" s="3">
        <v>154384407.19999999</v>
      </c>
      <c r="BD26" s="3">
        <v>312727702.22000003</v>
      </c>
      <c r="BE26" s="3">
        <v>239031558.44</v>
      </c>
      <c r="BF26" s="3">
        <v>276687382.38999999</v>
      </c>
      <c r="BG26" s="3">
        <v>136707032.96000001</v>
      </c>
      <c r="BH26" s="3">
        <v>219264678.11000001</v>
      </c>
      <c r="BI26" s="3">
        <v>334976498.81999999</v>
      </c>
      <c r="BJ26" s="3">
        <v>162052724.28</v>
      </c>
      <c r="BK26" s="3">
        <v>80527633.349999994</v>
      </c>
      <c r="BL26" s="3">
        <v>173567381.47999999</v>
      </c>
      <c r="BM26" s="3">
        <v>298722107.83999997</v>
      </c>
      <c r="BN26" s="3">
        <v>132117771.15000001</v>
      </c>
      <c r="BO26" s="3">
        <v>75821038.390000001</v>
      </c>
      <c r="BP26" s="3">
        <v>129839421.97</v>
      </c>
      <c r="BQ26" s="3">
        <v>142063650.88999999</v>
      </c>
      <c r="BR26" s="3">
        <v>77727130.400000006</v>
      </c>
      <c r="BS26" s="3">
        <v>32431474.899999999</v>
      </c>
      <c r="BT26" s="3">
        <v>116318861.01000001</v>
      </c>
      <c r="BU26" s="3">
        <v>48256332.969999999</v>
      </c>
      <c r="BV26" s="3">
        <v>52694521.32</v>
      </c>
      <c r="BW26" s="3">
        <v>31324101.07</v>
      </c>
      <c r="BX26" s="3">
        <v>124206524.16</v>
      </c>
      <c r="BY26" s="3" t="s">
        <v>133</v>
      </c>
    </row>
    <row r="27" spans="1:77" x14ac:dyDescent="0.25">
      <c r="A27" s="3" t="s">
        <v>151</v>
      </c>
      <c r="B27" s="3">
        <v>11923126900</v>
      </c>
      <c r="C27" s="3">
        <v>10064693000</v>
      </c>
      <c r="D27" s="3">
        <v>13862853500</v>
      </c>
      <c r="E27" s="3">
        <v>11557697500</v>
      </c>
      <c r="F27" s="3">
        <v>11215775800</v>
      </c>
      <c r="G27" s="3">
        <v>9280806400</v>
      </c>
      <c r="H27" s="3">
        <v>11915721100</v>
      </c>
      <c r="I27" s="3">
        <v>11258262800</v>
      </c>
      <c r="J27" s="3">
        <v>9650002500</v>
      </c>
      <c r="K27" s="3">
        <v>7790816700</v>
      </c>
      <c r="L27" s="3">
        <v>9130535800</v>
      </c>
      <c r="M27" s="3">
        <v>7644954200</v>
      </c>
      <c r="N27" s="3">
        <v>9317030400</v>
      </c>
      <c r="O27" s="3">
        <v>5499605200</v>
      </c>
      <c r="P27" s="3">
        <v>6544833500</v>
      </c>
      <c r="Q27" s="3">
        <v>4600451300</v>
      </c>
      <c r="R27" s="3">
        <v>3952988800</v>
      </c>
      <c r="S27" s="3">
        <v>4165124300</v>
      </c>
      <c r="T27" s="3">
        <v>5212078700</v>
      </c>
      <c r="U27" s="3">
        <v>4328207300</v>
      </c>
      <c r="V27" s="3">
        <v>3762268800</v>
      </c>
      <c r="W27" s="3">
        <v>3736200100</v>
      </c>
      <c r="X27" s="3">
        <v>4628320400</v>
      </c>
      <c r="Y27" s="3">
        <v>4893681800</v>
      </c>
      <c r="Z27" s="3">
        <v>3711151700</v>
      </c>
      <c r="AA27" s="3">
        <v>3711604600</v>
      </c>
      <c r="AB27" s="3">
        <v>3952933500</v>
      </c>
      <c r="AC27" s="3">
        <v>4302724600</v>
      </c>
      <c r="AD27" s="3">
        <v>4041260500</v>
      </c>
      <c r="AE27" s="3">
        <v>3847551500</v>
      </c>
      <c r="AF27" s="3">
        <v>3773363200</v>
      </c>
      <c r="AG27" s="3">
        <v>3070470900</v>
      </c>
      <c r="AH27" s="3">
        <v>3589040200</v>
      </c>
      <c r="AI27" s="3">
        <v>4219448700</v>
      </c>
      <c r="AJ27" s="3">
        <v>3129490800</v>
      </c>
      <c r="AK27" s="3">
        <v>2319609500</v>
      </c>
      <c r="AL27" s="3">
        <v>1764408100</v>
      </c>
      <c r="AM27" s="3">
        <v>3175014900</v>
      </c>
      <c r="AN27" s="3">
        <v>1991291300</v>
      </c>
      <c r="AO27" s="3">
        <v>928657000</v>
      </c>
      <c r="AP27" s="3">
        <v>1136541900</v>
      </c>
      <c r="AQ27" s="3">
        <v>1930179800</v>
      </c>
      <c r="AR27" s="3">
        <v>1344382800</v>
      </c>
      <c r="AS27" s="3">
        <v>573093300</v>
      </c>
      <c r="AT27" s="3">
        <v>1050953400</v>
      </c>
      <c r="AU27" s="3">
        <v>1650001700</v>
      </c>
      <c r="AV27" s="3">
        <v>1278840600</v>
      </c>
      <c r="AW27" s="3">
        <v>696560600</v>
      </c>
      <c r="AX27" s="3">
        <v>952259500</v>
      </c>
      <c r="AY27" s="3">
        <v>1434890500</v>
      </c>
      <c r="AZ27" s="3">
        <v>917048700</v>
      </c>
      <c r="BA27" s="3">
        <v>1296830600</v>
      </c>
      <c r="BB27" s="3">
        <v>775273700</v>
      </c>
      <c r="BC27" s="3">
        <v>332507500</v>
      </c>
      <c r="BD27" s="3">
        <v>561440700</v>
      </c>
      <c r="BE27" s="3">
        <v>559774100</v>
      </c>
      <c r="BF27" s="3">
        <v>453483200</v>
      </c>
      <c r="BG27" s="3">
        <v>151701700</v>
      </c>
      <c r="BH27" s="3">
        <v>451416200</v>
      </c>
      <c r="BI27" s="3">
        <v>434489700</v>
      </c>
      <c r="BJ27" s="3">
        <v>231927400</v>
      </c>
      <c r="BK27" s="3">
        <v>118763600</v>
      </c>
      <c r="BL27" s="3">
        <v>383941400</v>
      </c>
      <c r="BM27" s="3">
        <v>316096700</v>
      </c>
      <c r="BN27" s="3">
        <v>174013400</v>
      </c>
      <c r="BO27" s="3">
        <v>92731300</v>
      </c>
      <c r="BP27" s="3">
        <v>271330800</v>
      </c>
      <c r="BQ27" s="3">
        <v>238941800</v>
      </c>
      <c r="BR27" s="3">
        <v>107325600</v>
      </c>
      <c r="BS27" s="3">
        <v>37362400</v>
      </c>
      <c r="BT27" s="3">
        <v>225123700</v>
      </c>
      <c r="BU27" s="3">
        <v>71864000</v>
      </c>
      <c r="BV27" s="3">
        <v>73751600</v>
      </c>
      <c r="BW27" s="3">
        <v>32557000</v>
      </c>
      <c r="BX27" s="3">
        <v>213798300</v>
      </c>
      <c r="BY27" s="3" t="s">
        <v>133</v>
      </c>
    </row>
    <row r="28" spans="1:77" x14ac:dyDescent="0.25">
      <c r="A28" s="3" t="s">
        <v>152</v>
      </c>
      <c r="B28" s="3">
        <v>11923126900</v>
      </c>
      <c r="C28" s="3">
        <v>10064693000</v>
      </c>
      <c r="D28" s="3">
        <v>13862853500</v>
      </c>
      <c r="E28" s="3">
        <v>11557697500</v>
      </c>
      <c r="F28" s="3">
        <v>11215775800</v>
      </c>
      <c r="G28" s="3">
        <v>9280806400</v>
      </c>
      <c r="H28" s="3">
        <v>11915721100</v>
      </c>
      <c r="I28" s="3">
        <v>11258262800</v>
      </c>
      <c r="J28" s="3">
        <v>9650002500</v>
      </c>
      <c r="K28" s="3">
        <v>7790816700</v>
      </c>
      <c r="L28" s="3">
        <v>9130535800</v>
      </c>
      <c r="M28" s="3">
        <v>7644954200</v>
      </c>
      <c r="N28" s="3">
        <v>9317030400</v>
      </c>
      <c r="O28" s="3">
        <v>5499605200</v>
      </c>
      <c r="P28" s="3">
        <v>6544833500</v>
      </c>
      <c r="Q28" s="3" t="s">
        <v>133</v>
      </c>
      <c r="R28" s="3" t="s">
        <v>133</v>
      </c>
      <c r="S28" s="3" t="s">
        <v>133</v>
      </c>
      <c r="T28" s="3" t="s">
        <v>133</v>
      </c>
      <c r="U28" s="3" t="s">
        <v>133</v>
      </c>
      <c r="V28" s="3" t="s">
        <v>133</v>
      </c>
      <c r="W28" s="3" t="s">
        <v>133</v>
      </c>
      <c r="X28" s="3" t="s">
        <v>133</v>
      </c>
      <c r="Y28" s="3" t="s">
        <v>133</v>
      </c>
      <c r="Z28" s="3" t="s">
        <v>133</v>
      </c>
      <c r="AA28" s="3" t="s">
        <v>133</v>
      </c>
      <c r="AB28" s="3" t="s">
        <v>133</v>
      </c>
      <c r="AC28" s="3" t="s">
        <v>133</v>
      </c>
      <c r="AD28" s="3" t="s">
        <v>133</v>
      </c>
      <c r="AE28" s="3" t="s">
        <v>133</v>
      </c>
      <c r="AF28" s="3" t="s">
        <v>133</v>
      </c>
      <c r="AG28" s="3" t="s">
        <v>133</v>
      </c>
      <c r="AH28" s="3" t="s">
        <v>133</v>
      </c>
      <c r="AI28" s="3" t="s">
        <v>133</v>
      </c>
      <c r="AJ28" s="3" t="s">
        <v>133</v>
      </c>
      <c r="AK28" s="3" t="s">
        <v>133</v>
      </c>
      <c r="AL28" s="3" t="s">
        <v>133</v>
      </c>
      <c r="AM28" s="3" t="s">
        <v>133</v>
      </c>
      <c r="AN28" s="3" t="s">
        <v>133</v>
      </c>
      <c r="AO28" s="3" t="s">
        <v>133</v>
      </c>
      <c r="AP28" s="3" t="s">
        <v>133</v>
      </c>
      <c r="AQ28" s="3" t="s">
        <v>133</v>
      </c>
      <c r="AR28" s="3" t="s">
        <v>133</v>
      </c>
      <c r="AS28" s="3" t="s">
        <v>133</v>
      </c>
      <c r="AT28" s="3" t="s">
        <v>133</v>
      </c>
      <c r="AU28" s="3" t="s">
        <v>133</v>
      </c>
      <c r="AV28" s="3" t="s">
        <v>133</v>
      </c>
      <c r="AW28" s="3" t="s">
        <v>133</v>
      </c>
      <c r="AX28" s="3" t="s">
        <v>133</v>
      </c>
      <c r="AY28" s="3" t="s">
        <v>133</v>
      </c>
      <c r="AZ28" s="3" t="s">
        <v>133</v>
      </c>
      <c r="BA28" s="3" t="s">
        <v>133</v>
      </c>
      <c r="BB28" s="3" t="s">
        <v>133</v>
      </c>
      <c r="BC28" s="3" t="s">
        <v>133</v>
      </c>
      <c r="BD28" s="3" t="s">
        <v>133</v>
      </c>
      <c r="BE28" s="3" t="s">
        <v>133</v>
      </c>
      <c r="BF28" s="3" t="s">
        <v>133</v>
      </c>
      <c r="BG28" s="3" t="s">
        <v>133</v>
      </c>
      <c r="BH28" s="3" t="s">
        <v>133</v>
      </c>
      <c r="BI28" s="3" t="s">
        <v>133</v>
      </c>
      <c r="BJ28" s="3" t="s">
        <v>133</v>
      </c>
      <c r="BK28" s="3" t="s">
        <v>133</v>
      </c>
      <c r="BL28" s="3" t="s">
        <v>133</v>
      </c>
      <c r="BM28" s="3" t="s">
        <v>133</v>
      </c>
      <c r="BN28" s="3" t="s">
        <v>133</v>
      </c>
      <c r="BO28" s="3" t="s">
        <v>133</v>
      </c>
      <c r="BP28" s="3" t="s">
        <v>133</v>
      </c>
      <c r="BQ28" s="3" t="s">
        <v>133</v>
      </c>
      <c r="BR28" s="3" t="s">
        <v>133</v>
      </c>
      <c r="BS28" s="3" t="s">
        <v>133</v>
      </c>
      <c r="BT28" s="3" t="s">
        <v>133</v>
      </c>
      <c r="BU28" s="3" t="s">
        <v>133</v>
      </c>
      <c r="BV28" s="3" t="s">
        <v>133</v>
      </c>
      <c r="BW28" s="3" t="s">
        <v>133</v>
      </c>
      <c r="BX28" s="3" t="s">
        <v>133</v>
      </c>
      <c r="BY28" s="3" t="s">
        <v>133</v>
      </c>
    </row>
    <row r="29" spans="1:77" x14ac:dyDescent="0.25">
      <c r="A29" s="3" t="s">
        <v>153</v>
      </c>
      <c r="B29" s="3">
        <v>11225448900</v>
      </c>
      <c r="C29" s="3">
        <v>9507884900</v>
      </c>
      <c r="D29" s="3">
        <v>13093770200</v>
      </c>
      <c r="E29" s="3">
        <v>10751615600</v>
      </c>
      <c r="F29" s="3">
        <v>10503829800</v>
      </c>
      <c r="G29" s="3">
        <v>8729594300</v>
      </c>
      <c r="H29" s="3">
        <v>11221431300</v>
      </c>
      <c r="I29" s="3">
        <v>10470072500</v>
      </c>
      <c r="J29" s="3">
        <v>8969366900</v>
      </c>
      <c r="K29" s="3">
        <v>7257279100</v>
      </c>
      <c r="L29" s="3">
        <v>8506906700</v>
      </c>
      <c r="M29" s="3">
        <v>7095513300</v>
      </c>
      <c r="N29" s="3">
        <v>8732986100</v>
      </c>
      <c r="O29" s="3">
        <v>5127741600</v>
      </c>
      <c r="P29" s="3">
        <v>6123119300</v>
      </c>
      <c r="Q29" s="3">
        <v>4252785000</v>
      </c>
      <c r="R29" s="3">
        <v>3662940600</v>
      </c>
      <c r="S29" s="3">
        <v>3913365500</v>
      </c>
      <c r="T29" s="3">
        <v>4889271600</v>
      </c>
      <c r="U29" s="3">
        <v>4078452500</v>
      </c>
      <c r="V29" s="3">
        <v>3536405500</v>
      </c>
      <c r="W29" s="3">
        <v>3523330600</v>
      </c>
      <c r="X29" s="3">
        <v>4364901700</v>
      </c>
      <c r="Y29" s="3">
        <v>4656475100</v>
      </c>
      <c r="Z29" s="3">
        <v>3463475400</v>
      </c>
      <c r="AA29" s="3">
        <v>3530467600</v>
      </c>
      <c r="AB29" s="3">
        <v>3699386300</v>
      </c>
      <c r="AC29" s="3">
        <v>4066445300</v>
      </c>
      <c r="AD29" s="3">
        <v>3822249800</v>
      </c>
      <c r="AE29" s="3">
        <v>3654846600</v>
      </c>
      <c r="AF29" s="3">
        <v>3593098100</v>
      </c>
      <c r="AG29" s="3">
        <v>2888020400</v>
      </c>
      <c r="AH29" s="3">
        <v>3424337600</v>
      </c>
      <c r="AI29" s="3">
        <v>4026505800</v>
      </c>
      <c r="AJ29" s="3">
        <v>2969215800</v>
      </c>
      <c r="AK29" s="3">
        <v>2194061300</v>
      </c>
      <c r="AL29" s="3">
        <v>1661907500</v>
      </c>
      <c r="AM29" s="3">
        <v>3023182200</v>
      </c>
      <c r="AN29" s="3">
        <v>1883995000</v>
      </c>
      <c r="AO29" s="3">
        <v>877020200</v>
      </c>
      <c r="AP29" s="3">
        <v>1074416700</v>
      </c>
      <c r="AQ29" s="3">
        <v>1834094700</v>
      </c>
      <c r="AR29" s="3">
        <v>1265662600</v>
      </c>
      <c r="AS29" s="3">
        <v>525494700</v>
      </c>
      <c r="AT29" s="3">
        <v>996674900</v>
      </c>
      <c r="AU29" s="3">
        <v>1573267000</v>
      </c>
      <c r="AV29" s="3">
        <v>1217009500</v>
      </c>
      <c r="AW29" s="3">
        <v>654721700</v>
      </c>
      <c r="AX29" s="3">
        <v>905197800</v>
      </c>
      <c r="AY29" s="3">
        <v>1366207000</v>
      </c>
      <c r="AZ29" s="3">
        <v>873354100</v>
      </c>
      <c r="BA29" s="3">
        <v>1240337000</v>
      </c>
      <c r="BB29" s="3">
        <v>740770900</v>
      </c>
      <c r="BC29" s="3">
        <v>313646200</v>
      </c>
      <c r="BD29" s="3">
        <v>536077500</v>
      </c>
      <c r="BE29" s="3">
        <v>535805100</v>
      </c>
      <c r="BF29" s="3">
        <v>434938100</v>
      </c>
      <c r="BG29" s="3">
        <v>141619600</v>
      </c>
      <c r="BH29" s="3">
        <v>432449600</v>
      </c>
      <c r="BI29" s="3">
        <v>416056000</v>
      </c>
      <c r="BJ29" s="3">
        <v>221698700</v>
      </c>
      <c r="BK29" s="3">
        <v>111647500</v>
      </c>
      <c r="BL29" s="3">
        <v>369139400</v>
      </c>
      <c r="BM29" s="3">
        <v>304984800</v>
      </c>
      <c r="BN29" s="3">
        <v>166485000</v>
      </c>
      <c r="BO29" s="3">
        <v>87580400</v>
      </c>
      <c r="BP29" s="3">
        <v>261503800</v>
      </c>
      <c r="BQ29" s="3">
        <v>232248100</v>
      </c>
      <c r="BR29" s="3">
        <v>101978900</v>
      </c>
      <c r="BS29" s="3">
        <v>34911800</v>
      </c>
      <c r="BT29" s="3">
        <v>217609000</v>
      </c>
      <c r="BU29" s="3">
        <v>66932900</v>
      </c>
      <c r="BV29" s="3">
        <v>70974600</v>
      </c>
      <c r="BW29" s="3">
        <v>31827700</v>
      </c>
      <c r="BX29" s="3">
        <v>206448300</v>
      </c>
      <c r="BY29" s="3" t="s">
        <v>133</v>
      </c>
    </row>
    <row r="30" spans="1:77" x14ac:dyDescent="0.25">
      <c r="A30" s="3" t="s">
        <v>154</v>
      </c>
      <c r="B30" s="3">
        <v>697678000</v>
      </c>
      <c r="C30" s="3">
        <v>556808100</v>
      </c>
      <c r="D30" s="3">
        <v>769083300</v>
      </c>
      <c r="E30" s="3">
        <v>806081800</v>
      </c>
      <c r="F30" s="3">
        <v>711946000</v>
      </c>
      <c r="G30" s="3">
        <v>551212200</v>
      </c>
      <c r="H30" s="3">
        <v>694289800</v>
      </c>
      <c r="I30" s="3">
        <v>788190300</v>
      </c>
      <c r="J30" s="3">
        <v>680635600</v>
      </c>
      <c r="K30" s="3">
        <v>533537600</v>
      </c>
      <c r="L30" s="3">
        <v>623629100</v>
      </c>
      <c r="M30" s="3">
        <v>549440900</v>
      </c>
      <c r="N30" s="3">
        <v>584044300</v>
      </c>
      <c r="O30" s="3">
        <v>371863600</v>
      </c>
      <c r="P30" s="3">
        <v>421714100</v>
      </c>
      <c r="Q30" s="3">
        <v>347666400</v>
      </c>
      <c r="R30" s="3">
        <v>290048200</v>
      </c>
      <c r="S30" s="3">
        <v>251758800</v>
      </c>
      <c r="T30" s="3">
        <v>322807100</v>
      </c>
      <c r="U30" s="3">
        <v>249754800</v>
      </c>
      <c r="V30" s="3">
        <v>225863400</v>
      </c>
      <c r="W30" s="3">
        <v>212869500</v>
      </c>
      <c r="X30" s="3">
        <v>263418700</v>
      </c>
      <c r="Y30" s="3">
        <v>237206700</v>
      </c>
      <c r="Z30" s="3">
        <v>247676300</v>
      </c>
      <c r="AA30" s="3">
        <v>181137000</v>
      </c>
      <c r="AB30" s="3">
        <v>253547200</v>
      </c>
      <c r="AC30" s="3">
        <v>236279300</v>
      </c>
      <c r="AD30" s="3">
        <v>219010700</v>
      </c>
      <c r="AE30" s="3">
        <v>192705000</v>
      </c>
      <c r="AF30" s="3">
        <v>180265100</v>
      </c>
      <c r="AG30" s="3">
        <v>182450500</v>
      </c>
      <c r="AH30" s="3">
        <v>164702600</v>
      </c>
      <c r="AI30" s="3">
        <v>192942900</v>
      </c>
      <c r="AJ30" s="3">
        <v>160275000</v>
      </c>
      <c r="AK30" s="3">
        <v>125548200</v>
      </c>
      <c r="AL30" s="3">
        <v>102500600</v>
      </c>
      <c r="AM30" s="3">
        <v>151832700</v>
      </c>
      <c r="AN30" s="3">
        <v>107296400</v>
      </c>
      <c r="AO30" s="3">
        <v>51636800</v>
      </c>
      <c r="AP30" s="3">
        <v>62125200</v>
      </c>
      <c r="AQ30" s="3">
        <v>96085100</v>
      </c>
      <c r="AR30" s="3">
        <v>78720200</v>
      </c>
      <c r="AS30" s="3">
        <v>47598600</v>
      </c>
      <c r="AT30" s="3">
        <v>54278400</v>
      </c>
      <c r="AU30" s="3">
        <v>76734700</v>
      </c>
      <c r="AV30" s="3">
        <v>61831100</v>
      </c>
      <c r="AW30" s="3">
        <v>41838900</v>
      </c>
      <c r="AX30" s="3">
        <v>47061700</v>
      </c>
      <c r="AY30" s="3">
        <v>68683500</v>
      </c>
      <c r="AZ30" s="3">
        <v>43694700</v>
      </c>
      <c r="BA30" s="3">
        <v>56493600</v>
      </c>
      <c r="BB30" s="3">
        <v>34502800</v>
      </c>
      <c r="BC30" s="3">
        <v>18861300</v>
      </c>
      <c r="BD30" s="3">
        <v>25363200</v>
      </c>
      <c r="BE30" s="3">
        <v>23968900</v>
      </c>
      <c r="BF30" s="3">
        <v>18545200</v>
      </c>
      <c r="BG30" s="3">
        <v>10082100</v>
      </c>
      <c r="BH30" s="3">
        <v>18966600</v>
      </c>
      <c r="BI30" s="3">
        <v>18433800</v>
      </c>
      <c r="BJ30" s="3">
        <v>10228600</v>
      </c>
      <c r="BK30" s="3">
        <v>7116100</v>
      </c>
      <c r="BL30" s="3">
        <v>14802000</v>
      </c>
      <c r="BM30" s="3">
        <v>11111900</v>
      </c>
      <c r="BN30" s="3">
        <v>7528500</v>
      </c>
      <c r="BO30" s="3">
        <v>5150900</v>
      </c>
      <c r="BP30" s="3">
        <v>9827000</v>
      </c>
      <c r="BQ30" s="3">
        <v>6693700</v>
      </c>
      <c r="BR30" s="3">
        <v>5346700</v>
      </c>
      <c r="BS30" s="3">
        <v>2450600</v>
      </c>
      <c r="BT30" s="3">
        <v>7514700</v>
      </c>
      <c r="BU30" s="3">
        <v>4931000</v>
      </c>
      <c r="BV30" s="3">
        <v>2777000</v>
      </c>
      <c r="BW30" s="3">
        <v>729300</v>
      </c>
      <c r="BX30" s="3">
        <v>7350100</v>
      </c>
      <c r="BY30" s="3" t="s">
        <v>133</v>
      </c>
    </row>
    <row r="31" spans="1:77" x14ac:dyDescent="0.25">
      <c r="A31" s="3" t="s">
        <v>155</v>
      </c>
      <c r="B31" s="3">
        <v>11229374500</v>
      </c>
      <c r="C31" s="3">
        <v>9517509600</v>
      </c>
      <c r="D31" s="3">
        <v>13155216700</v>
      </c>
      <c r="E31" s="3">
        <v>10872688100</v>
      </c>
      <c r="F31" s="3">
        <v>10502781700</v>
      </c>
      <c r="G31" s="3">
        <v>8729717400</v>
      </c>
      <c r="H31" s="3">
        <v>11301721800</v>
      </c>
      <c r="I31" s="3">
        <v>10656432500</v>
      </c>
      <c r="J31" s="3">
        <v>9044842600</v>
      </c>
      <c r="K31" s="3">
        <v>7373389600</v>
      </c>
      <c r="L31" s="3">
        <v>8510778900</v>
      </c>
      <c r="M31" s="3">
        <v>7137074800</v>
      </c>
      <c r="N31" s="3">
        <v>8807132300</v>
      </c>
      <c r="O31" s="3">
        <v>5131691900</v>
      </c>
      <c r="P31" s="3">
        <v>6148184700</v>
      </c>
      <c r="Q31" s="3">
        <v>4409415600</v>
      </c>
      <c r="R31" s="3">
        <v>3746325200</v>
      </c>
      <c r="S31" s="3">
        <v>3912661000</v>
      </c>
      <c r="T31" s="3">
        <v>4886287200</v>
      </c>
      <c r="U31" s="3">
        <v>4096361500</v>
      </c>
      <c r="V31" s="3">
        <v>3630609100</v>
      </c>
      <c r="W31" s="3">
        <v>3523259900</v>
      </c>
      <c r="X31" s="3">
        <v>4366636000</v>
      </c>
      <c r="Y31" s="3">
        <v>4729416000</v>
      </c>
      <c r="Z31" s="3">
        <v>3541452700</v>
      </c>
      <c r="AA31" s="3">
        <v>3544860200</v>
      </c>
      <c r="AB31" s="3">
        <v>3705104500</v>
      </c>
      <c r="AC31" s="3">
        <v>4135175800</v>
      </c>
      <c r="AD31" s="3">
        <v>3873617800</v>
      </c>
      <c r="AE31" s="3">
        <v>3669879900</v>
      </c>
      <c r="AF31" s="3">
        <v>3772853900</v>
      </c>
      <c r="AG31" s="3">
        <v>2908242800</v>
      </c>
      <c r="AH31" s="3">
        <v>3497684100</v>
      </c>
      <c r="AI31" s="3">
        <v>4027608800</v>
      </c>
      <c r="AJ31" s="3">
        <v>2967835800</v>
      </c>
      <c r="AK31" s="3">
        <v>2193167600</v>
      </c>
      <c r="AL31" s="3">
        <v>1662529200</v>
      </c>
      <c r="AM31" s="3">
        <v>3026320700</v>
      </c>
      <c r="AN31" s="3">
        <v>1882675900</v>
      </c>
      <c r="AO31" s="3">
        <v>875586500</v>
      </c>
      <c r="AP31" s="3">
        <v>1073269800</v>
      </c>
      <c r="AQ31" s="3">
        <v>1833615100</v>
      </c>
      <c r="AR31" s="3">
        <v>1267754800</v>
      </c>
      <c r="AS31" s="3">
        <v>520783500</v>
      </c>
      <c r="AT31" s="3">
        <v>997802400</v>
      </c>
      <c r="AU31" s="3">
        <v>1572637200</v>
      </c>
      <c r="AV31" s="3">
        <v>1216891500</v>
      </c>
      <c r="AW31" s="3">
        <v>652288900</v>
      </c>
      <c r="AX31" s="3">
        <v>904340100</v>
      </c>
      <c r="AY31" s="3">
        <v>1373083600</v>
      </c>
      <c r="AZ31" s="3">
        <v>872926200</v>
      </c>
      <c r="BA31" s="3">
        <v>1244115600</v>
      </c>
      <c r="BB31" s="3">
        <v>740665500</v>
      </c>
      <c r="BC31" s="3">
        <v>312936700</v>
      </c>
      <c r="BD31" s="3">
        <v>535335500</v>
      </c>
      <c r="BE31" s="3">
        <v>547180400</v>
      </c>
      <c r="BF31" s="3">
        <v>345679200</v>
      </c>
      <c r="BG31" s="3">
        <v>155266300</v>
      </c>
      <c r="BH31" s="3">
        <v>449371300</v>
      </c>
      <c r="BI31" s="3">
        <v>416280100</v>
      </c>
      <c r="BJ31" s="3">
        <v>221621500</v>
      </c>
      <c r="BK31" s="3">
        <v>110852800</v>
      </c>
      <c r="BL31" s="3">
        <v>369131700</v>
      </c>
      <c r="BM31" s="3">
        <v>303345800</v>
      </c>
      <c r="BN31" s="3">
        <v>166400000</v>
      </c>
      <c r="BO31" s="3">
        <v>87567200</v>
      </c>
      <c r="BP31" s="3">
        <v>261494800</v>
      </c>
      <c r="BQ31" s="3">
        <v>231937000</v>
      </c>
      <c r="BR31" s="3">
        <v>101429800</v>
      </c>
      <c r="BS31" s="3">
        <v>252137300</v>
      </c>
      <c r="BT31" s="3" t="s">
        <v>133</v>
      </c>
      <c r="BU31" s="3">
        <v>68780600</v>
      </c>
      <c r="BV31" s="3">
        <v>71154600</v>
      </c>
      <c r="BW31" s="3">
        <v>238253300</v>
      </c>
      <c r="BX31" s="3" t="s">
        <v>133</v>
      </c>
      <c r="BY31" s="3" t="s">
        <v>133</v>
      </c>
    </row>
    <row r="32" spans="1:77" x14ac:dyDescent="0.25">
      <c r="A32" s="3" t="s">
        <v>156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</row>
    <row r="33" spans="1:77" x14ac:dyDescent="0.25">
      <c r="A33" s="3" t="s">
        <v>157</v>
      </c>
      <c r="B33" s="3">
        <v>8.94</v>
      </c>
      <c r="C33" s="3">
        <v>7.57</v>
      </c>
      <c r="D33" s="3">
        <v>10.42</v>
      </c>
      <c r="E33" s="3">
        <v>8.56</v>
      </c>
      <c r="F33" s="3">
        <v>8.36</v>
      </c>
      <c r="G33" s="3">
        <v>6.95</v>
      </c>
      <c r="H33" s="3">
        <v>8.93</v>
      </c>
      <c r="I33" s="3">
        <v>8.33</v>
      </c>
      <c r="J33" s="3">
        <v>7.14</v>
      </c>
      <c r="K33" s="3">
        <v>5.78</v>
      </c>
      <c r="L33" s="3">
        <v>6.77</v>
      </c>
      <c r="M33" s="3">
        <v>5.65</v>
      </c>
      <c r="N33" s="3">
        <v>6.95</v>
      </c>
      <c r="O33" s="3">
        <v>4.09</v>
      </c>
      <c r="P33" s="3">
        <v>4.87</v>
      </c>
      <c r="Q33" s="3">
        <v>3.39</v>
      </c>
      <c r="R33" s="3">
        <v>2.91</v>
      </c>
      <c r="S33" s="3">
        <v>3.12</v>
      </c>
      <c r="T33" s="3">
        <v>3.89</v>
      </c>
      <c r="U33" s="3">
        <v>3.25</v>
      </c>
      <c r="V33" s="3">
        <v>2.81</v>
      </c>
      <c r="W33" s="3">
        <v>2.81</v>
      </c>
      <c r="X33" s="3">
        <v>3.47</v>
      </c>
      <c r="Y33" s="3">
        <v>3.71</v>
      </c>
      <c r="Z33" s="3">
        <v>2.1800000000000002</v>
      </c>
      <c r="AA33" s="3">
        <v>3.09</v>
      </c>
      <c r="AB33" s="3">
        <v>3.24</v>
      </c>
      <c r="AC33" s="3">
        <v>3.56</v>
      </c>
      <c r="AD33" s="3">
        <v>3.34</v>
      </c>
      <c r="AE33" s="3">
        <v>2.89</v>
      </c>
      <c r="AF33" s="3">
        <v>3.46</v>
      </c>
      <c r="AG33" s="3">
        <v>2.78</v>
      </c>
      <c r="AH33" s="3">
        <v>3.3</v>
      </c>
      <c r="AI33" s="3">
        <v>3.88</v>
      </c>
      <c r="AJ33" s="3">
        <v>2.86</v>
      </c>
      <c r="AK33" s="3">
        <v>2.11</v>
      </c>
      <c r="AL33" s="3">
        <v>1.6</v>
      </c>
      <c r="AM33" s="3">
        <v>2.92</v>
      </c>
      <c r="AN33" s="3">
        <v>1.81</v>
      </c>
      <c r="AO33" s="3">
        <v>0.85</v>
      </c>
      <c r="AP33" s="3">
        <v>0.74</v>
      </c>
      <c r="AQ33" s="3">
        <v>1.94</v>
      </c>
      <c r="AR33" s="3">
        <v>1.34</v>
      </c>
      <c r="AS33" s="3">
        <v>0.56000000000000005</v>
      </c>
      <c r="AT33" s="3">
        <v>1.05</v>
      </c>
      <c r="AU33" s="3">
        <v>1.67</v>
      </c>
      <c r="AV33" s="3">
        <v>1.29</v>
      </c>
      <c r="AW33" s="3">
        <v>0.7</v>
      </c>
      <c r="AX33" s="3">
        <v>0.96</v>
      </c>
      <c r="AY33" s="3">
        <v>1.44</v>
      </c>
      <c r="AZ33" s="3">
        <v>0.93</v>
      </c>
      <c r="BA33" s="3">
        <v>1.31</v>
      </c>
      <c r="BB33" s="3">
        <v>0.79</v>
      </c>
      <c r="BC33" s="3">
        <v>0.33</v>
      </c>
      <c r="BD33" s="3">
        <v>0.56999999999999995</v>
      </c>
      <c r="BE33" s="3">
        <v>0.56999999999999995</v>
      </c>
      <c r="BF33" s="3">
        <v>0.46</v>
      </c>
      <c r="BG33" s="3">
        <v>-0.31</v>
      </c>
      <c r="BH33" s="3">
        <v>0.92</v>
      </c>
      <c r="BI33" s="3" t="s">
        <v>133</v>
      </c>
      <c r="BJ33" s="3" t="s">
        <v>133</v>
      </c>
      <c r="BK33" s="3" t="s">
        <v>133</v>
      </c>
      <c r="BL33" s="3" t="s">
        <v>133</v>
      </c>
      <c r="BM33" s="3" t="s">
        <v>133</v>
      </c>
      <c r="BN33" s="3" t="s">
        <v>133</v>
      </c>
      <c r="BO33" s="3" t="s">
        <v>133</v>
      </c>
      <c r="BP33" s="3" t="s">
        <v>133</v>
      </c>
      <c r="BQ33" s="3" t="s">
        <v>133</v>
      </c>
      <c r="BR33" s="3" t="s">
        <v>133</v>
      </c>
      <c r="BS33" s="3" t="s">
        <v>133</v>
      </c>
      <c r="BT33" s="3" t="s">
        <v>133</v>
      </c>
      <c r="BU33" s="3" t="s">
        <v>133</v>
      </c>
      <c r="BV33" s="3" t="s">
        <v>133</v>
      </c>
      <c r="BW33" s="3" t="s">
        <v>133</v>
      </c>
      <c r="BX33" s="3" t="s">
        <v>133</v>
      </c>
      <c r="BY33" s="3">
        <v>0.38</v>
      </c>
    </row>
    <row r="34" spans="1:77" x14ac:dyDescent="0.25">
      <c r="A34" s="3" t="s">
        <v>158</v>
      </c>
      <c r="B34" s="3">
        <v>8.94</v>
      </c>
      <c r="C34" s="3">
        <v>7.57</v>
      </c>
      <c r="D34" s="3">
        <v>10.42</v>
      </c>
      <c r="E34" s="3">
        <v>8.56</v>
      </c>
      <c r="F34" s="3">
        <v>8.36</v>
      </c>
      <c r="G34" s="3">
        <v>6.95</v>
      </c>
      <c r="H34" s="3">
        <v>8.93</v>
      </c>
      <c r="I34" s="3">
        <v>8.33</v>
      </c>
      <c r="J34" s="3">
        <v>7.14</v>
      </c>
      <c r="K34" s="3">
        <v>5.78</v>
      </c>
      <c r="L34" s="3">
        <v>6.77</v>
      </c>
      <c r="M34" s="3">
        <v>5.65</v>
      </c>
      <c r="N34" s="3">
        <v>6.95</v>
      </c>
      <c r="O34" s="3">
        <v>4.09</v>
      </c>
      <c r="P34" s="3">
        <v>4.87</v>
      </c>
      <c r="Q34" s="3">
        <v>3.39</v>
      </c>
      <c r="R34" s="3">
        <v>2.91</v>
      </c>
      <c r="S34" s="3">
        <v>3.12</v>
      </c>
      <c r="T34" s="3">
        <v>3.89</v>
      </c>
      <c r="U34" s="3">
        <v>3.25</v>
      </c>
      <c r="V34" s="3">
        <v>2.81</v>
      </c>
      <c r="W34" s="3">
        <v>2.81</v>
      </c>
      <c r="X34" s="3">
        <v>3.47</v>
      </c>
      <c r="Y34" s="3">
        <v>3.71</v>
      </c>
      <c r="Z34" s="3">
        <v>2.1800000000000002</v>
      </c>
      <c r="AA34" s="3">
        <v>3.09</v>
      </c>
      <c r="AB34" s="3">
        <v>3.24</v>
      </c>
      <c r="AC34" s="3">
        <v>3.56</v>
      </c>
      <c r="AD34" s="3">
        <v>3.34</v>
      </c>
      <c r="AE34" s="3">
        <v>2.89</v>
      </c>
      <c r="AF34" s="3">
        <v>3.46</v>
      </c>
      <c r="AG34" s="3">
        <v>2.78</v>
      </c>
      <c r="AH34" s="3">
        <v>3.3</v>
      </c>
      <c r="AI34" s="3">
        <v>3.88</v>
      </c>
      <c r="AJ34" s="3">
        <v>2.86</v>
      </c>
      <c r="AK34" s="3">
        <v>2.11</v>
      </c>
      <c r="AL34" s="3">
        <v>1.6</v>
      </c>
      <c r="AM34" s="3">
        <v>2.92</v>
      </c>
      <c r="AN34" s="3">
        <v>1.81</v>
      </c>
      <c r="AO34" s="3">
        <v>0.85</v>
      </c>
      <c r="AP34" s="3">
        <v>0.74</v>
      </c>
      <c r="AQ34" s="3">
        <v>1.94</v>
      </c>
      <c r="AR34" s="3">
        <v>1.34</v>
      </c>
      <c r="AS34" s="3">
        <v>0.56000000000000005</v>
      </c>
      <c r="AT34" s="3">
        <v>1.05</v>
      </c>
      <c r="AU34" s="3">
        <v>1.67</v>
      </c>
      <c r="AV34" s="3">
        <v>1.29</v>
      </c>
      <c r="AW34" s="3">
        <v>0.7</v>
      </c>
      <c r="AX34" s="3">
        <v>0.96</v>
      </c>
      <c r="AY34" s="3" t="s">
        <v>133</v>
      </c>
      <c r="AZ34" s="3" t="s">
        <v>133</v>
      </c>
      <c r="BA34" s="3">
        <v>1.31</v>
      </c>
      <c r="BB34" s="3">
        <v>0.79</v>
      </c>
      <c r="BC34" s="3" t="s">
        <v>133</v>
      </c>
      <c r="BD34" s="3" t="s">
        <v>133</v>
      </c>
      <c r="BE34" s="3">
        <v>0.56999999999999995</v>
      </c>
      <c r="BF34" s="3">
        <v>0.46</v>
      </c>
      <c r="BG34" s="3" t="s">
        <v>133</v>
      </c>
      <c r="BH34" s="3" t="s">
        <v>133</v>
      </c>
      <c r="BI34" s="3" t="s">
        <v>133</v>
      </c>
      <c r="BJ34" s="3" t="s">
        <v>133</v>
      </c>
      <c r="BK34" s="3" t="s">
        <v>133</v>
      </c>
      <c r="BL34" s="3" t="s">
        <v>133</v>
      </c>
      <c r="BM34" s="3" t="s">
        <v>133</v>
      </c>
      <c r="BN34" s="3" t="s">
        <v>133</v>
      </c>
      <c r="BO34" s="3" t="s">
        <v>133</v>
      </c>
      <c r="BP34" s="3" t="s">
        <v>133</v>
      </c>
      <c r="BQ34" s="3" t="s">
        <v>133</v>
      </c>
      <c r="BR34" s="3" t="s">
        <v>133</v>
      </c>
      <c r="BS34" s="3" t="s">
        <v>133</v>
      </c>
      <c r="BT34" s="3" t="s">
        <v>133</v>
      </c>
      <c r="BU34" s="3" t="s">
        <v>133</v>
      </c>
      <c r="BV34" s="3" t="s">
        <v>133</v>
      </c>
      <c r="BW34" s="3" t="s">
        <v>133</v>
      </c>
      <c r="BX34" s="3" t="s">
        <v>133</v>
      </c>
      <c r="BY34" s="3" t="s">
        <v>133</v>
      </c>
    </row>
    <row r="35" spans="1:77" x14ac:dyDescent="0.25">
      <c r="A35" s="3" t="s">
        <v>159</v>
      </c>
      <c r="B35" s="3">
        <v>274700</v>
      </c>
      <c r="C35" s="3">
        <v>1352800</v>
      </c>
      <c r="D35" s="3">
        <v>-56300</v>
      </c>
      <c r="E35" s="3">
        <v>517600</v>
      </c>
      <c r="F35" s="3">
        <v>-506800</v>
      </c>
      <c r="G35" s="3">
        <v>2003800</v>
      </c>
      <c r="H35" s="3">
        <v>-2147600</v>
      </c>
      <c r="I35" s="3">
        <v>-1136900</v>
      </c>
      <c r="J35" s="3">
        <v>2585000</v>
      </c>
      <c r="K35" s="3">
        <v>-630100</v>
      </c>
      <c r="L35" s="3">
        <v>-482100</v>
      </c>
      <c r="M35" s="3">
        <v>-172000</v>
      </c>
      <c r="N35" s="3">
        <v>564200</v>
      </c>
      <c r="O35" s="3">
        <v>2936000</v>
      </c>
      <c r="P35" s="3">
        <v>511000</v>
      </c>
      <c r="Q35" s="3">
        <v>-1411900</v>
      </c>
      <c r="R35" s="3">
        <v>913000</v>
      </c>
      <c r="S35" s="3">
        <v>-1225000</v>
      </c>
      <c r="T35" s="3">
        <v>3517200</v>
      </c>
      <c r="U35" s="3">
        <v>-561700</v>
      </c>
      <c r="V35" s="3">
        <v>2435900</v>
      </c>
      <c r="W35" s="3">
        <v>-3947000</v>
      </c>
      <c r="X35" s="3">
        <v>-10342200</v>
      </c>
      <c r="Y35" s="3" t="s">
        <v>133</v>
      </c>
      <c r="Z35" s="3" t="s">
        <v>133</v>
      </c>
      <c r="AA35" s="3" t="s">
        <v>133</v>
      </c>
      <c r="AB35" s="3" t="s">
        <v>133</v>
      </c>
      <c r="AC35" s="3" t="s">
        <v>133</v>
      </c>
      <c r="AD35" s="3" t="s">
        <v>133</v>
      </c>
      <c r="AE35" s="3" t="s">
        <v>133</v>
      </c>
      <c r="AF35" s="3" t="s">
        <v>133</v>
      </c>
      <c r="AG35" s="3" t="s">
        <v>133</v>
      </c>
      <c r="AH35" s="3" t="s">
        <v>133</v>
      </c>
      <c r="AI35" s="3" t="s">
        <v>133</v>
      </c>
      <c r="AJ35" s="3" t="s">
        <v>133</v>
      </c>
      <c r="AK35" s="3" t="s">
        <v>133</v>
      </c>
      <c r="AL35" s="3" t="s">
        <v>133</v>
      </c>
      <c r="AM35" s="3" t="s">
        <v>133</v>
      </c>
      <c r="AN35" s="3" t="s">
        <v>133</v>
      </c>
      <c r="AO35" s="3" t="s">
        <v>133</v>
      </c>
      <c r="AP35" s="3" t="s">
        <v>133</v>
      </c>
      <c r="AQ35" s="3" t="s">
        <v>133</v>
      </c>
      <c r="AR35" s="3" t="s">
        <v>133</v>
      </c>
      <c r="AS35" s="3" t="s">
        <v>133</v>
      </c>
      <c r="AT35" s="3" t="s">
        <v>133</v>
      </c>
      <c r="AU35" s="3" t="s">
        <v>133</v>
      </c>
      <c r="AV35" s="3" t="s">
        <v>133</v>
      </c>
      <c r="AW35" s="3" t="s">
        <v>133</v>
      </c>
      <c r="AX35" s="3" t="s">
        <v>133</v>
      </c>
      <c r="AY35" s="3" t="s">
        <v>133</v>
      </c>
      <c r="AZ35" s="3" t="s">
        <v>133</v>
      </c>
      <c r="BA35" s="3" t="s">
        <v>133</v>
      </c>
      <c r="BB35" s="3" t="s">
        <v>133</v>
      </c>
      <c r="BC35" s="3" t="s">
        <v>133</v>
      </c>
      <c r="BD35" s="3" t="s">
        <v>133</v>
      </c>
      <c r="BE35" s="3" t="s">
        <v>133</v>
      </c>
      <c r="BF35" s="3" t="s">
        <v>133</v>
      </c>
      <c r="BG35" s="3" t="s">
        <v>133</v>
      </c>
      <c r="BH35" s="3" t="s">
        <v>133</v>
      </c>
      <c r="BI35" s="3" t="s">
        <v>133</v>
      </c>
      <c r="BJ35" s="3" t="s">
        <v>133</v>
      </c>
      <c r="BK35" s="3" t="s">
        <v>133</v>
      </c>
      <c r="BL35" s="3" t="s">
        <v>133</v>
      </c>
      <c r="BM35" s="3" t="s">
        <v>133</v>
      </c>
      <c r="BN35" s="3" t="s">
        <v>133</v>
      </c>
      <c r="BO35" s="3" t="s">
        <v>133</v>
      </c>
      <c r="BP35" s="3" t="s">
        <v>133</v>
      </c>
      <c r="BQ35" s="3" t="s">
        <v>133</v>
      </c>
      <c r="BR35" s="3" t="s">
        <v>133</v>
      </c>
      <c r="BS35" s="3" t="s">
        <v>133</v>
      </c>
      <c r="BT35" s="3" t="s">
        <v>133</v>
      </c>
      <c r="BU35" s="3" t="s">
        <v>133</v>
      </c>
      <c r="BV35" s="3" t="s">
        <v>133</v>
      </c>
      <c r="BW35" s="3" t="s">
        <v>133</v>
      </c>
      <c r="BX35" s="3" t="s">
        <v>133</v>
      </c>
      <c r="BY35" s="3" t="s">
        <v>133</v>
      </c>
    </row>
    <row r="36" spans="1:77" x14ac:dyDescent="0.25">
      <c r="A36" s="3" t="s">
        <v>160</v>
      </c>
      <c r="B36" s="3">
        <v>274700</v>
      </c>
      <c r="C36" s="3">
        <v>1352800</v>
      </c>
      <c r="D36" s="3">
        <v>-56300</v>
      </c>
      <c r="E36" s="3">
        <v>517600</v>
      </c>
      <c r="F36" s="3">
        <v>-506800</v>
      </c>
      <c r="G36" s="3">
        <v>2003800</v>
      </c>
      <c r="H36" s="3">
        <v>-2147600</v>
      </c>
      <c r="I36" s="3">
        <v>-1136900</v>
      </c>
      <c r="J36" s="3">
        <v>2585000</v>
      </c>
      <c r="K36" s="3">
        <v>-630100</v>
      </c>
      <c r="L36" s="3">
        <v>-482100</v>
      </c>
      <c r="M36" s="3">
        <v>-172000</v>
      </c>
      <c r="N36" s="3">
        <v>564200</v>
      </c>
      <c r="O36" s="3">
        <v>2936000</v>
      </c>
      <c r="P36" s="3">
        <v>511000</v>
      </c>
      <c r="Q36" s="3">
        <v>-1411900</v>
      </c>
      <c r="R36" s="3">
        <v>913000</v>
      </c>
      <c r="S36" s="3">
        <v>-1225000</v>
      </c>
      <c r="T36" s="3">
        <v>3517200</v>
      </c>
      <c r="U36" s="3">
        <v>-561700</v>
      </c>
      <c r="V36" s="3">
        <v>2435900</v>
      </c>
      <c r="W36" s="3">
        <v>-3947000</v>
      </c>
      <c r="X36" s="3">
        <v>-10342200</v>
      </c>
      <c r="Y36" s="3" t="s">
        <v>133</v>
      </c>
      <c r="Z36" s="3" t="s">
        <v>133</v>
      </c>
      <c r="AA36" s="3" t="s">
        <v>133</v>
      </c>
      <c r="AB36" s="3" t="s">
        <v>133</v>
      </c>
      <c r="AC36" s="3" t="s">
        <v>133</v>
      </c>
      <c r="AD36" s="3" t="s">
        <v>133</v>
      </c>
      <c r="AE36" s="3" t="s">
        <v>133</v>
      </c>
      <c r="AF36" s="3" t="s">
        <v>133</v>
      </c>
      <c r="AG36" s="3" t="s">
        <v>133</v>
      </c>
      <c r="AH36" s="3" t="s">
        <v>133</v>
      </c>
      <c r="AI36" s="3" t="s">
        <v>133</v>
      </c>
      <c r="AJ36" s="3" t="s">
        <v>133</v>
      </c>
      <c r="AK36" s="3" t="s">
        <v>133</v>
      </c>
      <c r="AL36" s="3" t="s">
        <v>133</v>
      </c>
      <c r="AM36" s="3" t="s">
        <v>133</v>
      </c>
      <c r="AN36" s="3" t="s">
        <v>133</v>
      </c>
      <c r="AO36" s="3" t="s">
        <v>133</v>
      </c>
      <c r="AP36" s="3" t="s">
        <v>133</v>
      </c>
      <c r="AQ36" s="3" t="s">
        <v>133</v>
      </c>
      <c r="AR36" s="3" t="s">
        <v>133</v>
      </c>
      <c r="AS36" s="3" t="s">
        <v>133</v>
      </c>
      <c r="AT36" s="3" t="s">
        <v>133</v>
      </c>
      <c r="AU36" s="3" t="s">
        <v>133</v>
      </c>
      <c r="AV36" s="3" t="s">
        <v>133</v>
      </c>
      <c r="AW36" s="3" t="s">
        <v>133</v>
      </c>
      <c r="AX36" s="3" t="s">
        <v>133</v>
      </c>
      <c r="AY36" s="3" t="s">
        <v>133</v>
      </c>
      <c r="AZ36" s="3" t="s">
        <v>133</v>
      </c>
      <c r="BA36" s="3" t="s">
        <v>133</v>
      </c>
      <c r="BB36" s="3" t="s">
        <v>133</v>
      </c>
      <c r="BC36" s="3" t="s">
        <v>133</v>
      </c>
      <c r="BD36" s="3" t="s">
        <v>133</v>
      </c>
      <c r="BE36" s="3" t="s">
        <v>133</v>
      </c>
      <c r="BF36" s="3" t="s">
        <v>133</v>
      </c>
      <c r="BG36" s="3" t="s">
        <v>133</v>
      </c>
      <c r="BH36" s="3" t="s">
        <v>133</v>
      </c>
      <c r="BI36" s="3" t="s">
        <v>133</v>
      </c>
      <c r="BJ36" s="3" t="s">
        <v>133</v>
      </c>
      <c r="BK36" s="3" t="s">
        <v>133</v>
      </c>
      <c r="BL36" s="3" t="s">
        <v>133</v>
      </c>
      <c r="BM36" s="3" t="s">
        <v>133</v>
      </c>
      <c r="BN36" s="3" t="s">
        <v>133</v>
      </c>
      <c r="BO36" s="3" t="s">
        <v>133</v>
      </c>
      <c r="BP36" s="3" t="s">
        <v>133</v>
      </c>
      <c r="BQ36" s="3" t="s">
        <v>133</v>
      </c>
      <c r="BR36" s="3" t="s">
        <v>133</v>
      </c>
      <c r="BS36" s="3" t="s">
        <v>133</v>
      </c>
      <c r="BT36" s="3" t="s">
        <v>133</v>
      </c>
      <c r="BU36" s="3" t="s">
        <v>133</v>
      </c>
      <c r="BV36" s="3" t="s">
        <v>133</v>
      </c>
      <c r="BW36" s="3" t="s">
        <v>133</v>
      </c>
      <c r="BX36" s="3" t="s">
        <v>133</v>
      </c>
      <c r="BY36" s="3" t="s">
        <v>133</v>
      </c>
    </row>
    <row r="37" spans="1:77" x14ac:dyDescent="0.25">
      <c r="A37" s="3" t="s">
        <v>161</v>
      </c>
      <c r="B37" s="3">
        <v>11923401500</v>
      </c>
      <c r="C37" s="3">
        <v>10066045800</v>
      </c>
      <c r="D37" s="3">
        <v>13862797200</v>
      </c>
      <c r="E37" s="3">
        <v>11558215100</v>
      </c>
      <c r="F37" s="3">
        <v>11215269000</v>
      </c>
      <c r="G37" s="3">
        <v>9282810200</v>
      </c>
      <c r="H37" s="3">
        <v>11913573500</v>
      </c>
      <c r="I37" s="3">
        <v>11257125900</v>
      </c>
      <c r="J37" s="3">
        <v>9652587500</v>
      </c>
      <c r="K37" s="3">
        <v>7790186600</v>
      </c>
      <c r="L37" s="3">
        <v>9130053700</v>
      </c>
      <c r="M37" s="3">
        <v>7644782200</v>
      </c>
      <c r="N37" s="3">
        <v>9317594600</v>
      </c>
      <c r="O37" s="3">
        <v>5502541200</v>
      </c>
      <c r="P37" s="3">
        <v>6545344500</v>
      </c>
      <c r="Q37" s="3">
        <v>4599039400</v>
      </c>
      <c r="R37" s="3">
        <v>3953901800</v>
      </c>
      <c r="S37" s="3">
        <v>4163899300</v>
      </c>
      <c r="T37" s="3">
        <v>5215595900</v>
      </c>
      <c r="U37" s="3">
        <v>4327645500</v>
      </c>
      <c r="V37" s="3">
        <v>3764704700</v>
      </c>
      <c r="W37" s="3">
        <v>3732253100</v>
      </c>
      <c r="X37" s="3">
        <v>4617978200</v>
      </c>
      <c r="Y37" s="3">
        <v>4893062800</v>
      </c>
      <c r="Z37" s="3">
        <v>3711151700</v>
      </c>
      <c r="AA37" s="3">
        <v>3711604600</v>
      </c>
      <c r="AB37" s="3">
        <v>3952933500</v>
      </c>
      <c r="AC37" s="3">
        <v>4302724600</v>
      </c>
      <c r="AD37" s="3">
        <v>4041260500</v>
      </c>
      <c r="AE37" s="3">
        <v>3847551500</v>
      </c>
      <c r="AF37" s="3">
        <v>3773363200</v>
      </c>
      <c r="AG37" s="3">
        <v>3070470900</v>
      </c>
      <c r="AH37" s="3">
        <v>3589040200</v>
      </c>
      <c r="AI37" s="3">
        <v>4219448700</v>
      </c>
      <c r="AJ37" s="3">
        <v>3129490800</v>
      </c>
      <c r="AK37" s="3">
        <v>2319609500</v>
      </c>
      <c r="AL37" s="3">
        <v>1764408100</v>
      </c>
      <c r="AM37" s="3">
        <v>3175014900</v>
      </c>
      <c r="AN37" s="3">
        <v>1991291300</v>
      </c>
      <c r="AO37" s="3">
        <v>928657000</v>
      </c>
      <c r="AP37" s="3">
        <v>1136541900</v>
      </c>
      <c r="AQ37" s="3">
        <v>1930179800</v>
      </c>
      <c r="AR37" s="3">
        <v>1344382800</v>
      </c>
      <c r="AS37" s="3" t="s">
        <v>133</v>
      </c>
      <c r="AT37" s="3" t="s">
        <v>133</v>
      </c>
      <c r="AU37" s="3" t="s">
        <v>133</v>
      </c>
      <c r="AV37" s="3">
        <v>1278840600</v>
      </c>
      <c r="AW37" s="3" t="s">
        <v>133</v>
      </c>
      <c r="AX37" s="3" t="s">
        <v>133</v>
      </c>
      <c r="AY37" s="3" t="s">
        <v>133</v>
      </c>
      <c r="AZ37" s="3" t="s">
        <v>133</v>
      </c>
      <c r="BA37" s="3" t="s">
        <v>133</v>
      </c>
      <c r="BB37" s="3" t="s">
        <v>133</v>
      </c>
      <c r="BC37" s="3" t="s">
        <v>133</v>
      </c>
      <c r="BD37" s="3" t="s">
        <v>133</v>
      </c>
      <c r="BE37" s="3" t="s">
        <v>133</v>
      </c>
      <c r="BF37" s="3" t="s">
        <v>133</v>
      </c>
      <c r="BG37" s="3" t="s">
        <v>133</v>
      </c>
      <c r="BH37" s="3" t="s">
        <v>133</v>
      </c>
      <c r="BI37" s="3" t="s">
        <v>133</v>
      </c>
      <c r="BJ37" s="3" t="s">
        <v>133</v>
      </c>
      <c r="BK37" s="3" t="s">
        <v>133</v>
      </c>
      <c r="BL37" s="3" t="s">
        <v>133</v>
      </c>
      <c r="BM37" s="3" t="s">
        <v>133</v>
      </c>
      <c r="BN37" s="3" t="s">
        <v>133</v>
      </c>
      <c r="BO37" s="3" t="s">
        <v>133</v>
      </c>
      <c r="BP37" s="3" t="s">
        <v>133</v>
      </c>
      <c r="BQ37" s="3" t="s">
        <v>133</v>
      </c>
      <c r="BR37" s="3" t="s">
        <v>133</v>
      </c>
      <c r="BS37" s="3" t="s">
        <v>133</v>
      </c>
      <c r="BT37" s="3" t="s">
        <v>133</v>
      </c>
      <c r="BU37" s="3" t="s">
        <v>133</v>
      </c>
      <c r="BV37" s="3" t="s">
        <v>133</v>
      </c>
      <c r="BW37" s="3" t="s">
        <v>133</v>
      </c>
      <c r="BX37" s="3" t="s">
        <v>133</v>
      </c>
      <c r="BY37" s="3" t="s">
        <v>133</v>
      </c>
    </row>
    <row r="38" spans="1:77" x14ac:dyDescent="0.25">
      <c r="A38" s="3" t="s">
        <v>162</v>
      </c>
      <c r="B38" s="3">
        <v>11225723500</v>
      </c>
      <c r="C38" s="3">
        <v>9509237600</v>
      </c>
      <c r="D38" s="3">
        <v>13093714000</v>
      </c>
      <c r="E38" s="3">
        <v>10752133300</v>
      </c>
      <c r="F38" s="3">
        <v>10503323000</v>
      </c>
      <c r="G38" s="3">
        <v>8731598100</v>
      </c>
      <c r="H38" s="3">
        <v>11219283700</v>
      </c>
      <c r="I38" s="3">
        <v>10468935600</v>
      </c>
      <c r="J38" s="3">
        <v>8971951900</v>
      </c>
      <c r="K38" s="3">
        <v>7256649000</v>
      </c>
      <c r="L38" s="3">
        <v>8506424600</v>
      </c>
      <c r="M38" s="3">
        <v>7095341300</v>
      </c>
      <c r="N38" s="3">
        <v>8733550300</v>
      </c>
      <c r="O38" s="3">
        <v>5130677600</v>
      </c>
      <c r="P38" s="3">
        <v>6123630300</v>
      </c>
      <c r="Q38" s="3">
        <v>4251373000</v>
      </c>
      <c r="R38" s="3">
        <v>3663853600</v>
      </c>
      <c r="S38" s="3">
        <v>3912140500</v>
      </c>
      <c r="T38" s="3">
        <v>4892788800</v>
      </c>
      <c r="U38" s="3">
        <v>4077890800</v>
      </c>
      <c r="V38" s="3">
        <v>3538841300</v>
      </c>
      <c r="W38" s="3">
        <v>3519383600</v>
      </c>
      <c r="X38" s="3">
        <v>4354559500</v>
      </c>
      <c r="Y38" s="3">
        <v>4655856100</v>
      </c>
      <c r="Z38" s="3">
        <v>3463475400</v>
      </c>
      <c r="AA38" s="3">
        <v>3530467600</v>
      </c>
      <c r="AB38" s="3">
        <v>3699386300</v>
      </c>
      <c r="AC38" s="3">
        <v>4066445300</v>
      </c>
      <c r="AD38" s="3">
        <v>3822249800</v>
      </c>
      <c r="AE38" s="3">
        <v>3654846600</v>
      </c>
      <c r="AF38" s="3">
        <v>3593098100</v>
      </c>
      <c r="AG38" s="3">
        <v>2888020400</v>
      </c>
      <c r="AH38" s="3">
        <v>3424337600</v>
      </c>
      <c r="AI38" s="3">
        <v>4026505800</v>
      </c>
      <c r="AJ38" s="3">
        <v>2969215800</v>
      </c>
      <c r="AK38" s="3">
        <v>2194061300</v>
      </c>
      <c r="AL38" s="3">
        <v>1661907500</v>
      </c>
      <c r="AM38" s="3">
        <v>3023182200</v>
      </c>
      <c r="AN38" s="3">
        <v>1883995000</v>
      </c>
      <c r="AO38" s="3">
        <v>877020200</v>
      </c>
      <c r="AP38" s="3">
        <v>1074416700</v>
      </c>
      <c r="AQ38" s="3">
        <v>1834094700</v>
      </c>
      <c r="AR38" s="3">
        <v>1265662600</v>
      </c>
      <c r="AS38" s="3" t="s">
        <v>133</v>
      </c>
      <c r="AT38" s="3" t="s">
        <v>133</v>
      </c>
      <c r="AU38" s="3" t="s">
        <v>133</v>
      </c>
      <c r="AV38" s="3">
        <v>1217009500</v>
      </c>
      <c r="AW38" s="3" t="s">
        <v>133</v>
      </c>
      <c r="AX38" s="3" t="s">
        <v>133</v>
      </c>
      <c r="AY38" s="3" t="s">
        <v>133</v>
      </c>
      <c r="AZ38" s="3" t="s">
        <v>133</v>
      </c>
      <c r="BA38" s="3" t="s">
        <v>133</v>
      </c>
      <c r="BB38" s="3" t="s">
        <v>133</v>
      </c>
      <c r="BC38" s="3" t="s">
        <v>133</v>
      </c>
      <c r="BD38" s="3" t="s">
        <v>133</v>
      </c>
      <c r="BE38" s="3" t="s">
        <v>133</v>
      </c>
      <c r="BF38" s="3" t="s">
        <v>133</v>
      </c>
      <c r="BG38" s="3" t="s">
        <v>133</v>
      </c>
      <c r="BH38" s="3" t="s">
        <v>133</v>
      </c>
      <c r="BI38" s="3" t="s">
        <v>133</v>
      </c>
      <c r="BJ38" s="3" t="s">
        <v>133</v>
      </c>
      <c r="BK38" s="3" t="s">
        <v>133</v>
      </c>
      <c r="BL38" s="3" t="s">
        <v>133</v>
      </c>
      <c r="BM38" s="3" t="s">
        <v>133</v>
      </c>
      <c r="BN38" s="3" t="s">
        <v>133</v>
      </c>
      <c r="BO38" s="3" t="s">
        <v>133</v>
      </c>
      <c r="BP38" s="3" t="s">
        <v>133</v>
      </c>
      <c r="BQ38" s="3" t="s">
        <v>133</v>
      </c>
      <c r="BR38" s="3" t="s">
        <v>133</v>
      </c>
      <c r="BS38" s="3" t="s">
        <v>133</v>
      </c>
      <c r="BT38" s="3" t="s">
        <v>133</v>
      </c>
      <c r="BU38" s="3" t="s">
        <v>133</v>
      </c>
      <c r="BV38" s="3" t="s">
        <v>133</v>
      </c>
      <c r="BW38" s="3" t="s">
        <v>133</v>
      </c>
      <c r="BX38" s="3" t="s">
        <v>133</v>
      </c>
      <c r="BY38" s="3" t="s">
        <v>133</v>
      </c>
    </row>
    <row r="39" spans="1:77" x14ac:dyDescent="0.25">
      <c r="A39" s="3" t="s">
        <v>163</v>
      </c>
      <c r="B39" s="3">
        <v>697678000</v>
      </c>
      <c r="C39" s="3">
        <v>556808100</v>
      </c>
      <c r="D39" s="3">
        <v>769083300</v>
      </c>
      <c r="E39" s="3">
        <v>806081800</v>
      </c>
      <c r="F39" s="3">
        <v>711946000</v>
      </c>
      <c r="G39" s="3">
        <v>551212200</v>
      </c>
      <c r="H39" s="3">
        <v>694289800</v>
      </c>
      <c r="I39" s="3">
        <v>788190300</v>
      </c>
      <c r="J39" s="3">
        <v>680635600</v>
      </c>
      <c r="K39" s="3">
        <v>533537600</v>
      </c>
      <c r="L39" s="3">
        <v>623629100</v>
      </c>
      <c r="M39" s="3">
        <v>549440900</v>
      </c>
      <c r="N39" s="3">
        <v>584044300</v>
      </c>
      <c r="O39" s="3">
        <v>371863600</v>
      </c>
      <c r="P39" s="3">
        <v>421714100</v>
      </c>
      <c r="Q39" s="3">
        <v>347666400</v>
      </c>
      <c r="R39" s="3">
        <v>290048200</v>
      </c>
      <c r="S39" s="3">
        <v>251758800</v>
      </c>
      <c r="T39" s="3">
        <v>322807100</v>
      </c>
      <c r="U39" s="3">
        <v>249754800</v>
      </c>
      <c r="V39" s="3">
        <v>225863400</v>
      </c>
      <c r="W39" s="3">
        <v>212869500</v>
      </c>
      <c r="X39" s="3">
        <v>263418700</v>
      </c>
      <c r="Y39" s="3">
        <v>237206700</v>
      </c>
      <c r="Z39" s="3">
        <v>247676300</v>
      </c>
      <c r="AA39" s="3">
        <v>181137000</v>
      </c>
      <c r="AB39" s="3">
        <v>253547200</v>
      </c>
      <c r="AC39" s="3">
        <v>236279300</v>
      </c>
      <c r="AD39" s="3">
        <v>219010700</v>
      </c>
      <c r="AE39" s="3">
        <v>192705000</v>
      </c>
      <c r="AF39" s="3">
        <v>180265100</v>
      </c>
      <c r="AG39" s="3">
        <v>182450500</v>
      </c>
      <c r="AH39" s="3">
        <v>164702600</v>
      </c>
      <c r="AI39" s="3">
        <v>192942900</v>
      </c>
      <c r="AJ39" s="3">
        <v>160275000</v>
      </c>
      <c r="AK39" s="3">
        <v>125548200</v>
      </c>
      <c r="AL39" s="3">
        <v>102500600</v>
      </c>
      <c r="AM39" s="3">
        <v>151832700</v>
      </c>
      <c r="AN39" s="3">
        <v>107296400</v>
      </c>
      <c r="AO39" s="3">
        <v>51636800</v>
      </c>
      <c r="AP39" s="3">
        <v>62125200</v>
      </c>
      <c r="AQ39" s="3">
        <v>96085100</v>
      </c>
      <c r="AR39" s="3">
        <v>78720200</v>
      </c>
      <c r="AS39" s="3" t="s">
        <v>133</v>
      </c>
      <c r="AT39" s="3" t="s">
        <v>133</v>
      </c>
      <c r="AU39" s="3" t="s">
        <v>133</v>
      </c>
      <c r="AV39" s="3">
        <v>61831100</v>
      </c>
      <c r="AW39" s="3" t="s">
        <v>133</v>
      </c>
      <c r="AX39" s="3" t="s">
        <v>133</v>
      </c>
      <c r="AY39" s="3" t="s">
        <v>133</v>
      </c>
      <c r="AZ39" s="3" t="s">
        <v>133</v>
      </c>
      <c r="BA39" s="3" t="s">
        <v>133</v>
      </c>
      <c r="BB39" s="3" t="s">
        <v>133</v>
      </c>
      <c r="BC39" s="3" t="s">
        <v>133</v>
      </c>
      <c r="BD39" s="3" t="s">
        <v>133</v>
      </c>
      <c r="BE39" s="3" t="s">
        <v>133</v>
      </c>
      <c r="BF39" s="3" t="s">
        <v>133</v>
      </c>
      <c r="BG39" s="3" t="s">
        <v>133</v>
      </c>
      <c r="BH39" s="3" t="s">
        <v>133</v>
      </c>
      <c r="BI39" s="3" t="s">
        <v>133</v>
      </c>
      <c r="BJ39" s="3" t="s">
        <v>133</v>
      </c>
      <c r="BK39" s="3" t="s">
        <v>133</v>
      </c>
      <c r="BL39" s="3" t="s">
        <v>133</v>
      </c>
      <c r="BM39" s="3" t="s">
        <v>133</v>
      </c>
      <c r="BN39" s="3" t="s">
        <v>133</v>
      </c>
      <c r="BO39" s="3" t="s">
        <v>133</v>
      </c>
      <c r="BP39" s="3" t="s">
        <v>133</v>
      </c>
      <c r="BQ39" s="3" t="s">
        <v>133</v>
      </c>
      <c r="BR39" s="3" t="s">
        <v>133</v>
      </c>
      <c r="BS39" s="3" t="s">
        <v>133</v>
      </c>
      <c r="BT39" s="3" t="s">
        <v>133</v>
      </c>
      <c r="BU39" s="3" t="s">
        <v>133</v>
      </c>
      <c r="BV39" s="3" t="s">
        <v>133</v>
      </c>
      <c r="BW39" s="3" t="s">
        <v>133</v>
      </c>
      <c r="BX39" s="3" t="s">
        <v>133</v>
      </c>
      <c r="BY39" s="3" t="s">
        <v>133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91204-DD1D-4B3E-89A3-02FE6FBB382E}">
  <sheetPr codeName="Sheet6"/>
  <dimension ref="A2:CC40"/>
  <sheetViews>
    <sheetView workbookViewId="0">
      <selection activeCell="F13" sqref="F13"/>
    </sheetView>
  </sheetViews>
  <sheetFormatPr defaultRowHeight="15" x14ac:dyDescent="0.25"/>
  <cols>
    <col min="1" max="1" width="22.85546875" style="2" bestFit="1" customWidth="1"/>
    <col min="2" max="81" width="10" style="2" customWidth="1"/>
    <col min="82" max="256" width="9.140625" style="2"/>
    <col min="257" max="257" width="25" style="2" customWidth="1"/>
    <col min="258" max="337" width="10" style="2" customWidth="1"/>
    <col min="338" max="512" width="9.140625" style="2"/>
    <col min="513" max="513" width="25" style="2" customWidth="1"/>
    <col min="514" max="593" width="10" style="2" customWidth="1"/>
    <col min="594" max="768" width="9.140625" style="2"/>
    <col min="769" max="769" width="25" style="2" customWidth="1"/>
    <col min="770" max="849" width="10" style="2" customWidth="1"/>
    <col min="850" max="1024" width="9.140625" style="2"/>
    <col min="1025" max="1025" width="25" style="2" customWidth="1"/>
    <col min="1026" max="1105" width="10" style="2" customWidth="1"/>
    <col min="1106" max="1280" width="9.140625" style="2"/>
    <col min="1281" max="1281" width="25" style="2" customWidth="1"/>
    <col min="1282" max="1361" width="10" style="2" customWidth="1"/>
    <col min="1362" max="1536" width="9.140625" style="2"/>
    <col min="1537" max="1537" width="25" style="2" customWidth="1"/>
    <col min="1538" max="1617" width="10" style="2" customWidth="1"/>
    <col min="1618" max="1792" width="9.140625" style="2"/>
    <col min="1793" max="1793" width="25" style="2" customWidth="1"/>
    <col min="1794" max="1873" width="10" style="2" customWidth="1"/>
    <col min="1874" max="2048" width="9.140625" style="2"/>
    <col min="2049" max="2049" width="25" style="2" customWidth="1"/>
    <col min="2050" max="2129" width="10" style="2" customWidth="1"/>
    <col min="2130" max="2304" width="9.140625" style="2"/>
    <col min="2305" max="2305" width="25" style="2" customWidth="1"/>
    <col min="2306" max="2385" width="10" style="2" customWidth="1"/>
    <col min="2386" max="2560" width="9.140625" style="2"/>
    <col min="2561" max="2561" width="25" style="2" customWidth="1"/>
    <col min="2562" max="2641" width="10" style="2" customWidth="1"/>
    <col min="2642" max="2816" width="9.140625" style="2"/>
    <col min="2817" max="2817" width="25" style="2" customWidth="1"/>
    <col min="2818" max="2897" width="10" style="2" customWidth="1"/>
    <col min="2898" max="3072" width="9.140625" style="2"/>
    <col min="3073" max="3073" width="25" style="2" customWidth="1"/>
    <col min="3074" max="3153" width="10" style="2" customWidth="1"/>
    <col min="3154" max="3328" width="9.140625" style="2"/>
    <col min="3329" max="3329" width="25" style="2" customWidth="1"/>
    <col min="3330" max="3409" width="10" style="2" customWidth="1"/>
    <col min="3410" max="3584" width="9.140625" style="2"/>
    <col min="3585" max="3585" width="25" style="2" customWidth="1"/>
    <col min="3586" max="3665" width="10" style="2" customWidth="1"/>
    <col min="3666" max="3840" width="9.140625" style="2"/>
    <col min="3841" max="3841" width="25" style="2" customWidth="1"/>
    <col min="3842" max="3921" width="10" style="2" customWidth="1"/>
    <col min="3922" max="4096" width="9.140625" style="2"/>
    <col min="4097" max="4097" width="25" style="2" customWidth="1"/>
    <col min="4098" max="4177" width="10" style="2" customWidth="1"/>
    <col min="4178" max="4352" width="9.140625" style="2"/>
    <col min="4353" max="4353" width="25" style="2" customWidth="1"/>
    <col min="4354" max="4433" width="10" style="2" customWidth="1"/>
    <col min="4434" max="4608" width="9.140625" style="2"/>
    <col min="4609" max="4609" width="25" style="2" customWidth="1"/>
    <col min="4610" max="4689" width="10" style="2" customWidth="1"/>
    <col min="4690" max="4864" width="9.140625" style="2"/>
    <col min="4865" max="4865" width="25" style="2" customWidth="1"/>
    <col min="4866" max="4945" width="10" style="2" customWidth="1"/>
    <col min="4946" max="5120" width="9.140625" style="2"/>
    <col min="5121" max="5121" width="25" style="2" customWidth="1"/>
    <col min="5122" max="5201" width="10" style="2" customWidth="1"/>
    <col min="5202" max="5376" width="9.140625" style="2"/>
    <col min="5377" max="5377" width="25" style="2" customWidth="1"/>
    <col min="5378" max="5457" width="10" style="2" customWidth="1"/>
    <col min="5458" max="5632" width="9.140625" style="2"/>
    <col min="5633" max="5633" width="25" style="2" customWidth="1"/>
    <col min="5634" max="5713" width="10" style="2" customWidth="1"/>
    <col min="5714" max="5888" width="9.140625" style="2"/>
    <col min="5889" max="5889" width="25" style="2" customWidth="1"/>
    <col min="5890" max="5969" width="10" style="2" customWidth="1"/>
    <col min="5970" max="6144" width="9.140625" style="2"/>
    <col min="6145" max="6145" width="25" style="2" customWidth="1"/>
    <col min="6146" max="6225" width="10" style="2" customWidth="1"/>
    <col min="6226" max="6400" width="9.140625" style="2"/>
    <col min="6401" max="6401" width="25" style="2" customWidth="1"/>
    <col min="6402" max="6481" width="10" style="2" customWidth="1"/>
    <col min="6482" max="6656" width="9.140625" style="2"/>
    <col min="6657" max="6657" width="25" style="2" customWidth="1"/>
    <col min="6658" max="6737" width="10" style="2" customWidth="1"/>
    <col min="6738" max="6912" width="9.140625" style="2"/>
    <col min="6913" max="6913" width="25" style="2" customWidth="1"/>
    <col min="6914" max="6993" width="10" style="2" customWidth="1"/>
    <col min="6994" max="7168" width="9.140625" style="2"/>
    <col min="7169" max="7169" width="25" style="2" customWidth="1"/>
    <col min="7170" max="7249" width="10" style="2" customWidth="1"/>
    <col min="7250" max="7424" width="9.140625" style="2"/>
    <col min="7425" max="7425" width="25" style="2" customWidth="1"/>
    <col min="7426" max="7505" width="10" style="2" customWidth="1"/>
    <col min="7506" max="7680" width="9.140625" style="2"/>
    <col min="7681" max="7681" width="25" style="2" customWidth="1"/>
    <col min="7682" max="7761" width="10" style="2" customWidth="1"/>
    <col min="7762" max="7936" width="9.140625" style="2"/>
    <col min="7937" max="7937" width="25" style="2" customWidth="1"/>
    <col min="7938" max="8017" width="10" style="2" customWidth="1"/>
    <col min="8018" max="8192" width="9.140625" style="2"/>
    <col min="8193" max="8193" width="25" style="2" customWidth="1"/>
    <col min="8194" max="8273" width="10" style="2" customWidth="1"/>
    <col min="8274" max="8448" width="9.140625" style="2"/>
    <col min="8449" max="8449" width="25" style="2" customWidth="1"/>
    <col min="8450" max="8529" width="10" style="2" customWidth="1"/>
    <col min="8530" max="8704" width="9.140625" style="2"/>
    <col min="8705" max="8705" width="25" style="2" customWidth="1"/>
    <col min="8706" max="8785" width="10" style="2" customWidth="1"/>
    <col min="8786" max="8960" width="9.140625" style="2"/>
    <col min="8961" max="8961" width="25" style="2" customWidth="1"/>
    <col min="8962" max="9041" width="10" style="2" customWidth="1"/>
    <col min="9042" max="9216" width="9.140625" style="2"/>
    <col min="9217" max="9217" width="25" style="2" customWidth="1"/>
    <col min="9218" max="9297" width="10" style="2" customWidth="1"/>
    <col min="9298" max="9472" width="9.140625" style="2"/>
    <col min="9473" max="9473" width="25" style="2" customWidth="1"/>
    <col min="9474" max="9553" width="10" style="2" customWidth="1"/>
    <col min="9554" max="9728" width="9.140625" style="2"/>
    <col min="9729" max="9729" width="25" style="2" customWidth="1"/>
    <col min="9730" max="9809" width="10" style="2" customWidth="1"/>
    <col min="9810" max="9984" width="9.140625" style="2"/>
    <col min="9985" max="9985" width="25" style="2" customWidth="1"/>
    <col min="9986" max="10065" width="10" style="2" customWidth="1"/>
    <col min="10066" max="10240" width="9.140625" style="2"/>
    <col min="10241" max="10241" width="25" style="2" customWidth="1"/>
    <col min="10242" max="10321" width="10" style="2" customWidth="1"/>
    <col min="10322" max="10496" width="9.140625" style="2"/>
    <col min="10497" max="10497" width="25" style="2" customWidth="1"/>
    <col min="10498" max="10577" width="10" style="2" customWidth="1"/>
    <col min="10578" max="10752" width="9.140625" style="2"/>
    <col min="10753" max="10753" width="25" style="2" customWidth="1"/>
    <col min="10754" max="10833" width="10" style="2" customWidth="1"/>
    <col min="10834" max="11008" width="9.140625" style="2"/>
    <col min="11009" max="11009" width="25" style="2" customWidth="1"/>
    <col min="11010" max="11089" width="10" style="2" customWidth="1"/>
    <col min="11090" max="11264" width="9.140625" style="2"/>
    <col min="11265" max="11265" width="25" style="2" customWidth="1"/>
    <col min="11266" max="11345" width="10" style="2" customWidth="1"/>
    <col min="11346" max="11520" width="9.140625" style="2"/>
    <col min="11521" max="11521" width="25" style="2" customWidth="1"/>
    <col min="11522" max="11601" width="10" style="2" customWidth="1"/>
    <col min="11602" max="11776" width="9.140625" style="2"/>
    <col min="11777" max="11777" width="25" style="2" customWidth="1"/>
    <col min="11778" max="11857" width="10" style="2" customWidth="1"/>
    <col min="11858" max="12032" width="9.140625" style="2"/>
    <col min="12033" max="12033" width="25" style="2" customWidth="1"/>
    <col min="12034" max="12113" width="10" style="2" customWidth="1"/>
    <col min="12114" max="12288" width="9.140625" style="2"/>
    <col min="12289" max="12289" width="25" style="2" customWidth="1"/>
    <col min="12290" max="12369" width="10" style="2" customWidth="1"/>
    <col min="12370" max="12544" width="9.140625" style="2"/>
    <col min="12545" max="12545" width="25" style="2" customWidth="1"/>
    <col min="12546" max="12625" width="10" style="2" customWidth="1"/>
    <col min="12626" max="12800" width="9.140625" style="2"/>
    <col min="12801" max="12801" width="25" style="2" customWidth="1"/>
    <col min="12802" max="12881" width="10" style="2" customWidth="1"/>
    <col min="12882" max="13056" width="9.140625" style="2"/>
    <col min="13057" max="13057" width="25" style="2" customWidth="1"/>
    <col min="13058" max="13137" width="10" style="2" customWidth="1"/>
    <col min="13138" max="13312" width="9.140625" style="2"/>
    <col min="13313" max="13313" width="25" style="2" customWidth="1"/>
    <col min="13314" max="13393" width="10" style="2" customWidth="1"/>
    <col min="13394" max="13568" width="9.140625" style="2"/>
    <col min="13569" max="13569" width="25" style="2" customWidth="1"/>
    <col min="13570" max="13649" width="10" style="2" customWidth="1"/>
    <col min="13650" max="13824" width="9.140625" style="2"/>
    <col min="13825" max="13825" width="25" style="2" customWidth="1"/>
    <col min="13826" max="13905" width="10" style="2" customWidth="1"/>
    <col min="13906" max="14080" width="9.140625" style="2"/>
    <col min="14081" max="14081" width="25" style="2" customWidth="1"/>
    <col min="14082" max="14161" width="10" style="2" customWidth="1"/>
    <col min="14162" max="14336" width="9.140625" style="2"/>
    <col min="14337" max="14337" width="25" style="2" customWidth="1"/>
    <col min="14338" max="14417" width="10" style="2" customWidth="1"/>
    <col min="14418" max="14592" width="9.140625" style="2"/>
    <col min="14593" max="14593" width="25" style="2" customWidth="1"/>
    <col min="14594" max="14673" width="10" style="2" customWidth="1"/>
    <col min="14674" max="14848" width="9.140625" style="2"/>
    <col min="14849" max="14849" width="25" style="2" customWidth="1"/>
    <col min="14850" max="14929" width="10" style="2" customWidth="1"/>
    <col min="14930" max="15104" width="9.140625" style="2"/>
    <col min="15105" max="15105" width="25" style="2" customWidth="1"/>
    <col min="15106" max="15185" width="10" style="2" customWidth="1"/>
    <col min="15186" max="15360" width="9.140625" style="2"/>
    <col min="15361" max="15361" width="25" style="2" customWidth="1"/>
    <col min="15362" max="15441" width="10" style="2" customWidth="1"/>
    <col min="15442" max="15616" width="9.140625" style="2"/>
    <col min="15617" max="15617" width="25" style="2" customWidth="1"/>
    <col min="15618" max="15697" width="10" style="2" customWidth="1"/>
    <col min="15698" max="15872" width="9.140625" style="2"/>
    <col min="15873" max="15873" width="25" style="2" customWidth="1"/>
    <col min="15874" max="15953" width="10" style="2" customWidth="1"/>
    <col min="15954" max="16128" width="9.140625" style="2"/>
    <col min="16129" max="16129" width="25" style="2" customWidth="1"/>
    <col min="16130" max="16209" width="10" style="2" customWidth="1"/>
    <col min="16210" max="16384" width="9.140625" style="2"/>
  </cols>
  <sheetData>
    <row r="2" spans="1:81" x14ac:dyDescent="0.25">
      <c r="A2" s="2" t="s">
        <v>10</v>
      </c>
      <c r="B2" s="2" t="s">
        <v>56</v>
      </c>
      <c r="C2" s="2" t="s">
        <v>57</v>
      </c>
      <c r="D2" s="2" t="s">
        <v>58</v>
      </c>
      <c r="E2" s="2" t="s">
        <v>59</v>
      </c>
      <c r="F2" s="2" t="s">
        <v>60</v>
      </c>
      <c r="G2" s="2" t="s">
        <v>61</v>
      </c>
      <c r="H2" s="2" t="s">
        <v>62</v>
      </c>
      <c r="I2" s="2" t="s">
        <v>63</v>
      </c>
      <c r="J2" s="2" t="s">
        <v>64</v>
      </c>
      <c r="K2" s="2" t="s">
        <v>65</v>
      </c>
      <c r="L2" s="2" t="s">
        <v>66</v>
      </c>
      <c r="M2" s="2" t="s">
        <v>67</v>
      </c>
      <c r="N2" s="2" t="s">
        <v>68</v>
      </c>
      <c r="O2" s="2" t="s">
        <v>69</v>
      </c>
      <c r="P2" s="2" t="s">
        <v>70</v>
      </c>
      <c r="Q2" s="2" t="s">
        <v>71</v>
      </c>
      <c r="R2" s="2" t="s">
        <v>72</v>
      </c>
      <c r="S2" s="2" t="s">
        <v>73</v>
      </c>
      <c r="T2" s="2" t="s">
        <v>74</v>
      </c>
      <c r="U2" s="2" t="s">
        <v>75</v>
      </c>
      <c r="V2" s="2" t="s">
        <v>76</v>
      </c>
      <c r="W2" s="2" t="s">
        <v>77</v>
      </c>
      <c r="X2" s="2" t="s">
        <v>78</v>
      </c>
      <c r="Y2" s="2" t="s">
        <v>79</v>
      </c>
      <c r="Z2" s="2" t="s">
        <v>80</v>
      </c>
      <c r="AA2" s="2" t="s">
        <v>81</v>
      </c>
      <c r="AB2" s="2" t="s">
        <v>82</v>
      </c>
      <c r="AC2" s="2" t="s">
        <v>83</v>
      </c>
      <c r="AD2" s="2" t="s">
        <v>84</v>
      </c>
      <c r="AE2" s="2" t="s">
        <v>85</v>
      </c>
      <c r="AF2" s="2" t="s">
        <v>86</v>
      </c>
      <c r="AG2" s="2" t="s">
        <v>87</v>
      </c>
      <c r="AH2" s="2" t="s">
        <v>88</v>
      </c>
      <c r="AI2" s="2" t="s">
        <v>89</v>
      </c>
      <c r="AJ2" s="2" t="s">
        <v>90</v>
      </c>
      <c r="AK2" s="2" t="s">
        <v>91</v>
      </c>
      <c r="AL2" s="2" t="s">
        <v>92</v>
      </c>
      <c r="AM2" s="2" t="s">
        <v>93</v>
      </c>
      <c r="AN2" s="2" t="s">
        <v>94</v>
      </c>
      <c r="AO2" s="2" t="s">
        <v>95</v>
      </c>
      <c r="AP2" s="2" t="s">
        <v>96</v>
      </c>
      <c r="AQ2" s="2" t="s">
        <v>97</v>
      </c>
      <c r="AR2" s="2" t="s">
        <v>98</v>
      </c>
      <c r="AS2" s="2" t="s">
        <v>99</v>
      </c>
      <c r="AT2" s="2" t="s">
        <v>100</v>
      </c>
      <c r="AU2" s="2" t="s">
        <v>101</v>
      </c>
      <c r="AV2" s="2" t="s">
        <v>102</v>
      </c>
      <c r="AW2" s="2" t="s">
        <v>103</v>
      </c>
      <c r="AX2" s="2" t="s">
        <v>104</v>
      </c>
      <c r="AY2" s="2" t="s">
        <v>105</v>
      </c>
      <c r="AZ2" s="2" t="s">
        <v>106</v>
      </c>
      <c r="BA2" s="2" t="s">
        <v>107</v>
      </c>
      <c r="BB2" s="2" t="s">
        <v>108</v>
      </c>
      <c r="BC2" s="2" t="s">
        <v>109</v>
      </c>
      <c r="BD2" s="2" t="s">
        <v>110</v>
      </c>
      <c r="BE2" s="2" t="s">
        <v>111</v>
      </c>
      <c r="BF2" s="2" t="s">
        <v>112</v>
      </c>
      <c r="BG2" s="2" t="s">
        <v>113</v>
      </c>
      <c r="BH2" s="2" t="s">
        <v>114</v>
      </c>
      <c r="BI2" s="2" t="s">
        <v>115</v>
      </c>
      <c r="BJ2" s="2" t="s">
        <v>116</v>
      </c>
      <c r="BK2" s="2" t="s">
        <v>117</v>
      </c>
      <c r="BL2" s="2" t="s">
        <v>118</v>
      </c>
      <c r="BM2" s="2" t="s">
        <v>119</v>
      </c>
      <c r="BN2" s="2" t="s">
        <v>120</v>
      </c>
      <c r="BO2" s="2" t="s">
        <v>121</v>
      </c>
      <c r="BP2" s="2" t="s">
        <v>122</v>
      </c>
      <c r="BQ2" s="2" t="s">
        <v>123</v>
      </c>
      <c r="BR2" s="2" t="s">
        <v>124</v>
      </c>
      <c r="BS2" s="2" t="s">
        <v>125</v>
      </c>
      <c r="BT2" s="2" t="s">
        <v>126</v>
      </c>
      <c r="BU2" s="2" t="s">
        <v>127</v>
      </c>
      <c r="BV2" s="2" t="s">
        <v>128</v>
      </c>
      <c r="BW2" s="2" t="s">
        <v>129</v>
      </c>
      <c r="BX2" s="2" t="s">
        <v>130</v>
      </c>
      <c r="BY2" s="2" t="s">
        <v>131</v>
      </c>
      <c r="BZ2" s="2" t="s">
        <v>274</v>
      </c>
      <c r="CA2" s="2" t="s">
        <v>275</v>
      </c>
      <c r="CB2" s="2" t="s">
        <v>276</v>
      </c>
      <c r="CC2" s="2" t="s">
        <v>277</v>
      </c>
    </row>
    <row r="3" spans="1:81" s="22" customFormat="1" x14ac:dyDescent="0.25">
      <c r="A3" s="4" t="s">
        <v>22</v>
      </c>
      <c r="B3" s="4">
        <f>IF(OR(AND(ISNUMBER(main_original!B3),main_original!B3&gt;10000),AND(ISNUMBER(main_original!B3),main_original!B3&lt;-10000)),main_original!B3/100000000,main_original!B3)</f>
        <v>112.25448900000001</v>
      </c>
      <c r="C3" s="4">
        <f>IF(OR(AND(ISNUMBER(main_original!C3),main_original!C3&gt;10000),AND(ISNUMBER(main_original!C3),main_original!C3&lt;-10000)),main_original!C3/100000000,main_original!C3)</f>
        <v>95.078849000000005</v>
      </c>
      <c r="D3" s="4">
        <f>IF(OR(AND(ISNUMBER(main_original!D3),main_original!D3&gt;10000),AND(ISNUMBER(main_original!D3),main_original!D3&lt;-10000)),main_original!D3/100000000,main_original!D3)</f>
        <v>130.937702</v>
      </c>
      <c r="E3" s="4">
        <f>IF(OR(AND(ISNUMBER(main_original!E3),main_original!E3&gt;10000),AND(ISNUMBER(main_original!E3),main_original!E3&lt;-10000)),main_original!E3/100000000,main_original!E3)</f>
        <v>107.516156</v>
      </c>
      <c r="F3" s="4">
        <f>IF(OR(AND(ISNUMBER(main_original!F3),main_original!F3&gt;10000),AND(ISNUMBER(main_original!F3),main_original!F3&lt;-10000)),main_original!F3/100000000,main_original!F3)</f>
        <v>105.038298</v>
      </c>
      <c r="G3" s="4">
        <f>IF(OR(AND(ISNUMBER(main_original!G3),main_original!G3&gt;10000),AND(ISNUMBER(main_original!G3),main_original!G3&lt;-10000)),main_original!G3/100000000,main_original!G3)</f>
        <v>87.295942999999994</v>
      </c>
      <c r="H3" s="4">
        <f>IF(OR(AND(ISNUMBER(main_original!H3),main_original!H3&gt;10000),AND(ISNUMBER(main_original!H3),main_original!H3&lt;-10000)),main_original!H3/100000000,main_original!H3)</f>
        <v>112.214313</v>
      </c>
      <c r="I3" s="4">
        <f>IF(OR(AND(ISNUMBER(main_original!I3),main_original!I3&gt;10000),AND(ISNUMBER(main_original!I3),main_original!I3&lt;-10000)),main_original!I3/100000000,main_original!I3)</f>
        <v>104.70072500000001</v>
      </c>
      <c r="J3" s="4">
        <f>IF(OR(AND(ISNUMBER(main_original!J3),main_original!J3&gt;10000),AND(ISNUMBER(main_original!J3),main_original!J3&lt;-10000)),main_original!J3/100000000,main_original!J3)</f>
        <v>89.693669</v>
      </c>
      <c r="K3" s="4">
        <f>IF(OR(AND(ISNUMBER(main_original!K3),main_original!K3&gt;10000),AND(ISNUMBER(main_original!K3),main_original!K3&lt;-10000)),main_original!K3/100000000,main_original!K3)</f>
        <v>72.572790999999995</v>
      </c>
      <c r="L3" s="4">
        <f>IF(OR(AND(ISNUMBER(main_original!L3),main_original!L3&gt;10000),AND(ISNUMBER(main_original!L3),main_original!L3&lt;-10000)),main_original!L3/100000000,main_original!L3)</f>
        <v>85.069067000000004</v>
      </c>
      <c r="M3" s="4">
        <f>IF(OR(AND(ISNUMBER(main_original!M3),main_original!M3&gt;10000),AND(ISNUMBER(main_original!M3),main_original!M3&lt;-10000)),main_original!M3/100000000,main_original!M3)</f>
        <v>70.955133000000004</v>
      </c>
      <c r="N3" s="4">
        <f>IF(OR(AND(ISNUMBER(main_original!N3),main_original!N3&gt;10000),AND(ISNUMBER(main_original!N3),main_original!N3&lt;-10000)),main_original!N3/100000000,main_original!N3)</f>
        <v>87.329860999999994</v>
      </c>
      <c r="O3" s="4">
        <f>IF(OR(AND(ISNUMBER(main_original!O3),main_original!O3&gt;10000),AND(ISNUMBER(main_original!O3),main_original!O3&lt;-10000)),main_original!O3/100000000,main_original!O3)</f>
        <v>51.277416000000002</v>
      </c>
      <c r="P3" s="4">
        <f>IF(OR(AND(ISNUMBER(main_original!P3),main_original!P3&gt;10000),AND(ISNUMBER(main_original!P3),main_original!P3&lt;-10000)),main_original!P3/100000000,main_original!P3)</f>
        <v>61.231192999999998</v>
      </c>
      <c r="Q3" s="4">
        <f>IF(OR(AND(ISNUMBER(main_original!Q3),main_original!Q3&gt;10000),AND(ISNUMBER(main_original!Q3),main_original!Q3&lt;-10000)),main_original!Q3/100000000,main_original!Q3)</f>
        <v>42.527850000000001</v>
      </c>
      <c r="R3" s="4">
        <f>IF(OR(AND(ISNUMBER(main_original!R3),main_original!R3&gt;10000),AND(ISNUMBER(main_original!R3),main_original!R3&lt;-10000)),main_original!R3/100000000,main_original!R3)</f>
        <v>36.629406000000003</v>
      </c>
      <c r="S3" s="4">
        <f>IF(OR(AND(ISNUMBER(main_original!S3),main_original!S3&gt;10000),AND(ISNUMBER(main_original!S3),main_original!S3&lt;-10000)),main_original!S3/100000000,main_original!S3)</f>
        <v>39.133654999999997</v>
      </c>
      <c r="T3" s="4">
        <f>IF(OR(AND(ISNUMBER(main_original!T3),main_original!T3&gt;10000),AND(ISNUMBER(main_original!T3),main_original!T3&lt;-10000)),main_original!T3/100000000,main_original!T3)</f>
        <v>48.892716</v>
      </c>
      <c r="U3" s="4">
        <f>IF(OR(AND(ISNUMBER(main_original!U3),main_original!U3&gt;10000),AND(ISNUMBER(main_original!U3),main_original!U3&lt;-10000)),main_original!U3/100000000,main_original!U3)</f>
        <v>40.784525000000002</v>
      </c>
      <c r="V3" s="4">
        <f>IF(OR(AND(ISNUMBER(main_original!V3),main_original!V3&gt;10000),AND(ISNUMBER(main_original!V3),main_original!V3&lt;-10000)),main_original!V3/100000000,main_original!V3)</f>
        <v>35.364055</v>
      </c>
      <c r="W3" s="4">
        <f>IF(OR(AND(ISNUMBER(main_original!W3),main_original!W3&gt;10000),AND(ISNUMBER(main_original!W3),main_original!W3&lt;-10000)),main_original!W3/100000000,main_original!W3)</f>
        <v>35.233305999999999</v>
      </c>
      <c r="X3" s="4">
        <f>IF(OR(AND(ISNUMBER(main_original!X3),main_original!X3&gt;10000),AND(ISNUMBER(main_original!X3),main_original!X3&lt;-10000)),main_original!X3/100000000,main_original!X3)</f>
        <v>43.649017000000001</v>
      </c>
      <c r="Y3" s="4">
        <f>IF(OR(AND(ISNUMBER(main_original!Y3),main_original!Y3&gt;10000),AND(ISNUMBER(main_original!Y3),main_original!Y3&lt;-10000)),main_original!Y3/100000000,main_original!Y3)</f>
        <v>46.564751000000001</v>
      </c>
      <c r="Z3" s="4">
        <f>IF(OR(AND(ISNUMBER(main_original!Z3),main_original!Z3&gt;10000),AND(ISNUMBER(main_original!Z3),main_original!Z3&lt;-10000)),main_original!Z3/100000000,main_original!Z3)</f>
        <v>34.634754000000001</v>
      </c>
      <c r="AA3" s="4">
        <f>IF(OR(AND(ISNUMBER(main_original!AA3),main_original!AA3&gt;10000),AND(ISNUMBER(main_original!AA3),main_original!AA3&lt;-10000)),main_original!AA3/100000000,main_original!AA3)</f>
        <v>35.304676000000001</v>
      </c>
      <c r="AB3" s="4">
        <f>IF(OR(AND(ISNUMBER(main_original!AB3),main_original!AB3&gt;10000),AND(ISNUMBER(main_original!AB3),main_original!AB3&lt;-10000)),main_original!AB3/100000000,main_original!AB3)</f>
        <v>36.993862999999997</v>
      </c>
      <c r="AC3" s="4">
        <f>IF(OR(AND(ISNUMBER(main_original!AC3),main_original!AC3&gt;10000),AND(ISNUMBER(main_original!AC3),main_original!AC3&lt;-10000)),main_original!AC3/100000000,main_original!AC3)</f>
        <v>40.664453000000002</v>
      </c>
      <c r="AD3" s="4">
        <f>IF(OR(AND(ISNUMBER(main_original!AD3),main_original!AD3&gt;10000),AND(ISNUMBER(main_original!AD3),main_original!AD3&lt;-10000)),main_original!AD3/100000000,main_original!AD3)</f>
        <v>38.222498000000002</v>
      </c>
      <c r="AE3" s="4">
        <f>IF(OR(AND(ISNUMBER(main_original!AE3),main_original!AE3&gt;10000),AND(ISNUMBER(main_original!AE3),main_original!AE3&lt;-10000)),main_original!AE3/100000000,main_original!AE3)</f>
        <v>36.548465999999998</v>
      </c>
      <c r="AF3" s="4">
        <f>IF(OR(AND(ISNUMBER(main_original!AF3),main_original!AF3&gt;10000),AND(ISNUMBER(main_original!AF3),main_original!AF3&lt;-10000)),main_original!AF3/100000000,main_original!AF3)</f>
        <v>35.930981000000003</v>
      </c>
      <c r="AG3" s="4">
        <f>IF(OR(AND(ISNUMBER(main_original!AG3),main_original!AG3&gt;10000),AND(ISNUMBER(main_original!AG3),main_original!AG3&lt;-10000)),main_original!AG3/100000000,main_original!AG3)</f>
        <v>28.880203999999999</v>
      </c>
      <c r="AH3" s="4">
        <f>IF(OR(AND(ISNUMBER(main_original!AH3),main_original!AH3&gt;10000),AND(ISNUMBER(main_original!AH3),main_original!AH3&lt;-10000)),main_original!AH3/100000000,main_original!AH3)</f>
        <v>34.243375999999998</v>
      </c>
      <c r="AI3" s="4">
        <f>IF(OR(AND(ISNUMBER(main_original!AI3),main_original!AI3&gt;10000),AND(ISNUMBER(main_original!AI3),main_original!AI3&lt;-10000)),main_original!AI3/100000000,main_original!AI3)</f>
        <v>40.265058000000003</v>
      </c>
      <c r="AJ3" s="4">
        <f>IF(OR(AND(ISNUMBER(main_original!AJ3),main_original!AJ3&gt;10000),AND(ISNUMBER(main_original!AJ3),main_original!AJ3&lt;-10000)),main_original!AJ3/100000000,main_original!AJ3)</f>
        <v>29.692157999999999</v>
      </c>
      <c r="AK3" s="4">
        <f>IF(OR(AND(ISNUMBER(main_original!AK3),main_original!AK3&gt;10000),AND(ISNUMBER(main_original!AK3),main_original!AK3&lt;-10000)),main_original!AK3/100000000,main_original!AK3)</f>
        <v>21.940612999999999</v>
      </c>
      <c r="AL3" s="4">
        <f>IF(OR(AND(ISNUMBER(main_original!AL3),main_original!AL3&gt;10000),AND(ISNUMBER(main_original!AL3),main_original!AL3&lt;-10000)),main_original!AL3/100000000,main_original!AL3)</f>
        <v>16.619074999999999</v>
      </c>
      <c r="AM3" s="4">
        <f>IF(OR(AND(ISNUMBER(main_original!AM3),main_original!AM3&gt;10000),AND(ISNUMBER(main_original!AM3),main_original!AM3&lt;-10000)),main_original!AM3/100000000,main_original!AM3)</f>
        <v>30.231822000000001</v>
      </c>
      <c r="AN3" s="4">
        <f>IF(OR(AND(ISNUMBER(main_original!AN3),main_original!AN3&gt;10000),AND(ISNUMBER(main_original!AN3),main_original!AN3&lt;-10000)),main_original!AN3/100000000,main_original!AN3)</f>
        <v>18.839950000000002</v>
      </c>
      <c r="AO3" s="4">
        <f>IF(OR(AND(ISNUMBER(main_original!AO3),main_original!AO3&gt;10000),AND(ISNUMBER(main_original!AO3),main_original!AO3&lt;-10000)),main_original!AO3/100000000,main_original!AO3)</f>
        <v>8.7702019999999994</v>
      </c>
      <c r="AP3" s="4">
        <f>IF(OR(AND(ISNUMBER(main_original!AP3),main_original!AP3&gt;10000),AND(ISNUMBER(main_original!AP3),main_original!AP3&lt;-10000)),main_original!AP3/100000000,main_original!AP3)</f>
        <v>10.744166999999999</v>
      </c>
      <c r="AQ3" s="4">
        <f>IF(OR(AND(ISNUMBER(main_original!AQ3),main_original!AQ3&gt;10000),AND(ISNUMBER(main_original!AQ3),main_original!AQ3&lt;-10000)),main_original!AQ3/100000000,main_original!AQ3)</f>
        <v>18.340947</v>
      </c>
      <c r="AR3" s="4">
        <f>IF(OR(AND(ISNUMBER(main_original!AR3),main_original!AR3&gt;10000),AND(ISNUMBER(main_original!AR3),main_original!AR3&lt;-10000)),main_original!AR3/100000000,main_original!AR3)</f>
        <v>12.656625999999999</v>
      </c>
      <c r="AS3" s="4">
        <f>IF(OR(AND(ISNUMBER(main_original!AS3),main_original!AS3&gt;10000),AND(ISNUMBER(main_original!AS3),main_original!AS3&lt;-10000)),main_original!AS3/100000000,main_original!AS3)</f>
        <v>5.2549469999999996</v>
      </c>
      <c r="AT3" s="4">
        <f>IF(OR(AND(ISNUMBER(main_original!AT3),main_original!AT3&gt;10000),AND(ISNUMBER(main_original!AT3),main_original!AT3&lt;-10000)),main_original!AT3/100000000,main_original!AT3)</f>
        <v>9.9667490000000001</v>
      </c>
      <c r="AU3" s="4">
        <v>1573267000</v>
      </c>
      <c r="AV3" s="4">
        <v>1217009500</v>
      </c>
      <c r="AW3" s="4">
        <v>654721700</v>
      </c>
      <c r="AX3" s="4">
        <v>905197800</v>
      </c>
      <c r="AY3" s="4">
        <v>1366207000</v>
      </c>
      <c r="AZ3" s="4">
        <v>873354100</v>
      </c>
      <c r="BA3" s="4">
        <v>1240337000</v>
      </c>
      <c r="BB3" s="4">
        <v>740770900</v>
      </c>
      <c r="BC3" s="4">
        <v>313646200</v>
      </c>
      <c r="BD3" s="4">
        <v>536077500</v>
      </c>
      <c r="BE3" s="4">
        <v>535805100</v>
      </c>
      <c r="BF3" s="4">
        <v>434938100</v>
      </c>
      <c r="BG3" s="4">
        <v>141619600</v>
      </c>
      <c r="BH3" s="4">
        <v>432449600</v>
      </c>
      <c r="BI3" s="4">
        <v>416056000</v>
      </c>
      <c r="BJ3" s="4">
        <v>221698700</v>
      </c>
      <c r="BK3" s="4">
        <v>111647500</v>
      </c>
      <c r="BL3" s="4">
        <v>369139400</v>
      </c>
      <c r="BM3" s="4">
        <v>304984800</v>
      </c>
      <c r="BN3" s="4">
        <v>166485000</v>
      </c>
      <c r="BO3" s="4">
        <v>87580400</v>
      </c>
      <c r="BP3" s="4">
        <v>261503800</v>
      </c>
      <c r="BQ3" s="4">
        <v>232248100</v>
      </c>
      <c r="BR3" s="4">
        <v>101978900</v>
      </c>
      <c r="BS3" s="4">
        <v>34911800</v>
      </c>
      <c r="BT3" s="4">
        <v>217609000</v>
      </c>
      <c r="BU3" s="4">
        <v>66932900</v>
      </c>
      <c r="BV3" s="4">
        <v>70974600</v>
      </c>
      <c r="BW3" s="4">
        <v>31827700</v>
      </c>
      <c r="BX3" s="4">
        <v>206448300</v>
      </c>
      <c r="BY3" s="4" t="s">
        <v>133</v>
      </c>
      <c r="BZ3" s="4" t="s">
        <v>133</v>
      </c>
      <c r="CA3" s="4" t="s">
        <v>133</v>
      </c>
      <c r="CB3" s="4" t="s">
        <v>133</v>
      </c>
      <c r="CC3" s="4" t="s">
        <v>133</v>
      </c>
    </row>
    <row r="4" spans="1:81" x14ac:dyDescent="0.25">
      <c r="A4" s="3" t="s">
        <v>39</v>
      </c>
      <c r="B4" s="3" t="str">
        <f>IF(OR(AND(ISNUMBER(main_original!B4),main_original!B4&gt;10000),AND(ISNUMBER(main_original!B4),main_original!B4&lt;-10000)),main_original!B4/100000000,main_original!B4)</f>
        <v>6.87%</v>
      </c>
      <c r="C4" s="3" t="str">
        <f>IF(OR(AND(ISNUMBER(main_original!C4),main_original!C4&gt;10000),AND(ISNUMBER(main_original!C4),main_original!C4&lt;-10000)),main_original!C4/100000000,main_original!C4)</f>
        <v>8.92%</v>
      </c>
      <c r="D4" s="3" t="str">
        <f>IF(OR(AND(ISNUMBER(main_original!D4),main_original!D4&gt;10000),AND(ISNUMBER(main_original!D4),main_original!D4&lt;-10000)),main_original!D4/100000000,main_original!D4)</f>
        <v>16.69%</v>
      </c>
      <c r="E4" s="3" t="str">
        <f>IF(OR(AND(ISNUMBER(main_original!E4),main_original!E4&gt;10000),AND(ISNUMBER(main_original!E4),main_original!E4&lt;-10000)),main_original!E4/100000000,main_original!E4)</f>
        <v>2.69%</v>
      </c>
      <c r="F4" s="3" t="str">
        <f>IF(OR(AND(ISNUMBER(main_original!F4),main_original!F4&gt;10000),AND(ISNUMBER(main_original!F4),main_original!F4&lt;-10000)),main_original!F4/100000000,main_original!F4)</f>
        <v>17.11%</v>
      </c>
      <c r="G4" s="3" t="str">
        <f>IF(OR(AND(ISNUMBER(main_original!G4),main_original!G4&gt;10000),AND(ISNUMBER(main_original!G4),main_original!G4&lt;-10000)),main_original!G4/100000000,main_original!G4)</f>
        <v>20.29%</v>
      </c>
      <c r="H4" s="3" t="str">
        <f>IF(OR(AND(ISNUMBER(main_original!H4),main_original!H4&gt;10000),AND(ISNUMBER(main_original!H4),main_original!H4&lt;-10000)),main_original!H4/100000000,main_original!H4)</f>
        <v>31.91%</v>
      </c>
      <c r="I4" s="3" t="str">
        <f>IF(OR(AND(ISNUMBER(main_original!I4),main_original!I4&gt;10000),AND(ISNUMBER(main_original!I4),main_original!I4&lt;-10000)),main_original!I4/100000000,main_original!I4)</f>
        <v>47.56%</v>
      </c>
      <c r="J4" s="3" t="str">
        <f>IF(OR(AND(ISNUMBER(main_original!J4),main_original!J4&gt;10000),AND(ISNUMBER(main_original!J4),main_original!J4&lt;-10000)),main_original!J4/100000000,main_original!J4)</f>
        <v>2.71%</v>
      </c>
      <c r="K4" s="3" t="str">
        <f>IF(OR(AND(ISNUMBER(main_original!K4),main_original!K4&gt;10000),AND(ISNUMBER(main_original!K4),main_original!K4&lt;-10000)),main_original!K4/100000000,main_original!K4)</f>
        <v>41.53%</v>
      </c>
      <c r="L4" s="3" t="str">
        <f>IF(OR(AND(ISNUMBER(main_original!L4),main_original!L4&gt;10000),AND(ISNUMBER(main_original!L4),main_original!L4&lt;-10000)),main_original!L4/100000000,main_original!L4)</f>
        <v>38.93%</v>
      </c>
      <c r="M4" s="3" t="str">
        <f>IF(OR(AND(ISNUMBER(main_original!M4),main_original!M4&gt;10000),AND(ISNUMBER(main_original!M4),main_original!M4&lt;-10000)),main_original!M4/100000000,main_original!M4)</f>
        <v>66.84%</v>
      </c>
      <c r="N4" s="3" t="str">
        <f>IF(OR(AND(ISNUMBER(main_original!N4),main_original!N4&gt;10000),AND(ISNUMBER(main_original!N4),main_original!N4&lt;-10000)),main_original!N4/100000000,main_original!N4)</f>
        <v>138.41%</v>
      </c>
      <c r="O4" s="3" t="str">
        <f>IF(OR(AND(ISNUMBER(main_original!O4),main_original!O4&gt;10000),AND(ISNUMBER(main_original!O4),main_original!O4&lt;-10000)),main_original!O4/100000000,main_original!O4)</f>
        <v>31.03%</v>
      </c>
      <c r="P4" s="3" t="str">
        <f>IF(OR(AND(ISNUMBER(main_original!P4),main_original!P4&gt;10000),AND(ISNUMBER(main_original!P4),main_original!P4&lt;-10000)),main_original!P4/100000000,main_original!P4)</f>
        <v>25.24%</v>
      </c>
      <c r="Q4" s="3" t="str">
        <f>IF(OR(AND(ISNUMBER(main_original!Q4),main_original!Q4&gt;10000),AND(ISNUMBER(main_original!Q4),main_original!Q4&lt;-10000)),main_original!Q4/100000000,main_original!Q4)</f>
        <v>4.27%</v>
      </c>
      <c r="R4" s="3" t="str">
        <f>IF(OR(AND(ISNUMBER(main_original!R4),main_original!R4&gt;10000),AND(ISNUMBER(main_original!R4),main_original!R4&lt;-10000)),main_original!R4/100000000,main_original!R4)</f>
        <v>3.58%</v>
      </c>
      <c r="S4" s="3" t="str">
        <f>IF(OR(AND(ISNUMBER(main_original!S4),main_original!S4&gt;10000),AND(ISNUMBER(main_original!S4),main_original!S4&lt;-10000)),main_original!S4/100000000,main_original!S4)</f>
        <v>11.07%</v>
      </c>
      <c r="T4" s="3" t="str">
        <f>IF(OR(AND(ISNUMBER(main_original!T4),main_original!T4&gt;10000),AND(ISNUMBER(main_original!T4),main_original!T4&lt;-10000)),main_original!T4/100000000,main_original!T4)</f>
        <v>12.01%</v>
      </c>
      <c r="U4" s="3" t="str">
        <f>IF(OR(AND(ISNUMBER(main_original!U4),main_original!U4&gt;10000),AND(ISNUMBER(main_original!U4),main_original!U4&lt;-10000)),main_original!U4/100000000,main_original!U4)</f>
        <v>-12.41%</v>
      </c>
      <c r="V4" s="3" t="str">
        <f>IF(OR(AND(ISNUMBER(main_original!V4),main_original!V4&gt;10000),AND(ISNUMBER(main_original!V4),main_original!V4&lt;-10000)),main_original!V4/100000000,main_original!V4)</f>
        <v>2.11%</v>
      </c>
      <c r="W4" s="3" t="str">
        <f>IF(OR(AND(ISNUMBER(main_original!W4),main_original!W4&gt;10000),AND(ISNUMBER(main_original!W4),main_original!W4&lt;-10000)),main_original!W4/100000000,main_original!W4)</f>
        <v>-0.20%</v>
      </c>
      <c r="X4" s="3" t="str">
        <f>IF(OR(AND(ISNUMBER(main_original!X4),main_original!X4&gt;10000),AND(ISNUMBER(main_original!X4),main_original!X4&lt;-10000)),main_original!X4/100000000,main_original!X4)</f>
        <v>17.99%</v>
      </c>
      <c r="Y4" s="3" t="str">
        <f>IF(OR(AND(ISNUMBER(main_original!Y4),main_original!Y4&gt;10000),AND(ISNUMBER(main_original!Y4),main_original!Y4&lt;-10000)),main_original!Y4/100000000,main_original!Y4)</f>
        <v>14.51%</v>
      </c>
      <c r="Z4" s="3" t="str">
        <f>IF(OR(AND(ISNUMBER(main_original!Z4),main_original!Z4&gt;10000),AND(ISNUMBER(main_original!Z4),main_original!Z4&lt;-10000)),main_original!Z4/100000000,main_original!Z4)</f>
        <v>-9.39%</v>
      </c>
      <c r="AA4" s="3" t="str">
        <f>IF(OR(AND(ISNUMBER(main_original!AA4),main_original!AA4&gt;10000),AND(ISNUMBER(main_original!AA4),main_original!AA4&lt;-10000)),main_original!AA4/100000000,main_original!AA4)</f>
        <v>-3.40%</v>
      </c>
      <c r="AB4" s="3" t="str">
        <f>IF(OR(AND(ISNUMBER(main_original!AB4),main_original!AB4&gt;10000),AND(ISNUMBER(main_original!AB4),main_original!AB4&lt;-10000)),main_original!AB4/100000000,main_original!AB4)</f>
        <v>2.96%</v>
      </c>
      <c r="AC4" s="3" t="str">
        <f>IF(OR(AND(ISNUMBER(main_original!AC4),main_original!AC4&gt;10000),AND(ISNUMBER(main_original!AC4),main_original!AC4&lt;-10000)),main_original!AC4/100000000,main_original!AC4)</f>
        <v>40.80%</v>
      </c>
      <c r="AD4" s="3" t="str">
        <f>IF(OR(AND(ISNUMBER(main_original!AD4),main_original!AD4&gt;10000),AND(ISNUMBER(main_original!AD4),main_original!AD4&lt;-10000)),main_original!AD4/100000000,main_original!AD4)</f>
        <v>11.62%</v>
      </c>
      <c r="AE4" s="3" t="str">
        <f>IF(OR(AND(ISNUMBER(main_original!AE4),main_original!AE4&gt;10000),AND(ISNUMBER(main_original!AE4),main_original!AE4&lt;-10000)),main_original!AE4/100000000,main_original!AE4)</f>
        <v>-9.23%</v>
      </c>
      <c r="AF4" s="3" t="str">
        <f>IF(OR(AND(ISNUMBER(main_original!AF4),main_original!AF4&gt;10000),AND(ISNUMBER(main_original!AF4),main_original!AF4&lt;-10000)),main_original!AF4/100000000,main_original!AF4)</f>
        <v>21.01%</v>
      </c>
      <c r="AG4" s="3" t="str">
        <f>IF(OR(AND(ISNUMBER(main_original!AG4),main_original!AG4&gt;10000),AND(ISNUMBER(main_original!AG4),main_original!AG4&lt;-10000)),main_original!AG4/100000000,main_original!AG4)</f>
        <v>31.63%</v>
      </c>
      <c r="AH4" s="3" t="str">
        <f>IF(OR(AND(ISNUMBER(main_original!AH4),main_original!AH4&gt;10000),AND(ISNUMBER(main_original!AH4),main_original!AH4&lt;-10000)),main_original!AH4/100000000,main_original!AH4)</f>
        <v>106.05%</v>
      </c>
      <c r="AI4" s="3" t="str">
        <f>IF(OR(AND(ISNUMBER(main_original!AI4),main_original!AI4&gt;10000),AND(ISNUMBER(main_original!AI4),main_original!AI4&lt;-10000)),main_original!AI4/100000000,main_original!AI4)</f>
        <v>33.19%</v>
      </c>
      <c r="AJ4" s="3" t="str">
        <f>IF(OR(AND(ISNUMBER(main_original!AJ4),main_original!AJ4&gt;10000),AND(ISNUMBER(main_original!AJ4),main_original!AJ4&lt;-10000)),main_original!AJ4/100000000,main_original!AJ4)</f>
        <v>57.60%</v>
      </c>
      <c r="AK4" s="3" t="str">
        <f>IF(OR(AND(ISNUMBER(main_original!AK4),main_original!AK4&gt;10000),AND(ISNUMBER(main_original!AK4),main_original!AK4&lt;-10000)),main_original!AK4/100000000,main_original!AK4)</f>
        <v>150.17%</v>
      </c>
      <c r="AL4" s="3" t="str">
        <f>IF(OR(AND(ISNUMBER(main_original!AL4),main_original!AL4&gt;10000),AND(ISNUMBER(main_original!AL4),main_original!AL4&lt;-10000)),main_original!AL4/100000000,main_original!AL4)</f>
        <v>54.68%</v>
      </c>
      <c r="AM4" s="3" t="str">
        <f>IF(OR(AND(ISNUMBER(main_original!AM4),main_original!AM4&gt;10000),AND(ISNUMBER(main_original!AM4),main_original!AM4&lt;-10000)),main_original!AM4/100000000,main_original!AM4)</f>
        <v>64.83%</v>
      </c>
      <c r="AN4" s="3" t="str">
        <f>IF(OR(AND(ISNUMBER(main_original!AN4),main_original!AN4&gt;10000),AND(ISNUMBER(main_original!AN4),main_original!AN4&lt;-10000)),main_original!AN4/100000000,main_original!AN4)</f>
        <v>48.85%</v>
      </c>
      <c r="AO4" s="3" t="str">
        <f>IF(OR(AND(ISNUMBER(main_original!AO4),main_original!AO4&gt;10000),AND(ISNUMBER(main_original!AO4),main_original!AO4&lt;-10000)),main_original!AO4/100000000,main_original!AO4)</f>
        <v>66.89%</v>
      </c>
      <c r="AP4" s="3" t="str">
        <f>IF(OR(AND(ISNUMBER(main_original!AP4),main_original!AP4&gt;10000),AND(ISNUMBER(main_original!AP4),main_original!AP4&lt;-10000)),main_original!AP4/100000000,main_original!AP4)</f>
        <v>7.80%</v>
      </c>
      <c r="AQ4" s="3" t="str">
        <f>IF(OR(AND(ISNUMBER(main_original!AQ4),main_original!AQ4&gt;10000),AND(ISNUMBER(main_original!AQ4),main_original!AQ4&lt;-10000)),main_original!AQ4/100000000,main_original!AQ4)</f>
        <v>16.58%</v>
      </c>
      <c r="AR4" s="3" t="str">
        <f>IF(OR(AND(ISNUMBER(main_original!AR4),main_original!AR4&gt;10000),AND(ISNUMBER(main_original!AR4),main_original!AR4&lt;-10000)),main_original!AR4/100000000,main_original!AR4)</f>
        <v>4.00%</v>
      </c>
      <c r="AS4" s="3" t="str">
        <f>IF(OR(AND(ISNUMBER(main_original!AS4),main_original!AS4&gt;10000),AND(ISNUMBER(main_original!AS4),main_original!AS4&lt;-10000)),main_original!AS4/100000000,main_original!AS4)</f>
        <v>-19.74%</v>
      </c>
      <c r="AT4" s="3" t="str">
        <f>IF(OR(AND(ISNUMBER(main_original!AT4),main_original!AT4&gt;10000),AND(ISNUMBER(main_original!AT4),main_original!AT4&lt;-10000)),main_original!AT4/100000000,main_original!AT4)</f>
        <v>10.11%</v>
      </c>
      <c r="AU4" s="3" t="s">
        <v>323</v>
      </c>
      <c r="AV4" s="3" t="s">
        <v>324</v>
      </c>
      <c r="AW4" s="3" t="s">
        <v>325</v>
      </c>
      <c r="AX4" s="3" t="s">
        <v>326</v>
      </c>
      <c r="AY4" s="3" t="s">
        <v>327</v>
      </c>
      <c r="AZ4" s="3" t="s">
        <v>328</v>
      </c>
      <c r="BA4" s="3" t="s">
        <v>329</v>
      </c>
      <c r="BB4" s="3" t="s">
        <v>330</v>
      </c>
      <c r="BC4" s="3" t="s">
        <v>331</v>
      </c>
      <c r="BD4" s="3" t="s">
        <v>332</v>
      </c>
      <c r="BE4" s="3" t="s">
        <v>333</v>
      </c>
      <c r="BF4" s="3" t="s">
        <v>334</v>
      </c>
      <c r="BG4" s="3" t="s">
        <v>335</v>
      </c>
      <c r="BH4" s="3" t="s">
        <v>336</v>
      </c>
      <c r="BI4" s="3" t="s">
        <v>337</v>
      </c>
      <c r="BJ4" s="3" t="s">
        <v>338</v>
      </c>
      <c r="BK4" s="3" t="s">
        <v>339</v>
      </c>
      <c r="BL4" s="3" t="s">
        <v>340</v>
      </c>
      <c r="BM4" s="3" t="s">
        <v>341</v>
      </c>
      <c r="BN4" s="3" t="s">
        <v>342</v>
      </c>
      <c r="BO4" s="3" t="s">
        <v>343</v>
      </c>
      <c r="BP4" s="3" t="s">
        <v>344</v>
      </c>
      <c r="BQ4" s="3" t="s">
        <v>345</v>
      </c>
      <c r="BR4" s="3" t="s">
        <v>346</v>
      </c>
      <c r="BS4" s="3" t="s">
        <v>347</v>
      </c>
      <c r="BT4" s="3" t="s">
        <v>348</v>
      </c>
      <c r="BU4" s="3" t="s">
        <v>133</v>
      </c>
      <c r="BV4" s="3" t="s">
        <v>133</v>
      </c>
      <c r="BW4" s="3" t="s">
        <v>133</v>
      </c>
      <c r="BX4" s="3" t="s">
        <v>133</v>
      </c>
      <c r="BY4" s="3" t="s">
        <v>133</v>
      </c>
      <c r="BZ4" s="3" t="s">
        <v>133</v>
      </c>
      <c r="CA4" s="3" t="s">
        <v>133</v>
      </c>
      <c r="CB4" s="3" t="s">
        <v>133</v>
      </c>
      <c r="CC4" s="3" t="s">
        <v>133</v>
      </c>
    </row>
    <row r="5" spans="1:81" s="22" customFormat="1" x14ac:dyDescent="0.25">
      <c r="A5" s="4" t="s">
        <v>33</v>
      </c>
      <c r="B5" s="4">
        <f>IF(OR(AND(ISNUMBER(main_original!B5),main_original!B5&gt;10000),AND(ISNUMBER(main_original!B5),main_original!B5&lt;-10000)),main_original!B5/100000000,main_original!B5)</f>
        <v>112.293745</v>
      </c>
      <c r="C5" s="4">
        <f>IF(OR(AND(ISNUMBER(main_original!C5),main_original!C5&gt;10000),AND(ISNUMBER(main_original!C5),main_original!C5&lt;-10000)),main_original!C5/100000000,main_original!C5)</f>
        <v>95.175095999999996</v>
      </c>
      <c r="D5" s="4">
        <f>IF(OR(AND(ISNUMBER(main_original!D5),main_original!D5&gt;10000),AND(ISNUMBER(main_original!D5),main_original!D5&lt;-10000)),main_original!D5/100000000,main_original!D5)</f>
        <v>131.552167</v>
      </c>
      <c r="E5" s="4">
        <f>IF(OR(AND(ISNUMBER(main_original!E5),main_original!E5&gt;10000),AND(ISNUMBER(main_original!E5),main_original!E5&lt;-10000)),main_original!E5/100000000,main_original!E5)</f>
        <v>108.72688100000001</v>
      </c>
      <c r="F5" s="4">
        <f>IF(OR(AND(ISNUMBER(main_original!F5),main_original!F5&gt;10000),AND(ISNUMBER(main_original!F5),main_original!F5&lt;-10000)),main_original!F5/100000000,main_original!F5)</f>
        <v>105.027817</v>
      </c>
      <c r="G5" s="4">
        <f>IF(OR(AND(ISNUMBER(main_original!G5),main_original!G5&gt;10000),AND(ISNUMBER(main_original!G5),main_original!G5&lt;-10000)),main_original!G5/100000000,main_original!G5)</f>
        <v>87.297173999999998</v>
      </c>
      <c r="H5" s="4">
        <f>IF(OR(AND(ISNUMBER(main_original!H5),main_original!H5&gt;10000),AND(ISNUMBER(main_original!H5),main_original!H5&lt;-10000)),main_original!H5/100000000,main_original!H5)</f>
        <v>113.017218</v>
      </c>
      <c r="I5" s="4">
        <f>IF(OR(AND(ISNUMBER(main_original!I5),main_original!I5&gt;10000),AND(ISNUMBER(main_original!I5),main_original!I5&lt;-10000)),main_original!I5/100000000,main_original!I5)</f>
        <v>106.564325</v>
      </c>
      <c r="J5" s="4">
        <f>IF(OR(AND(ISNUMBER(main_original!J5),main_original!J5&gt;10000),AND(ISNUMBER(main_original!J5),main_original!J5&lt;-10000)),main_original!J5/100000000,main_original!J5)</f>
        <v>90.448425999999998</v>
      </c>
      <c r="K5" s="4">
        <f>IF(OR(AND(ISNUMBER(main_original!K5),main_original!K5&gt;10000),AND(ISNUMBER(main_original!K5),main_original!K5&lt;-10000)),main_original!K5/100000000,main_original!K5)</f>
        <v>73.733896000000001</v>
      </c>
      <c r="L5" s="4">
        <f>IF(OR(AND(ISNUMBER(main_original!L5),main_original!L5&gt;10000),AND(ISNUMBER(main_original!L5),main_original!L5&lt;-10000)),main_original!L5/100000000,main_original!L5)</f>
        <v>85.107788999999997</v>
      </c>
      <c r="M5" s="4">
        <f>IF(OR(AND(ISNUMBER(main_original!M5),main_original!M5&gt;10000),AND(ISNUMBER(main_original!M5),main_original!M5&lt;-10000)),main_original!M5/100000000,main_original!M5)</f>
        <v>71.370748000000006</v>
      </c>
      <c r="N5" s="4">
        <f>IF(OR(AND(ISNUMBER(main_original!N5),main_original!N5&gt;10000),AND(ISNUMBER(main_original!N5),main_original!N5&lt;-10000)),main_original!N5/100000000,main_original!N5)</f>
        <v>88.071323000000007</v>
      </c>
      <c r="O5" s="4">
        <f>IF(OR(AND(ISNUMBER(main_original!O5),main_original!O5&gt;10000),AND(ISNUMBER(main_original!O5),main_original!O5&lt;-10000)),main_original!O5/100000000,main_original!O5)</f>
        <v>51.316918999999999</v>
      </c>
      <c r="P5" s="4">
        <f>IF(OR(AND(ISNUMBER(main_original!P5),main_original!P5&gt;10000),AND(ISNUMBER(main_original!P5),main_original!P5&lt;-10000)),main_original!P5/100000000,main_original!P5)</f>
        <v>61.481847000000002</v>
      </c>
      <c r="Q5" s="4">
        <f>IF(OR(AND(ISNUMBER(main_original!Q5),main_original!Q5&gt;10000),AND(ISNUMBER(main_original!Q5),main_original!Q5&lt;-10000)),main_original!Q5/100000000,main_original!Q5)</f>
        <v>44.094155999999998</v>
      </c>
      <c r="R5" s="4">
        <f>IF(OR(AND(ISNUMBER(main_original!R5),main_original!R5&gt;10000),AND(ISNUMBER(main_original!R5),main_original!R5&lt;-10000)),main_original!R5/100000000,main_original!R5)</f>
        <v>37.463251999999997</v>
      </c>
      <c r="S5" s="4">
        <f>IF(OR(AND(ISNUMBER(main_original!S5),main_original!S5&gt;10000),AND(ISNUMBER(main_original!S5),main_original!S5&lt;-10000)),main_original!S5/100000000,main_original!S5)</f>
        <v>39.126609999999999</v>
      </c>
      <c r="T5" s="4">
        <f>IF(OR(AND(ISNUMBER(main_original!T5),main_original!T5&gt;10000),AND(ISNUMBER(main_original!T5),main_original!T5&lt;-10000)),main_original!T5/100000000,main_original!T5)</f>
        <v>48.862872000000003</v>
      </c>
      <c r="U5" s="4">
        <f>IF(OR(AND(ISNUMBER(main_original!U5),main_original!U5&gt;10000),AND(ISNUMBER(main_original!U5),main_original!U5&lt;-10000)),main_original!U5/100000000,main_original!U5)</f>
        <v>40.963614999999997</v>
      </c>
      <c r="V5" s="4">
        <f>IF(OR(AND(ISNUMBER(main_original!V5),main_original!V5&gt;10000),AND(ISNUMBER(main_original!V5),main_original!V5&lt;-10000)),main_original!V5/100000000,main_original!V5)</f>
        <v>36.306091000000002</v>
      </c>
      <c r="W5" s="4">
        <f>IF(OR(AND(ISNUMBER(main_original!W5),main_original!W5&gt;10000),AND(ISNUMBER(main_original!W5),main_original!W5&lt;-10000)),main_original!W5/100000000,main_original!W5)</f>
        <v>35.232599</v>
      </c>
      <c r="X5" s="4">
        <f>IF(OR(AND(ISNUMBER(main_original!X5),main_original!X5&gt;10000),AND(ISNUMBER(main_original!X5),main_original!X5&lt;-10000)),main_original!X5/100000000,main_original!X5)</f>
        <v>43.666359999999997</v>
      </c>
      <c r="Y5" s="4">
        <f>IF(OR(AND(ISNUMBER(main_original!Y5),main_original!Y5&gt;10000),AND(ISNUMBER(main_original!Y5),main_original!Y5&lt;-10000)),main_original!Y5/100000000,main_original!Y5)</f>
        <v>47.294159999999998</v>
      </c>
      <c r="Z5" s="4">
        <f>IF(OR(AND(ISNUMBER(main_original!Z5),main_original!Z5&gt;10000),AND(ISNUMBER(main_original!Z5),main_original!Z5&lt;-10000)),main_original!Z5/100000000,main_original!Z5)</f>
        <v>35.414527</v>
      </c>
      <c r="AA5" s="4">
        <f>IF(OR(AND(ISNUMBER(main_original!AA5),main_original!AA5&gt;10000),AND(ISNUMBER(main_original!AA5),main_original!AA5&lt;-10000)),main_original!AA5/100000000,main_original!AA5)</f>
        <v>35.448602000000001</v>
      </c>
      <c r="AB5" s="4">
        <f>IF(OR(AND(ISNUMBER(main_original!AB5),main_original!AB5&gt;10000),AND(ISNUMBER(main_original!AB5),main_original!AB5&lt;-10000)),main_original!AB5/100000000,main_original!AB5)</f>
        <v>37.051045000000002</v>
      </c>
      <c r="AC5" s="4">
        <f>IF(OR(AND(ISNUMBER(main_original!AC5),main_original!AC5&gt;10000),AND(ISNUMBER(main_original!AC5),main_original!AC5&lt;-10000)),main_original!AC5/100000000,main_original!AC5)</f>
        <v>41.351757999999997</v>
      </c>
      <c r="AD5" s="4">
        <f>IF(OR(AND(ISNUMBER(main_original!AD5),main_original!AD5&gt;10000),AND(ISNUMBER(main_original!AD5),main_original!AD5&lt;-10000)),main_original!AD5/100000000,main_original!AD5)</f>
        <v>38.736178000000002</v>
      </c>
      <c r="AE5" s="4">
        <f>IF(OR(AND(ISNUMBER(main_original!AE5),main_original!AE5&gt;10000),AND(ISNUMBER(main_original!AE5),main_original!AE5&lt;-10000)),main_original!AE5/100000000,main_original!AE5)</f>
        <v>36.698799000000001</v>
      </c>
      <c r="AF5" s="4">
        <f>IF(OR(AND(ISNUMBER(main_original!AF5),main_original!AF5&gt;10000),AND(ISNUMBER(main_original!AF5),main_original!AF5&lt;-10000)),main_original!AF5/100000000,main_original!AF5)</f>
        <v>37.728538999999998</v>
      </c>
      <c r="AG5" s="4">
        <f>IF(OR(AND(ISNUMBER(main_original!AG5),main_original!AG5&gt;10000),AND(ISNUMBER(main_original!AG5),main_original!AG5&lt;-10000)),main_original!AG5/100000000,main_original!AG5)</f>
        <v>29.082428</v>
      </c>
      <c r="AH5" s="4">
        <f>IF(OR(AND(ISNUMBER(main_original!AH5),main_original!AH5&gt;10000),AND(ISNUMBER(main_original!AH5),main_original!AH5&lt;-10000)),main_original!AH5/100000000,main_original!AH5)</f>
        <v>34.976841</v>
      </c>
      <c r="AI5" s="4">
        <f>IF(OR(AND(ISNUMBER(main_original!AI5),main_original!AI5&gt;10000),AND(ISNUMBER(main_original!AI5),main_original!AI5&lt;-10000)),main_original!AI5/100000000,main_original!AI5)</f>
        <v>40.276088000000001</v>
      </c>
      <c r="AJ5" s="4">
        <f>IF(OR(AND(ISNUMBER(main_original!AJ5),main_original!AJ5&gt;10000),AND(ISNUMBER(main_original!AJ5),main_original!AJ5&lt;-10000)),main_original!AJ5/100000000,main_original!AJ5)</f>
        <v>29.678357999999999</v>
      </c>
      <c r="AK5" s="4">
        <f>IF(OR(AND(ISNUMBER(main_original!AK5),main_original!AK5&gt;10000),AND(ISNUMBER(main_original!AK5),main_original!AK5&lt;-10000)),main_original!AK5/100000000,main_original!AK5)</f>
        <v>21.931676</v>
      </c>
      <c r="AL5" s="4">
        <f>IF(OR(AND(ISNUMBER(main_original!AL5),main_original!AL5&gt;10000),AND(ISNUMBER(main_original!AL5),main_original!AL5&lt;-10000)),main_original!AL5/100000000,main_original!AL5)</f>
        <v>16.625292000000002</v>
      </c>
      <c r="AM5" s="4">
        <f>IF(OR(AND(ISNUMBER(main_original!AM5),main_original!AM5&gt;10000),AND(ISNUMBER(main_original!AM5),main_original!AM5&lt;-10000)),main_original!AM5/100000000,main_original!AM5)</f>
        <v>30.263207000000001</v>
      </c>
      <c r="AN5" s="4">
        <f>IF(OR(AND(ISNUMBER(main_original!AN5),main_original!AN5&gt;10000),AND(ISNUMBER(main_original!AN5),main_original!AN5&lt;-10000)),main_original!AN5/100000000,main_original!AN5)</f>
        <v>18.826758999999999</v>
      </c>
      <c r="AO5" s="4">
        <f>IF(OR(AND(ISNUMBER(main_original!AO5),main_original!AO5&gt;10000),AND(ISNUMBER(main_original!AO5),main_original!AO5&lt;-10000)),main_original!AO5/100000000,main_original!AO5)</f>
        <v>8.755865</v>
      </c>
      <c r="AP5" s="4">
        <f>IF(OR(AND(ISNUMBER(main_original!AP5),main_original!AP5&gt;10000),AND(ISNUMBER(main_original!AP5),main_original!AP5&lt;-10000)),main_original!AP5/100000000,main_original!AP5)</f>
        <v>10.732697999999999</v>
      </c>
      <c r="AQ5" s="4">
        <f>IF(OR(AND(ISNUMBER(main_original!AQ5),main_original!AQ5&gt;10000),AND(ISNUMBER(main_original!AQ5),main_original!AQ5&lt;-10000)),main_original!AQ5/100000000,main_original!AQ5)</f>
        <v>18.336151000000001</v>
      </c>
      <c r="AR5" s="4">
        <f>IF(OR(AND(ISNUMBER(main_original!AR5),main_original!AR5&gt;10000),AND(ISNUMBER(main_original!AR5),main_original!AR5&lt;-10000)),main_original!AR5/100000000,main_original!AR5)</f>
        <v>12.677548</v>
      </c>
      <c r="AS5" s="4">
        <f>IF(OR(AND(ISNUMBER(main_original!AS5),main_original!AS5&gt;10000),AND(ISNUMBER(main_original!AS5),main_original!AS5&lt;-10000)),main_original!AS5/100000000,main_original!AS5)</f>
        <v>5.2078350000000002</v>
      </c>
      <c r="AT5" s="4">
        <f>IF(OR(AND(ISNUMBER(main_original!AT5),main_original!AT5&gt;10000),AND(ISNUMBER(main_original!AT5),main_original!AT5&lt;-10000)),main_original!AT5/100000000,main_original!AT5)</f>
        <v>9.9780239999999996</v>
      </c>
      <c r="AU5" s="4">
        <v>1572637200</v>
      </c>
      <c r="AV5" s="4">
        <v>1216891500</v>
      </c>
      <c r="AW5" s="4">
        <v>652288900</v>
      </c>
      <c r="AX5" s="4">
        <v>904340100</v>
      </c>
      <c r="AY5" s="4">
        <v>1373083600</v>
      </c>
      <c r="AZ5" s="4">
        <v>872926200</v>
      </c>
      <c r="BA5" s="4">
        <v>1244115600</v>
      </c>
      <c r="BB5" s="4">
        <v>740665500</v>
      </c>
      <c r="BC5" s="4">
        <v>312936700</v>
      </c>
      <c r="BD5" s="4">
        <v>535335500</v>
      </c>
      <c r="BE5" s="4">
        <v>547180400</v>
      </c>
      <c r="BF5" s="4">
        <v>345679200</v>
      </c>
      <c r="BG5" s="4">
        <v>155266300</v>
      </c>
      <c r="BH5" s="4">
        <v>449371300</v>
      </c>
      <c r="BI5" s="4">
        <v>416280100</v>
      </c>
      <c r="BJ5" s="4">
        <v>221621500</v>
      </c>
      <c r="BK5" s="4">
        <v>110852800</v>
      </c>
      <c r="BL5" s="4">
        <v>369131700</v>
      </c>
      <c r="BM5" s="4">
        <v>303345800</v>
      </c>
      <c r="BN5" s="4">
        <v>166400000</v>
      </c>
      <c r="BO5" s="4">
        <v>87567200</v>
      </c>
      <c r="BP5" s="4">
        <v>261494800</v>
      </c>
      <c r="BQ5" s="4">
        <v>231937000</v>
      </c>
      <c r="BR5" s="4">
        <v>101429800</v>
      </c>
      <c r="BS5" s="4">
        <v>252137300</v>
      </c>
      <c r="BT5" s="4" t="s">
        <v>133</v>
      </c>
      <c r="BU5" s="4">
        <v>68780600</v>
      </c>
      <c r="BV5" s="4">
        <v>71154600</v>
      </c>
      <c r="BW5" s="4">
        <v>238253300</v>
      </c>
      <c r="BX5" s="4" t="s">
        <v>133</v>
      </c>
      <c r="BY5" s="4" t="s">
        <v>133</v>
      </c>
      <c r="BZ5" s="4" t="s">
        <v>133</v>
      </c>
      <c r="CA5" s="4" t="s">
        <v>133</v>
      </c>
      <c r="CB5" s="4" t="s">
        <v>133</v>
      </c>
      <c r="CC5" s="4" t="s">
        <v>133</v>
      </c>
    </row>
    <row r="6" spans="1:81" x14ac:dyDescent="0.25">
      <c r="A6" s="3" t="s">
        <v>349</v>
      </c>
      <c r="B6" s="3" t="str">
        <f>IF(OR(AND(ISNUMBER(main_original!B6),main_original!B6&gt;10000),AND(ISNUMBER(main_original!B6),main_original!B6&lt;-10000)),main_original!B6/100000000,main_original!B6)</f>
        <v>6.92%</v>
      </c>
      <c r="C6" s="3" t="str">
        <f>IF(OR(AND(ISNUMBER(main_original!C6),main_original!C6&gt;10000),AND(ISNUMBER(main_original!C6),main_original!C6&lt;-10000)),main_original!C6/100000000,main_original!C6)</f>
        <v>9.02%</v>
      </c>
      <c r="D6" s="3" t="str">
        <f>IF(OR(AND(ISNUMBER(main_original!D6),main_original!D6&gt;10000),AND(ISNUMBER(main_original!D6),main_original!D6&lt;-10000)),main_original!D6/100000000,main_original!D6)</f>
        <v>16.40%</v>
      </c>
      <c r="E6" s="3" t="str">
        <f>IF(OR(AND(ISNUMBER(main_original!E6),main_original!E6&gt;10000),AND(ISNUMBER(main_original!E6),main_original!E6&lt;-10000)),main_original!E6/100000000,main_original!E6)</f>
        <v>2.03%</v>
      </c>
      <c r="F6" s="3" t="str">
        <f>IF(OR(AND(ISNUMBER(main_original!F6),main_original!F6&gt;10000),AND(ISNUMBER(main_original!F6),main_original!F6&lt;-10000)),main_original!F6/100000000,main_original!F6)</f>
        <v>16.12%</v>
      </c>
      <c r="G6" s="3" t="str">
        <f>IF(OR(AND(ISNUMBER(main_original!G6),main_original!G6&gt;10000),AND(ISNUMBER(main_original!G6),main_original!G6&lt;-10000)),main_original!G6/100000000,main_original!G6)</f>
        <v>18.39%</v>
      </c>
      <c r="H6" s="3" t="str">
        <f>IF(OR(AND(ISNUMBER(main_original!H6),main_original!H6&gt;10000),AND(ISNUMBER(main_original!H6),main_original!H6&lt;-10000)),main_original!H6/100000000,main_original!H6)</f>
        <v>32.79%</v>
      </c>
      <c r="I6" s="3" t="str">
        <f>IF(OR(AND(ISNUMBER(main_original!I6),main_original!I6&gt;10000),AND(ISNUMBER(main_original!I6),main_original!I6&lt;-10000)),main_original!I6/100000000,main_original!I6)</f>
        <v>49.31%</v>
      </c>
      <c r="J6" s="3" t="str">
        <f>IF(OR(AND(ISNUMBER(main_original!J6),main_original!J6&gt;10000),AND(ISNUMBER(main_original!J6),main_original!J6&lt;-10000)),main_original!J6/100000000,main_original!J6)</f>
        <v>2.70%</v>
      </c>
      <c r="K6" s="3" t="str">
        <f>IF(OR(AND(ISNUMBER(main_original!K6),main_original!K6&gt;10000),AND(ISNUMBER(main_original!K6),main_original!K6&lt;-10000)),main_original!K6/100000000,main_original!K6)</f>
        <v>43.68%</v>
      </c>
      <c r="L6" s="3" t="str">
        <f>IF(OR(AND(ISNUMBER(main_original!L6),main_original!L6&gt;10000),AND(ISNUMBER(main_original!L6),main_original!L6&lt;-10000)),main_original!L6/100000000,main_original!L6)</f>
        <v>38.43%</v>
      </c>
      <c r="M6" s="3" t="str">
        <f>IF(OR(AND(ISNUMBER(main_original!M6),main_original!M6&gt;10000),AND(ISNUMBER(main_original!M6),main_original!M6&lt;-10000)),main_original!M6/100000000,main_original!M6)</f>
        <v>61.86%</v>
      </c>
      <c r="N6" s="3" t="str">
        <f>IF(OR(AND(ISNUMBER(main_original!N6),main_original!N6&gt;10000),AND(ISNUMBER(main_original!N6),main_original!N6&lt;-10000)),main_original!N6/100000000,main_original!N6)</f>
        <v>135.09%</v>
      </c>
      <c r="O6" s="3" t="str">
        <f>IF(OR(AND(ISNUMBER(main_original!O6),main_original!O6&gt;10000),AND(ISNUMBER(main_original!O6),main_original!O6&lt;-10000)),main_original!O6/100000000,main_original!O6)</f>
        <v>31.16%</v>
      </c>
      <c r="P6" s="3" t="str">
        <f>IF(OR(AND(ISNUMBER(main_original!P6),main_original!P6&gt;10000),AND(ISNUMBER(main_original!P6),main_original!P6&lt;-10000)),main_original!P6/100000000,main_original!P6)</f>
        <v>25.83%</v>
      </c>
      <c r="Q6" s="3" t="str">
        <f>IF(OR(AND(ISNUMBER(main_original!Q6),main_original!Q6&gt;10000),AND(ISNUMBER(main_original!Q6),main_original!Q6&lt;-10000)),main_original!Q6/100000000,main_original!Q6)</f>
        <v>7.64%</v>
      </c>
      <c r="R6" s="3" t="str">
        <f>IF(OR(AND(ISNUMBER(main_original!R6),main_original!R6&gt;10000),AND(ISNUMBER(main_original!R6),main_original!R6&lt;-10000)),main_original!R6/100000000,main_original!R6)</f>
        <v>3.19%</v>
      </c>
      <c r="S6" s="3" t="str">
        <f>IF(OR(AND(ISNUMBER(main_original!S6),main_original!S6&gt;10000),AND(ISNUMBER(main_original!S6),main_original!S6&lt;-10000)),main_original!S6/100000000,main_original!S6)</f>
        <v>11.05%</v>
      </c>
      <c r="T6" s="3" t="str">
        <f>IF(OR(AND(ISNUMBER(main_original!T6),main_original!T6&gt;10000),AND(ISNUMBER(main_original!T6),main_original!T6&lt;-10000)),main_original!T6/100000000,main_original!T6)</f>
        <v>11.90%</v>
      </c>
      <c r="U6" s="3" t="str">
        <f>IF(OR(AND(ISNUMBER(main_original!U6),main_original!U6&gt;10000),AND(ISNUMBER(main_original!U6),main_original!U6&lt;-10000)),main_original!U6/100000000,main_original!U6)</f>
        <v>-13.39%</v>
      </c>
      <c r="V6" s="3" t="str">
        <f>IF(OR(AND(ISNUMBER(main_original!V6),main_original!V6&gt;10000),AND(ISNUMBER(main_original!V6),main_original!V6&lt;-10000)),main_original!V6/100000000,main_original!V6)</f>
        <v>2.52%</v>
      </c>
      <c r="W6" s="3" t="str">
        <f>IF(OR(AND(ISNUMBER(main_original!W6),main_original!W6&gt;10000),AND(ISNUMBER(main_original!W6),main_original!W6&lt;-10000)),main_original!W6/100000000,main_original!W6)</f>
        <v>-0.61%</v>
      </c>
      <c r="X6" s="3" t="str">
        <f>IF(OR(AND(ISNUMBER(main_original!X6),main_original!X6&gt;10000),AND(ISNUMBER(main_original!X6),main_original!X6&lt;-10000)),main_original!X6/100000000,main_original!X6)</f>
        <v>17.85%</v>
      </c>
      <c r="Y6" s="3" t="str">
        <f>IF(OR(AND(ISNUMBER(main_original!Y6),main_original!Y6&gt;10000),AND(ISNUMBER(main_original!Y6),main_original!Y6&lt;-10000)),main_original!Y6/100000000,main_original!Y6)</f>
        <v>14.37%</v>
      </c>
      <c r="Z6" s="3" t="str">
        <f>IF(OR(AND(ISNUMBER(main_original!Z6),main_original!Z6&gt;10000),AND(ISNUMBER(main_original!Z6),main_original!Z6&lt;-10000)),main_original!Z6/100000000,main_original!Z6)</f>
        <v>-8.58%</v>
      </c>
      <c r="AA6" s="3" t="str">
        <f>IF(OR(AND(ISNUMBER(main_original!AA6),main_original!AA6&gt;10000),AND(ISNUMBER(main_original!AA6),main_original!AA6&lt;-10000)),main_original!AA6/100000000,main_original!AA6)</f>
        <v>-3.41%</v>
      </c>
      <c r="AB6" s="3" t="str">
        <f>IF(OR(AND(ISNUMBER(main_original!AB6),main_original!AB6&gt;10000),AND(ISNUMBER(main_original!AB6),main_original!AB6&lt;-10000)),main_original!AB6/100000000,main_original!AB6)</f>
        <v>-1.80%</v>
      </c>
      <c r="AC6" s="3" t="str">
        <f>IF(OR(AND(ISNUMBER(main_original!AC6),main_original!AC6&gt;10000),AND(ISNUMBER(main_original!AC6),main_original!AC6&lt;-10000)),main_original!AC6/100000000,main_original!AC6)</f>
        <v>42.19%</v>
      </c>
      <c r="AD6" s="3" t="str">
        <f>IF(OR(AND(ISNUMBER(main_original!AD6),main_original!AD6&gt;10000),AND(ISNUMBER(main_original!AD6),main_original!AD6&lt;-10000)),main_original!AD6/100000000,main_original!AD6)</f>
        <v>10.75%</v>
      </c>
      <c r="AE6" s="3" t="str">
        <f>IF(OR(AND(ISNUMBER(main_original!AE6),main_original!AE6&gt;10000),AND(ISNUMBER(main_original!AE6),main_original!AE6&lt;-10000)),main_original!AE6/100000000,main_original!AE6)</f>
        <v>-8.88%</v>
      </c>
      <c r="AF6" s="3" t="str">
        <f>IF(OR(AND(ISNUMBER(main_original!AF6),main_original!AF6&gt;10000),AND(ISNUMBER(main_original!AF6),main_original!AF6&lt;-10000)),main_original!AF6/100000000,main_original!AF6)</f>
        <v>27.12%</v>
      </c>
      <c r="AG6" s="3" t="str">
        <f>IF(OR(AND(ISNUMBER(main_original!AG6),main_original!AG6&gt;10000),AND(ISNUMBER(main_original!AG6),main_original!AG6&lt;-10000)),main_original!AG6/100000000,main_original!AG6)</f>
        <v>32.60%</v>
      </c>
      <c r="AH6" s="3" t="str">
        <f>IF(OR(AND(ISNUMBER(main_original!AH6),main_original!AH6&gt;10000),AND(ISNUMBER(main_original!AH6),main_original!AH6&lt;-10000)),main_original!AH6/100000000,main_original!AH6)</f>
        <v>110.38%</v>
      </c>
      <c r="AI6" s="3" t="str">
        <f>IF(OR(AND(ISNUMBER(main_original!AI6),main_original!AI6&gt;10000),AND(ISNUMBER(main_original!AI6),main_original!AI6&lt;-10000)),main_original!AI6/100000000,main_original!AI6)</f>
        <v>33.09%</v>
      </c>
      <c r="AJ6" s="3" t="str">
        <f>IF(OR(AND(ISNUMBER(main_original!AJ6),main_original!AJ6&gt;10000),AND(ISNUMBER(main_original!AJ6),main_original!AJ6&lt;-10000)),main_original!AJ6/100000000,main_original!AJ6)</f>
        <v>57.64%</v>
      </c>
      <c r="AK6" s="3" t="str">
        <f>IF(OR(AND(ISNUMBER(main_original!AK6),main_original!AK6&gt;10000),AND(ISNUMBER(main_original!AK6),main_original!AK6&lt;-10000)),main_original!AK6/100000000,main_original!AK6)</f>
        <v>150.48%</v>
      </c>
      <c r="AL6" s="3" t="str">
        <f>IF(OR(AND(ISNUMBER(main_original!AL6),main_original!AL6&gt;10000),AND(ISNUMBER(main_original!AL6),main_original!AL6&lt;-10000)),main_original!AL6/100000000,main_original!AL6)</f>
        <v>54.90%</v>
      </c>
      <c r="AM6" s="3" t="str">
        <f>IF(OR(AND(ISNUMBER(main_original!AM6),main_original!AM6&gt;10000),AND(ISNUMBER(main_original!AM6),main_original!AM6&lt;-10000)),main_original!AM6/100000000,main_original!AM6)</f>
        <v>65.05%</v>
      </c>
      <c r="AN6" s="3" t="str">
        <f>IF(OR(AND(ISNUMBER(main_original!AN6),main_original!AN6&gt;10000),AND(ISNUMBER(main_original!AN6),main_original!AN6&lt;-10000)),main_original!AN6/100000000,main_original!AN6)</f>
        <v>48.50%</v>
      </c>
      <c r="AO6" s="3" t="str">
        <f>IF(OR(AND(ISNUMBER(main_original!AO6),main_original!AO6&gt;10000),AND(ISNUMBER(main_original!AO6),main_original!AO6&lt;-10000)),main_original!AO6/100000000,main_original!AO6)</f>
        <v>68.13%</v>
      </c>
      <c r="AP6" s="3" t="str">
        <f>IF(OR(AND(ISNUMBER(main_original!AP6),main_original!AP6&gt;10000),AND(ISNUMBER(main_original!AP6),main_original!AP6&lt;-10000)),main_original!AP6/100000000,main_original!AP6)</f>
        <v>7.56%</v>
      </c>
      <c r="AQ6" s="3" t="str">
        <f>IF(OR(AND(ISNUMBER(main_original!AQ6),main_original!AQ6&gt;10000),AND(ISNUMBER(main_original!AQ6),main_original!AQ6&lt;-10000)),main_original!AQ6/100000000,main_original!AQ6)</f>
        <v>16.59%</v>
      </c>
      <c r="AR6" s="3" t="str">
        <f>IF(OR(AND(ISNUMBER(main_original!AR6),main_original!AR6&gt;10000),AND(ISNUMBER(main_original!AR6),main_original!AR6&lt;-10000)),main_original!AR6/100000000,main_original!AR6)</f>
        <v>4.18%</v>
      </c>
      <c r="AS6" s="3" t="str">
        <f>IF(OR(AND(ISNUMBER(main_original!AS6),main_original!AS6&gt;10000),AND(ISNUMBER(main_original!AS6),main_original!AS6&lt;-10000)),main_original!AS6/100000000,main_original!AS6)</f>
        <v>-20.16%</v>
      </c>
      <c r="AT6" s="3" t="str">
        <f>IF(OR(AND(ISNUMBER(main_original!AT6),main_original!AT6&gt;10000),AND(ISNUMBER(main_original!AT6),main_original!AT6&lt;-10000)),main_original!AT6/100000000,main_original!AT6)</f>
        <v>10.33%</v>
      </c>
      <c r="AU6" s="3" t="s">
        <v>394</v>
      </c>
      <c r="AV6" s="3" t="s">
        <v>395</v>
      </c>
      <c r="AW6" s="3" t="s">
        <v>396</v>
      </c>
      <c r="AX6" s="3" t="s">
        <v>397</v>
      </c>
      <c r="AY6" s="3" t="s">
        <v>398</v>
      </c>
      <c r="AZ6" s="3" t="s">
        <v>399</v>
      </c>
      <c r="BA6" s="3" t="s">
        <v>400</v>
      </c>
      <c r="BB6" s="3" t="s">
        <v>401</v>
      </c>
      <c r="BC6" s="3" t="s">
        <v>402</v>
      </c>
      <c r="BD6" s="3" t="s">
        <v>403</v>
      </c>
      <c r="BE6" s="3" t="s">
        <v>404</v>
      </c>
      <c r="BF6" s="3" t="s">
        <v>405</v>
      </c>
      <c r="BG6" s="3" t="s">
        <v>406</v>
      </c>
      <c r="BH6" s="3" t="s">
        <v>407</v>
      </c>
      <c r="BI6" s="3" t="s">
        <v>408</v>
      </c>
      <c r="BJ6" s="3" t="s">
        <v>311</v>
      </c>
      <c r="BK6" s="3" t="s">
        <v>409</v>
      </c>
      <c r="BL6" s="3" t="s">
        <v>340</v>
      </c>
      <c r="BM6" s="3" t="s">
        <v>410</v>
      </c>
      <c r="BN6" s="3" t="s">
        <v>411</v>
      </c>
      <c r="BO6" s="3" t="s">
        <v>412</v>
      </c>
      <c r="BP6" s="3" t="s">
        <v>133</v>
      </c>
      <c r="BQ6" s="3" t="s">
        <v>413</v>
      </c>
      <c r="BR6" s="3" t="s">
        <v>414</v>
      </c>
      <c r="BS6" s="3" t="s">
        <v>415</v>
      </c>
      <c r="BT6" s="3" t="s">
        <v>133</v>
      </c>
      <c r="BU6" s="3" t="s">
        <v>133</v>
      </c>
      <c r="BV6" s="3" t="s">
        <v>133</v>
      </c>
      <c r="BW6" s="3" t="s">
        <v>133</v>
      </c>
      <c r="BX6" s="3" t="s">
        <v>133</v>
      </c>
      <c r="BY6" s="3" t="s">
        <v>133</v>
      </c>
      <c r="BZ6" s="3" t="s">
        <v>133</v>
      </c>
      <c r="CA6" s="3" t="s">
        <v>133</v>
      </c>
      <c r="CB6" s="3" t="s">
        <v>133</v>
      </c>
      <c r="CC6" s="3" t="s">
        <v>133</v>
      </c>
    </row>
    <row r="7" spans="1:81" s="22" customFormat="1" x14ac:dyDescent="0.25">
      <c r="A7" s="4" t="s">
        <v>34</v>
      </c>
      <c r="B7" s="4">
        <f>IF(OR(AND(ISNUMBER(main_original!B7),main_original!B7&gt;10000),AND(ISNUMBER(main_original!B7),main_original!B7&lt;-10000)),main_original!B7/100000000,main_original!B7)</f>
        <v>239.4050558495</v>
      </c>
      <c r="C7" s="4">
        <f>IF(OR(AND(ISNUMBER(main_original!C7),main_original!C7&gt;10000),AND(ISNUMBER(main_original!C7),main_original!C7&lt;-10000)),main_original!C7/100000000,main_original!C7)</f>
        <v>203.35879249639999</v>
      </c>
      <c r="D7" s="4">
        <f>IF(OR(AND(ISNUMBER(main_original!D7),main_original!D7&gt;10000),AND(ISNUMBER(main_original!D7),main_original!D7&lt;-10000)),main_original!D7/100000000,main_original!D7)</f>
        <v>252.98492025939998</v>
      </c>
      <c r="E7" s="4">
        <f>IF(OR(AND(ISNUMBER(main_original!E7),main_original!E7&gt;10000),AND(ISNUMBER(main_original!E7),main_original!E7&lt;-10000)),main_original!E7/100000000,main_original!E7)</f>
        <v>253.45674442060002</v>
      </c>
      <c r="F7" s="4">
        <f>IF(OR(AND(ISNUMBER(main_original!F7),main_original!F7&gt;10000),AND(ISNUMBER(main_original!F7),main_original!F7&lt;-10000)),main_original!F7/100000000,main_original!F7)</f>
        <v>223.35981736759999</v>
      </c>
      <c r="G7" s="4">
        <f>IF(OR(AND(ISNUMBER(main_original!G7),main_original!G7&gt;10000),AND(ISNUMBER(main_original!G7),main_original!G7&lt;-10000)),main_original!G7/100000000,main_original!G7)</f>
        <v>186.92156055250001</v>
      </c>
      <c r="H7" s="4">
        <f>IF(OR(AND(ISNUMBER(main_original!H7),main_original!H7&gt;10000),AND(ISNUMBER(main_original!H7),main_original!H7&lt;-10000)),main_original!H7/100000000,main_original!H7)</f>
        <v>224.80525254689999</v>
      </c>
      <c r="I7" s="4">
        <f>IF(OR(AND(ISNUMBER(main_original!I7),main_original!I7&gt;10000),AND(ISNUMBER(main_original!I7),main_original!I7&lt;-10000)),main_original!I7/100000000,main_original!I7)</f>
        <v>222.301176588</v>
      </c>
      <c r="J7" s="4">
        <f>IF(OR(AND(ISNUMBER(main_original!J7),main_original!J7&gt;10000),AND(ISNUMBER(main_original!J7),main_original!J7&lt;-10000)),main_original!J7/100000000,main_original!J7)</f>
        <v>197.17801668090001</v>
      </c>
      <c r="K7" s="4">
        <f>IF(OR(AND(ISNUMBER(main_original!K7),main_original!K7&gt;10000),AND(ISNUMBER(main_original!K7),main_original!K7&lt;-10000)),main_original!K7/100000000,main_original!K7)</f>
        <v>168.56207937370002</v>
      </c>
      <c r="L7" s="4">
        <f>IF(OR(AND(ISNUMBER(main_original!L7),main_original!L7&gt;10000),AND(ISNUMBER(main_original!L7),main_original!L7&lt;-10000)),main_original!L7/100000000,main_original!L7)</f>
        <v>183.9525684596</v>
      </c>
      <c r="M7" s="4">
        <f>IF(OR(AND(ISNUMBER(main_original!M7),main_original!M7&gt;10000),AND(ISNUMBER(main_original!M7),main_original!M7&lt;-10000)),main_original!M7/100000000,main_original!M7)</f>
        <v>165.75382294720001</v>
      </c>
      <c r="N7" s="4">
        <f>IF(OR(AND(ISNUMBER(main_original!N7),main_original!N7&gt;10000),AND(ISNUMBER(main_original!N7),main_original!N7&lt;-10000)),main_original!N7/100000000,main_original!N7)</f>
        <v>189.9347782641</v>
      </c>
      <c r="O7" s="4">
        <f>IF(OR(AND(ISNUMBER(main_original!O7),main_original!O7&gt;10000),AND(ISNUMBER(main_original!O7),main_original!O7&lt;-10000)),main_original!O7/100000000,main_original!O7)</f>
        <v>115.80485375729999</v>
      </c>
      <c r="P7" s="4">
        <f>IF(OR(AND(ISNUMBER(main_original!P7),main_original!P7&gt;10000),AND(ISNUMBER(main_original!P7),main_original!P7&lt;-10000)),main_original!P7/100000000,main_original!P7)</f>
        <v>139.13411369299999</v>
      </c>
      <c r="Q7" s="4">
        <f>IF(OR(AND(ISNUMBER(main_original!Q7),main_original!Q7&gt;10000),AND(ISNUMBER(main_original!Q7),main_original!Q7&lt;-10000)),main_original!Q7/100000000,main_original!Q7)</f>
        <v>126.2234926191</v>
      </c>
      <c r="R7" s="4">
        <f>IF(OR(AND(ISNUMBER(main_original!R7),main_original!R7&gt;10000),AND(ISNUMBER(main_original!R7),main_original!R7&lt;-10000)),main_original!R7/100000000,main_original!R7)</f>
        <v>87.951180592000014</v>
      </c>
      <c r="S7" s="4">
        <f>IF(OR(AND(ISNUMBER(main_original!S7),main_original!S7&gt;10000),AND(ISNUMBER(main_original!S7),main_original!S7&lt;-10000)),main_original!S7/100000000,main_original!S7)</f>
        <v>84.867495081300007</v>
      </c>
      <c r="T7" s="4">
        <f>IF(OR(AND(ISNUMBER(main_original!T7),main_original!T7&gt;10000),AND(ISNUMBER(main_original!T7),main_original!T7&lt;-10000)),main_original!T7/100000000,main_original!T7)</f>
        <v>102.50867583690001</v>
      </c>
      <c r="U7" s="4">
        <f>IF(OR(AND(ISNUMBER(main_original!U7),main_original!U7&gt;10000),AND(ISNUMBER(main_original!U7),main_original!U7&lt;-10000)),main_original!U7/100000000,main_original!U7)</f>
        <v>97.125397951000011</v>
      </c>
      <c r="V7" s="4">
        <f>IF(OR(AND(ISNUMBER(main_original!V7),main_original!V7&gt;10000),AND(ISNUMBER(main_original!V7),main_original!V7&lt;-10000)),main_original!V7/100000000,main_original!V7)</f>
        <v>75.486676810100008</v>
      </c>
      <c r="W7" s="4">
        <f>IF(OR(AND(ISNUMBER(main_original!W7),main_original!W7&gt;10000),AND(ISNUMBER(main_original!W7),main_original!W7&lt;-10000)),main_original!W7/100000000,main_original!W7)</f>
        <v>74.252836412500002</v>
      </c>
      <c r="X7" s="4">
        <f>IF(OR(AND(ISNUMBER(main_original!X7),main_original!X7&gt;10000),AND(ISNUMBER(main_original!X7),main_original!X7&lt;-10000)),main_original!X7/100000000,main_original!X7)</f>
        <v>87.603679282199991</v>
      </c>
      <c r="Y7" s="4">
        <f>IF(OR(AND(ISNUMBER(main_original!Y7),main_original!Y7&gt;10000),AND(ISNUMBER(main_original!Y7),main_original!Y7&lt;-10000)),main_original!Y7/100000000,main_original!Y7)</f>
        <v>100.43956018760001</v>
      </c>
      <c r="Z7" s="4">
        <f>IF(OR(AND(ISNUMBER(main_original!Z7),main_original!Z7&gt;10000),AND(ISNUMBER(main_original!Z7),main_original!Z7&lt;-10000)),main_original!Z7/100000000,main_original!Z7)</f>
        <v>75.576184642100003</v>
      </c>
      <c r="AA7" s="4">
        <f>IF(OR(AND(ISNUMBER(main_original!AA7),main_original!AA7&gt;10000),AND(ISNUMBER(main_original!AA7),main_original!AA7&lt;-10000)),main_original!AA7/100000000,main_original!AA7)</f>
        <v>70.338996239700009</v>
      </c>
      <c r="AB7" s="4">
        <f>IF(OR(AND(ISNUMBER(main_original!AB7),main_original!AB7&gt;10000),AND(ISNUMBER(main_original!AB7),main_original!AB7&lt;-10000)),main_original!AB7/100000000,main_original!AB7)</f>
        <v>75.817396341399999</v>
      </c>
      <c r="AC7" s="4">
        <f>IF(OR(AND(ISNUMBER(main_original!AC7),main_original!AC7&gt;10000),AND(ISNUMBER(main_original!AC7),main_original!AC7&lt;-10000)),main_original!AC7/100000000,main_original!AC7)</f>
        <v>90.682148510700003</v>
      </c>
      <c r="AD7" s="4">
        <f>IF(OR(AND(ISNUMBER(main_original!AD7),main_original!AD7&gt;10000),AND(ISNUMBER(main_original!AD7),main_original!AD7&lt;-10000)),main_original!AD7/100000000,main_original!AD7)</f>
        <v>78.649496345700001</v>
      </c>
      <c r="AE7" s="4">
        <f>IF(OR(AND(ISNUMBER(main_original!AE7),main_original!AE7&gt;10000),AND(ISNUMBER(main_original!AE7),main_original!AE7&lt;-10000)),main_original!AE7/100000000,main_original!AE7)</f>
        <v>69.716458849799992</v>
      </c>
      <c r="AF7" s="4">
        <f>IF(OR(AND(ISNUMBER(main_original!AF7),main_original!AF7&gt;10000),AND(ISNUMBER(main_original!AF7),main_original!AF7&lt;-10000)),main_original!AF7/100000000,main_original!AF7)</f>
        <v>71.657858516099992</v>
      </c>
      <c r="AG7" s="4">
        <f>IF(OR(AND(ISNUMBER(main_original!AG7),main_original!AG7&gt;10000),AND(ISNUMBER(main_original!AG7),main_original!AG7&lt;-10000)),main_original!AG7/100000000,main_original!AG7)</f>
        <v>65.238965525099999</v>
      </c>
      <c r="AH7" s="4">
        <f>IF(OR(AND(ISNUMBER(main_original!AH7),main_original!AH7&gt;10000),AND(ISNUMBER(main_original!AH7),main_original!AH7&lt;-10000)),main_original!AH7/100000000,main_original!AH7)</f>
        <v>66.670007640699993</v>
      </c>
      <c r="AI7" s="4">
        <f>IF(OR(AND(ISNUMBER(main_original!AI7),main_original!AI7&gt;10000),AND(ISNUMBER(main_original!AI7),main_original!AI7&lt;-10000)),main_original!AI7/100000000,main_original!AI7)</f>
        <v>72.484700947899995</v>
      </c>
      <c r="AJ7" s="4">
        <f>IF(OR(AND(ISNUMBER(main_original!AJ7),main_original!AJ7&gt;10000),AND(ISNUMBER(main_original!AJ7),main_original!AJ7&lt;-10000)),main_original!AJ7/100000000,main_original!AJ7)</f>
        <v>60.159677416199997</v>
      </c>
      <c r="AK7" s="4">
        <f>IF(OR(AND(ISNUMBER(main_original!AK7),main_original!AK7&gt;10000),AND(ISNUMBER(main_original!AK7),main_original!AK7&lt;-10000)),main_original!AK7/100000000,main_original!AK7)</f>
        <v>47.602797272299995</v>
      </c>
      <c r="AL7" s="4">
        <f>IF(OR(AND(ISNUMBER(main_original!AL7),main_original!AL7&gt;10000),AND(ISNUMBER(main_original!AL7),main_original!AL7&lt;-10000)),main_original!AL7/100000000,main_original!AL7)</f>
        <v>38.1625205299</v>
      </c>
      <c r="AM7" s="4">
        <f>IF(OR(AND(ISNUMBER(main_original!AM7),main_original!AM7&gt;10000),AND(ISNUMBER(main_original!AM7),main_original!AM7&lt;-10000)),main_original!AM7/100000000,main_original!AM7)</f>
        <v>56.052343291400007</v>
      </c>
      <c r="AN7" s="4">
        <f>IF(OR(AND(ISNUMBER(main_original!AN7),main_original!AN7&gt;10000),AND(ISNUMBER(main_original!AN7),main_original!AN7&lt;-10000)),main_original!AN7/100000000,main_original!AN7)</f>
        <v>42.205890979400003</v>
      </c>
      <c r="AO7" s="4">
        <f>IF(OR(AND(ISNUMBER(main_original!AO7),main_original!AO7&gt;10000),AND(ISNUMBER(main_original!AO7),main_original!AO7&lt;-10000)),main_original!AO7/100000000,main_original!AO7)</f>
        <v>23.057059560599999</v>
      </c>
      <c r="AP7" s="4">
        <f>IF(OR(AND(ISNUMBER(main_original!AP7),main_original!AP7&gt;10000),AND(ISNUMBER(main_original!AP7),main_original!AP7&lt;-10000)),main_original!AP7/100000000,main_original!AP7)</f>
        <v>27.403114213400002</v>
      </c>
      <c r="AQ7" s="4">
        <f>IF(OR(AND(ISNUMBER(main_original!AQ7),main_original!AQ7&gt;10000),AND(ISNUMBER(main_original!AQ7),main_original!AQ7&lt;-10000)),main_original!AQ7/100000000,main_original!AQ7)</f>
        <v>35.473602623699996</v>
      </c>
      <c r="AR7" s="4">
        <f>IF(OR(AND(ISNUMBER(main_original!AR7),main_original!AR7&gt;10000),AND(ISNUMBER(main_original!AR7),main_original!AR7&lt;-10000)),main_original!AR7/100000000,main_original!AR7)</f>
        <v>30.399061004099998</v>
      </c>
      <c r="AS7" s="4">
        <f>IF(OR(AND(ISNUMBER(main_original!AS7),main_original!AS7&gt;10000),AND(ISNUMBER(main_original!AS7),main_original!AS7&lt;-10000)),main_original!AS7/100000000,main_original!AS7)</f>
        <v>18.627966796099997</v>
      </c>
      <c r="AT7" s="4">
        <f>IF(OR(AND(ISNUMBER(main_original!AT7),main_original!AT7&gt;10000),AND(ISNUMBER(main_original!AT7),main_original!AT7&lt;-10000)),main_original!AT7/100000000,main_original!AT7)</f>
        <v>22.611963544899996</v>
      </c>
      <c r="AU7" s="4">
        <v>3033468864.0900002</v>
      </c>
      <c r="AV7" s="4">
        <v>2512537167.1999998</v>
      </c>
      <c r="AW7" s="4">
        <v>1755168283.0999999</v>
      </c>
      <c r="AX7" s="4">
        <v>1866799971.4100001</v>
      </c>
      <c r="AY7" s="4">
        <v>2626220914.1399999</v>
      </c>
      <c r="AZ7" s="4">
        <v>1993496395.46</v>
      </c>
      <c r="BA7" s="4">
        <v>2779048497.8600001</v>
      </c>
      <c r="BB7" s="4">
        <v>1829293372.8399999</v>
      </c>
      <c r="BC7" s="4">
        <v>1041550780.74</v>
      </c>
      <c r="BD7" s="4">
        <v>1587538095.6800001</v>
      </c>
      <c r="BE7" s="4">
        <v>1650991953.6600001</v>
      </c>
      <c r="BF7" s="4">
        <v>1238891283.6900001</v>
      </c>
      <c r="BG7" s="4">
        <v>660486658.28999996</v>
      </c>
      <c r="BH7" s="4">
        <v>1353005869.77</v>
      </c>
      <c r="BI7" s="4">
        <v>1350196364.3599999</v>
      </c>
      <c r="BJ7" s="4">
        <v>894174531.34000003</v>
      </c>
      <c r="BK7" s="4">
        <v>542127021.28999996</v>
      </c>
      <c r="BL7" s="4">
        <v>1144017320.6199999</v>
      </c>
      <c r="BM7" s="4">
        <v>939355347.26999998</v>
      </c>
      <c r="BN7" s="4">
        <v>756328963.59000003</v>
      </c>
      <c r="BO7" s="4">
        <v>460677303.19999999</v>
      </c>
      <c r="BP7" s="4">
        <v>853431905.86000001</v>
      </c>
      <c r="BQ7" s="4">
        <v>848273574.83000004</v>
      </c>
      <c r="BR7" s="4">
        <v>543696794.62</v>
      </c>
      <c r="BS7" s="4">
        <v>275158309.58999997</v>
      </c>
      <c r="BT7" s="4">
        <v>733889255.88999999</v>
      </c>
      <c r="BU7" s="4">
        <v>471012070.57999998</v>
      </c>
      <c r="BV7" s="4">
        <v>408232011.69999999</v>
      </c>
      <c r="BW7" s="4">
        <v>237639354.09</v>
      </c>
      <c r="BX7" s="4">
        <v>718014858.52999997</v>
      </c>
      <c r="BY7" s="4" t="s">
        <v>133</v>
      </c>
      <c r="BZ7" s="4" t="s">
        <v>133</v>
      </c>
      <c r="CA7" s="4" t="s">
        <v>133</v>
      </c>
      <c r="CB7" s="4" t="s">
        <v>133</v>
      </c>
      <c r="CC7" s="4" t="s">
        <v>133</v>
      </c>
    </row>
    <row r="8" spans="1:81" x14ac:dyDescent="0.25">
      <c r="A8" s="3" t="s">
        <v>40</v>
      </c>
      <c r="B8" s="3" t="str">
        <f>IF(OR(AND(ISNUMBER(main_original!B8),main_original!B8&gt;10000),AND(ISNUMBER(main_original!B8),main_original!B8&lt;-10000)),main_original!B8/100000000,main_original!B8)</f>
        <v>7.18%</v>
      </c>
      <c r="C8" s="3" t="str">
        <f>IF(OR(AND(ISNUMBER(main_original!C8),main_original!C8&gt;10000),AND(ISNUMBER(main_original!C8),main_original!C8&lt;-10000)),main_original!C8/100000000,main_original!C8)</f>
        <v>8.79%</v>
      </c>
      <c r="D8" s="3" t="str">
        <f>IF(OR(AND(ISNUMBER(main_original!D8),main_original!D8&gt;10000),AND(ISNUMBER(main_original!D8),main_original!D8&lt;-10000)),main_original!D8/100000000,main_original!D8)</f>
        <v>12.54%</v>
      </c>
      <c r="E8" s="3" t="str">
        <f>IF(OR(AND(ISNUMBER(main_original!E8),main_original!E8&gt;10000),AND(ISNUMBER(main_original!E8),main_original!E8&lt;-10000)),main_original!E8/100000000,main_original!E8)</f>
        <v>14.02%</v>
      </c>
      <c r="F8" s="3" t="str">
        <f>IF(OR(AND(ISNUMBER(main_original!F8),main_original!F8&gt;10000),AND(ISNUMBER(main_original!F8),main_original!F8&lt;-10000)),main_original!F8/100000000,main_original!F8)</f>
        <v>13.28%</v>
      </c>
      <c r="G8" s="3" t="str">
        <f>IF(OR(AND(ISNUMBER(main_original!G8),main_original!G8&gt;10000),AND(ISNUMBER(main_original!G8),main_original!G8&lt;-10000)),main_original!G8/100000000,main_original!G8)</f>
        <v>10.89%</v>
      </c>
      <c r="H8" s="3" t="str">
        <f>IF(OR(AND(ISNUMBER(main_original!H8),main_original!H8&gt;10000),AND(ISNUMBER(main_original!H8),main_original!H8&lt;-10000)),main_original!H8/100000000,main_original!H8)</f>
        <v>22.21%</v>
      </c>
      <c r="I8" s="3" t="str">
        <f>IF(OR(AND(ISNUMBER(main_original!I8),main_original!I8&gt;10000),AND(ISNUMBER(main_original!I8),main_original!I8&lt;-10000)),main_original!I8/100000000,main_original!I8)</f>
        <v>34.12%</v>
      </c>
      <c r="J8" s="3" t="str">
        <f>IF(OR(AND(ISNUMBER(main_original!J8),main_original!J8&gt;10000),AND(ISNUMBER(main_original!J8),main_original!J8&lt;-10000)),main_original!J8/100000000,main_original!J8)</f>
        <v>3.81%</v>
      </c>
      <c r="K8" s="3" t="str">
        <f>IF(OR(AND(ISNUMBER(main_original!K8),main_original!K8&gt;10000),AND(ISNUMBER(main_original!K8),main_original!K8&lt;-10000)),main_original!K8/100000000,main_original!K8)</f>
        <v>45.56%</v>
      </c>
      <c r="L8" s="3" t="str">
        <f>IF(OR(AND(ISNUMBER(main_original!L8),main_original!L8&gt;10000),AND(ISNUMBER(main_original!L8),main_original!L8&lt;-10000)),main_original!L8/100000000,main_original!L8)</f>
        <v>32.21%</v>
      </c>
      <c r="M8" s="3" t="str">
        <f>IF(OR(AND(ISNUMBER(main_original!M8),main_original!M8&gt;10000),AND(ISNUMBER(main_original!M8),main_original!M8&lt;-10000)),main_original!M8/100000000,main_original!M8)</f>
        <v>31.32%</v>
      </c>
      <c r="N8" s="3" t="str">
        <f>IF(OR(AND(ISNUMBER(main_original!N8),main_original!N8&gt;10000),AND(ISNUMBER(main_original!N8),main_original!N8&lt;-10000)),main_original!N8/100000000,main_original!N8)</f>
        <v>115.95%</v>
      </c>
      <c r="O8" s="3" t="str">
        <f>IF(OR(AND(ISNUMBER(main_original!O8),main_original!O8&gt;10000),AND(ISNUMBER(main_original!O8),main_original!O8&lt;-10000)),main_original!O8/100000000,main_original!O8)</f>
        <v>36.45%</v>
      </c>
      <c r="P8" s="3" t="str">
        <f>IF(OR(AND(ISNUMBER(main_original!P8),main_original!P8&gt;10000),AND(ISNUMBER(main_original!P8),main_original!P8&lt;-10000)),main_original!P8/100000000,main_original!P8)</f>
        <v>35.73%</v>
      </c>
      <c r="Q8" s="3" t="str">
        <f>IF(OR(AND(ISNUMBER(main_original!Q8),main_original!Q8&gt;10000),AND(ISNUMBER(main_original!Q8),main_original!Q8&lt;-10000)),main_original!Q8/100000000,main_original!Q8)</f>
        <v>29.96%</v>
      </c>
      <c r="R8" s="3" t="str">
        <f>IF(OR(AND(ISNUMBER(main_original!R8),main_original!R8&gt;10000),AND(ISNUMBER(main_original!R8),main_original!R8&lt;-10000)),main_original!R8/100000000,main_original!R8)</f>
        <v>16.51%</v>
      </c>
      <c r="S8" s="3" t="str">
        <f>IF(OR(AND(ISNUMBER(main_original!S8),main_original!S8&gt;10000),AND(ISNUMBER(main_original!S8),main_original!S8&lt;-10000)),main_original!S8/100000000,main_original!S8)</f>
        <v>14.30%</v>
      </c>
      <c r="T8" s="3" t="str">
        <f>IF(OR(AND(ISNUMBER(main_original!T8),main_original!T8&gt;10000),AND(ISNUMBER(main_original!T8),main_original!T8&lt;-10000)),main_original!T8/100000000,main_original!T8)</f>
        <v>17.01%</v>
      </c>
      <c r="U8" s="3" t="str">
        <f>IF(OR(AND(ISNUMBER(main_original!U8),main_original!U8&gt;10000),AND(ISNUMBER(main_original!U8),main_original!U8&lt;-10000)),main_original!U8/100000000,main_original!U8)</f>
        <v>-3.30%</v>
      </c>
      <c r="V8" s="3" t="str">
        <f>IF(OR(AND(ISNUMBER(main_original!V8),main_original!V8&gt;10000),AND(ISNUMBER(main_original!V8),main_original!V8&lt;-10000)),main_original!V8/100000000,main_original!V8)</f>
        <v>-0.12%</v>
      </c>
      <c r="W8" s="3" t="str">
        <f>IF(OR(AND(ISNUMBER(main_original!W8),main_original!W8&gt;10000),AND(ISNUMBER(main_original!W8),main_original!W8&lt;-10000)),main_original!W8/100000000,main_original!W8)</f>
        <v>5.56%</v>
      </c>
      <c r="X8" s="3" t="str">
        <f>IF(OR(AND(ISNUMBER(main_original!X8),main_original!X8&gt;10000),AND(ISNUMBER(main_original!X8),main_original!X8&lt;-10000)),main_original!X8/100000000,main_original!X8)</f>
        <v>15.55%</v>
      </c>
      <c r="Y8" s="3" t="str">
        <f>IF(OR(AND(ISNUMBER(main_original!Y8),main_original!Y8&gt;10000),AND(ISNUMBER(main_original!Y8),main_original!Y8&lt;-10000)),main_original!Y8/100000000,main_original!Y8)</f>
        <v>10.76%</v>
      </c>
      <c r="Z8" s="3" t="str">
        <f>IF(OR(AND(ISNUMBER(main_original!Z8),main_original!Z8&gt;10000),AND(ISNUMBER(main_original!Z8),main_original!Z8&lt;-10000)),main_original!Z8/100000000,main_original!Z8)</f>
        <v>-3.91%</v>
      </c>
      <c r="AA8" s="3" t="str">
        <f>IF(OR(AND(ISNUMBER(main_original!AA8),main_original!AA8&gt;10000),AND(ISNUMBER(main_original!AA8),main_original!AA8&lt;-10000)),main_original!AA8/100000000,main_original!AA8)</f>
        <v>0.89%</v>
      </c>
      <c r="AB8" s="3" t="str">
        <f>IF(OR(AND(ISNUMBER(main_original!AB8),main_original!AB8&gt;10000),AND(ISNUMBER(main_original!AB8),main_original!AB8&lt;-10000)),main_original!AB8/100000000,main_original!AB8)</f>
        <v>5.80%</v>
      </c>
      <c r="AC8" s="3" t="str">
        <f>IF(OR(AND(ISNUMBER(main_original!AC8),main_original!AC8&gt;10000),AND(ISNUMBER(main_original!AC8),main_original!AC8&lt;-10000)),main_original!AC8/100000000,main_original!AC8)</f>
        <v>39.00%</v>
      </c>
      <c r="AD8" s="3" t="str">
        <f>IF(OR(AND(ISNUMBER(main_original!AD8),main_original!AD8&gt;10000),AND(ISNUMBER(main_original!AD8),main_original!AD8&lt;-10000)),main_original!AD8/100000000,main_original!AD8)</f>
        <v>17.97%</v>
      </c>
      <c r="AE8" s="3" t="str">
        <f>IF(OR(AND(ISNUMBER(main_original!AE8),main_original!AE8&gt;10000),AND(ISNUMBER(main_original!AE8),main_original!AE8&lt;-10000)),main_original!AE8/100000000,main_original!AE8)</f>
        <v>-3.82%</v>
      </c>
      <c r="AF8" s="3" t="str">
        <f>IF(OR(AND(ISNUMBER(main_original!AF8),main_original!AF8&gt;10000),AND(ISNUMBER(main_original!AF8),main_original!AF8&lt;-10000)),main_original!AF8/100000000,main_original!AF8)</f>
        <v>19.11%</v>
      </c>
      <c r="AG8" s="3" t="str">
        <f>IF(OR(AND(ISNUMBER(main_original!AG8),main_original!AG8&gt;10000),AND(ISNUMBER(main_original!AG8),main_original!AG8&lt;-10000)),main_original!AG8/100000000,main_original!AG8)</f>
        <v>37.05%</v>
      </c>
      <c r="AH8" s="3" t="str">
        <f>IF(OR(AND(ISNUMBER(main_original!AH8),main_original!AH8&gt;10000),AND(ISNUMBER(main_original!AH8),main_original!AH8&lt;-10000)),main_original!AH8/100000000,main_original!AH8)</f>
        <v>74.70%</v>
      </c>
      <c r="AI8" s="3" t="str">
        <f>IF(OR(AND(ISNUMBER(main_original!AI8),main_original!AI8&gt;10000),AND(ISNUMBER(main_original!AI8),main_original!AI8&lt;-10000)),main_original!AI8/100000000,main_original!AI8)</f>
        <v>29.32%</v>
      </c>
      <c r="AJ8" s="3" t="str">
        <f>IF(OR(AND(ISNUMBER(main_original!AJ8),main_original!AJ8&gt;10000),AND(ISNUMBER(main_original!AJ8),main_original!AJ8&lt;-10000)),main_original!AJ8/100000000,main_original!AJ8)</f>
        <v>42.54%</v>
      </c>
      <c r="AK8" s="3" t="str">
        <f>IF(OR(AND(ISNUMBER(main_original!AK8),main_original!AK8&gt;10000),AND(ISNUMBER(main_original!AK8),main_original!AK8&lt;-10000)),main_original!AK8/100000000,main_original!AK8)</f>
        <v>106.46%</v>
      </c>
      <c r="AL8" s="3" t="str">
        <f>IF(OR(AND(ISNUMBER(main_original!AL8),main_original!AL8&gt;10000),AND(ISNUMBER(main_original!AL8),main_original!AL8&lt;-10000)),main_original!AL8/100000000,main_original!AL8)</f>
        <v>39.26%</v>
      </c>
      <c r="AM8" s="3" t="str">
        <f>IF(OR(AND(ISNUMBER(main_original!AM8),main_original!AM8&gt;10000),AND(ISNUMBER(main_original!AM8),main_original!AM8&lt;-10000)),main_original!AM8/100000000,main_original!AM8)</f>
        <v>58.01%</v>
      </c>
      <c r="AN8" s="3" t="str">
        <f>IF(OR(AND(ISNUMBER(main_original!AN8),main_original!AN8&gt;10000),AND(ISNUMBER(main_original!AN8),main_original!AN8&lt;-10000)),main_original!AN8/100000000,main_original!AN8)</f>
        <v>38.84%</v>
      </c>
      <c r="AO8" s="3" t="str">
        <f>IF(OR(AND(ISNUMBER(main_original!AO8),main_original!AO8&gt;10000),AND(ISNUMBER(main_original!AO8),main_original!AO8&lt;-10000)),main_original!AO8/100000000,main_original!AO8)</f>
        <v>23.78%</v>
      </c>
      <c r="AP8" s="3" t="str">
        <f>IF(OR(AND(ISNUMBER(main_original!AP8),main_original!AP8&gt;10000),AND(ISNUMBER(main_original!AP8),main_original!AP8&lt;-10000)),main_original!AP8/100000000,main_original!AP8)</f>
        <v>21.19%</v>
      </c>
      <c r="AQ8" s="3" t="str">
        <f>IF(OR(AND(ISNUMBER(main_original!AQ8),main_original!AQ8&gt;10000),AND(ISNUMBER(main_original!AQ8),main_original!AQ8&lt;-10000)),main_original!AQ8/100000000,main_original!AQ8)</f>
        <v>16.94%</v>
      </c>
      <c r="AR8" s="3" t="str">
        <f>IF(OR(AND(ISNUMBER(main_original!AR8),main_original!AR8&gt;10000),AND(ISNUMBER(main_original!AR8),main_original!AR8&lt;-10000)),main_original!AR8/100000000,main_original!AR8)</f>
        <v>20.99%</v>
      </c>
      <c r="AS8" s="3" t="str">
        <f>IF(OR(AND(ISNUMBER(main_original!AS8),main_original!AS8&gt;10000),AND(ISNUMBER(main_original!AS8),main_original!AS8&lt;-10000)),main_original!AS8/100000000,main_original!AS8)</f>
        <v>6.13%</v>
      </c>
      <c r="AT8" s="3" t="str">
        <f>IF(OR(AND(ISNUMBER(main_original!AT8),main_original!AT8&gt;10000),AND(ISNUMBER(main_original!AT8),main_original!AT8&lt;-10000)),main_original!AT8/100000000,main_original!AT8)</f>
        <v>21.13%</v>
      </c>
      <c r="AU8" s="3" t="s">
        <v>460</v>
      </c>
      <c r="AV8" s="3" t="s">
        <v>461</v>
      </c>
      <c r="AW8" s="3" t="s">
        <v>462</v>
      </c>
      <c r="AX8" s="3" t="s">
        <v>463</v>
      </c>
      <c r="AY8" s="3" t="s">
        <v>464</v>
      </c>
      <c r="AZ8" s="3" t="s">
        <v>465</v>
      </c>
      <c r="BA8" s="3" t="s">
        <v>466</v>
      </c>
      <c r="BB8" s="3" t="s">
        <v>467</v>
      </c>
      <c r="BC8" s="3" t="s">
        <v>468</v>
      </c>
      <c r="BD8" s="3" t="s">
        <v>469</v>
      </c>
      <c r="BE8" s="3" t="s">
        <v>470</v>
      </c>
      <c r="BF8" s="3" t="s">
        <v>471</v>
      </c>
      <c r="BG8" s="3" t="s">
        <v>472</v>
      </c>
      <c r="BH8" s="3" t="s">
        <v>473</v>
      </c>
      <c r="BI8" s="3" t="s">
        <v>474</v>
      </c>
      <c r="BJ8" s="3" t="s">
        <v>475</v>
      </c>
      <c r="BK8" s="3" t="s">
        <v>476</v>
      </c>
      <c r="BL8" s="3" t="s">
        <v>477</v>
      </c>
      <c r="BM8" s="3" t="s">
        <v>478</v>
      </c>
      <c r="BN8" s="3" t="s">
        <v>479</v>
      </c>
      <c r="BO8" s="3" t="s">
        <v>480</v>
      </c>
      <c r="BP8" s="3" t="s">
        <v>481</v>
      </c>
      <c r="BQ8" s="3" t="s">
        <v>482</v>
      </c>
      <c r="BR8" s="3" t="s">
        <v>483</v>
      </c>
      <c r="BS8" s="3" t="s">
        <v>484</v>
      </c>
      <c r="BT8" s="3" t="s">
        <v>485</v>
      </c>
      <c r="BU8" s="3" t="s">
        <v>133</v>
      </c>
      <c r="BV8" s="3" t="s">
        <v>133</v>
      </c>
      <c r="BW8" s="3" t="s">
        <v>133</v>
      </c>
      <c r="BX8" s="3" t="s">
        <v>133</v>
      </c>
      <c r="BY8" s="3" t="s">
        <v>133</v>
      </c>
      <c r="BZ8" s="3" t="s">
        <v>133</v>
      </c>
      <c r="CA8" s="3" t="s">
        <v>133</v>
      </c>
      <c r="CB8" s="3" t="s">
        <v>133</v>
      </c>
      <c r="CC8" s="3" t="s">
        <v>133</v>
      </c>
    </row>
    <row r="9" spans="1:81" x14ac:dyDescent="0.25">
      <c r="A9" s="3" t="s">
        <v>41</v>
      </c>
      <c r="B9" s="3">
        <f>IF(OR(AND(ISNUMBER(main_original!B9),main_original!B9&gt;10000),AND(ISNUMBER(main_original!B9),main_original!B9&lt;-10000)),main_original!B9/100000000,main_original!B9)</f>
        <v>8.94</v>
      </c>
      <c r="C9" s="3">
        <f>IF(OR(AND(ISNUMBER(main_original!C9),main_original!C9&gt;10000),AND(ISNUMBER(main_original!C9),main_original!C9&lt;-10000)),main_original!C9/100000000,main_original!C9)</f>
        <v>7.57</v>
      </c>
      <c r="D9" s="3">
        <f>IF(OR(AND(ISNUMBER(main_original!D9),main_original!D9&gt;10000),AND(ISNUMBER(main_original!D9),main_original!D9&lt;-10000)),main_original!D9/100000000,main_original!D9)</f>
        <v>10.42</v>
      </c>
      <c r="E9" s="3">
        <f>IF(OR(AND(ISNUMBER(main_original!E9),main_original!E9&gt;10000),AND(ISNUMBER(main_original!E9),main_original!E9&lt;-10000)),main_original!E9/100000000,main_original!E9)</f>
        <v>8.56</v>
      </c>
      <c r="F9" s="3">
        <f>IF(OR(AND(ISNUMBER(main_original!F9),main_original!F9&gt;10000),AND(ISNUMBER(main_original!F9),main_original!F9&lt;-10000)),main_original!F9/100000000,main_original!F9)</f>
        <v>8.36</v>
      </c>
      <c r="G9" s="3">
        <f>IF(OR(AND(ISNUMBER(main_original!G9),main_original!G9&gt;10000),AND(ISNUMBER(main_original!G9),main_original!G9&lt;-10000)),main_original!G9/100000000,main_original!G9)</f>
        <v>6.95</v>
      </c>
      <c r="H9" s="3">
        <f>IF(OR(AND(ISNUMBER(main_original!H9),main_original!H9&gt;10000),AND(ISNUMBER(main_original!H9),main_original!H9&lt;-10000)),main_original!H9/100000000,main_original!H9)</f>
        <v>8.93</v>
      </c>
      <c r="I9" s="3">
        <f>IF(OR(AND(ISNUMBER(main_original!I9),main_original!I9&gt;10000),AND(ISNUMBER(main_original!I9),main_original!I9&lt;-10000)),main_original!I9/100000000,main_original!I9)</f>
        <v>8.33</v>
      </c>
      <c r="J9" s="3">
        <f>IF(OR(AND(ISNUMBER(main_original!J9),main_original!J9&gt;10000),AND(ISNUMBER(main_original!J9),main_original!J9&lt;-10000)),main_original!J9/100000000,main_original!J9)</f>
        <v>7.14</v>
      </c>
      <c r="K9" s="3">
        <f>IF(OR(AND(ISNUMBER(main_original!K9),main_original!K9&gt;10000),AND(ISNUMBER(main_original!K9),main_original!K9&lt;-10000)),main_original!K9/100000000,main_original!K9)</f>
        <v>5.78</v>
      </c>
      <c r="L9" s="3">
        <f>IF(OR(AND(ISNUMBER(main_original!L9),main_original!L9&gt;10000),AND(ISNUMBER(main_original!L9),main_original!L9&lt;-10000)),main_original!L9/100000000,main_original!L9)</f>
        <v>6.77</v>
      </c>
      <c r="M9" s="3">
        <f>IF(OR(AND(ISNUMBER(main_original!M9),main_original!M9&gt;10000),AND(ISNUMBER(main_original!M9),main_original!M9&lt;-10000)),main_original!M9/100000000,main_original!M9)</f>
        <v>5.65</v>
      </c>
      <c r="N9" s="3">
        <f>IF(OR(AND(ISNUMBER(main_original!N9),main_original!N9&gt;10000),AND(ISNUMBER(main_original!N9),main_original!N9&lt;-10000)),main_original!N9/100000000,main_original!N9)</f>
        <v>6.95</v>
      </c>
      <c r="O9" s="3">
        <f>IF(OR(AND(ISNUMBER(main_original!O9),main_original!O9&gt;10000),AND(ISNUMBER(main_original!O9),main_original!O9&lt;-10000)),main_original!O9/100000000,main_original!O9)</f>
        <v>4.09</v>
      </c>
      <c r="P9" s="3">
        <f>IF(OR(AND(ISNUMBER(main_original!P9),main_original!P9&gt;10000),AND(ISNUMBER(main_original!P9),main_original!P9&lt;-10000)),main_original!P9/100000000,main_original!P9)</f>
        <v>4.87</v>
      </c>
      <c r="Q9" s="3">
        <f>IF(OR(AND(ISNUMBER(main_original!Q9),main_original!Q9&gt;10000),AND(ISNUMBER(main_original!Q9),main_original!Q9&lt;-10000)),main_original!Q9/100000000,main_original!Q9)</f>
        <v>3.39</v>
      </c>
      <c r="R9" s="3">
        <f>IF(OR(AND(ISNUMBER(main_original!R9),main_original!R9&gt;10000),AND(ISNUMBER(main_original!R9),main_original!R9&lt;-10000)),main_original!R9/100000000,main_original!R9)</f>
        <v>2.91</v>
      </c>
      <c r="S9" s="3">
        <f>IF(OR(AND(ISNUMBER(main_original!S9),main_original!S9&gt;10000),AND(ISNUMBER(main_original!S9),main_original!S9&lt;-10000)),main_original!S9/100000000,main_original!S9)</f>
        <v>3.12</v>
      </c>
      <c r="T9" s="3">
        <f>IF(OR(AND(ISNUMBER(main_original!T9),main_original!T9&gt;10000),AND(ISNUMBER(main_original!T9),main_original!T9&lt;-10000)),main_original!T9/100000000,main_original!T9)</f>
        <v>3.89</v>
      </c>
      <c r="U9" s="3">
        <f>IF(OR(AND(ISNUMBER(main_original!U9),main_original!U9&gt;10000),AND(ISNUMBER(main_original!U9),main_original!U9&lt;-10000)),main_original!U9/100000000,main_original!U9)</f>
        <v>3.25</v>
      </c>
      <c r="V9" s="3">
        <f>IF(OR(AND(ISNUMBER(main_original!V9),main_original!V9&gt;10000),AND(ISNUMBER(main_original!V9),main_original!V9&lt;-10000)),main_original!V9/100000000,main_original!V9)</f>
        <v>2.81</v>
      </c>
      <c r="W9" s="3">
        <f>IF(OR(AND(ISNUMBER(main_original!W9),main_original!W9&gt;10000),AND(ISNUMBER(main_original!W9),main_original!W9&lt;-10000)),main_original!W9/100000000,main_original!W9)</f>
        <v>2.81</v>
      </c>
      <c r="X9" s="3">
        <f>IF(OR(AND(ISNUMBER(main_original!X9),main_original!X9&gt;10000),AND(ISNUMBER(main_original!X9),main_original!X9&lt;-10000)),main_original!X9/100000000,main_original!X9)</f>
        <v>3.47</v>
      </c>
      <c r="Y9" s="3">
        <f>IF(OR(AND(ISNUMBER(main_original!Y9),main_original!Y9&gt;10000),AND(ISNUMBER(main_original!Y9),main_original!Y9&lt;-10000)),main_original!Y9/100000000,main_original!Y9)</f>
        <v>3.71</v>
      </c>
      <c r="Z9" s="3">
        <f>IF(OR(AND(ISNUMBER(main_original!Z9),main_original!Z9&gt;10000),AND(ISNUMBER(main_original!Z9),main_original!Z9&lt;-10000)),main_original!Z9/100000000,main_original!Z9)</f>
        <v>2.1800000000000002</v>
      </c>
      <c r="AA9" s="3">
        <f>IF(OR(AND(ISNUMBER(main_original!AA9),main_original!AA9&gt;10000),AND(ISNUMBER(main_original!AA9),main_original!AA9&lt;-10000)),main_original!AA9/100000000,main_original!AA9)</f>
        <v>3.09</v>
      </c>
      <c r="AB9" s="3">
        <f>IF(OR(AND(ISNUMBER(main_original!AB9),main_original!AB9&gt;10000),AND(ISNUMBER(main_original!AB9),main_original!AB9&lt;-10000)),main_original!AB9/100000000,main_original!AB9)</f>
        <v>3.24</v>
      </c>
      <c r="AC9" s="3">
        <f>IF(OR(AND(ISNUMBER(main_original!AC9),main_original!AC9&gt;10000),AND(ISNUMBER(main_original!AC9),main_original!AC9&lt;-10000)),main_original!AC9/100000000,main_original!AC9)</f>
        <v>3.56</v>
      </c>
      <c r="AD9" s="3">
        <f>IF(OR(AND(ISNUMBER(main_original!AD9),main_original!AD9&gt;10000),AND(ISNUMBER(main_original!AD9),main_original!AD9&lt;-10000)),main_original!AD9/100000000,main_original!AD9)</f>
        <v>3.34</v>
      </c>
      <c r="AE9" s="3">
        <f>IF(OR(AND(ISNUMBER(main_original!AE9),main_original!AE9&gt;10000),AND(ISNUMBER(main_original!AE9),main_original!AE9&lt;-10000)),main_original!AE9/100000000,main_original!AE9)</f>
        <v>2.89</v>
      </c>
      <c r="AF9" s="3">
        <f>IF(OR(AND(ISNUMBER(main_original!AF9),main_original!AF9&gt;10000),AND(ISNUMBER(main_original!AF9),main_original!AF9&lt;-10000)),main_original!AF9/100000000,main_original!AF9)</f>
        <v>3.46</v>
      </c>
      <c r="AG9" s="3">
        <f>IF(OR(AND(ISNUMBER(main_original!AG9),main_original!AG9&gt;10000),AND(ISNUMBER(main_original!AG9),main_original!AG9&lt;-10000)),main_original!AG9/100000000,main_original!AG9)</f>
        <v>2.78</v>
      </c>
      <c r="AH9" s="3">
        <f>IF(OR(AND(ISNUMBER(main_original!AH9),main_original!AH9&gt;10000),AND(ISNUMBER(main_original!AH9),main_original!AH9&lt;-10000)),main_original!AH9/100000000,main_original!AH9)</f>
        <v>3.3</v>
      </c>
      <c r="AI9" s="3">
        <f>IF(OR(AND(ISNUMBER(main_original!AI9),main_original!AI9&gt;10000),AND(ISNUMBER(main_original!AI9),main_original!AI9&lt;-10000)),main_original!AI9/100000000,main_original!AI9)</f>
        <v>3.88</v>
      </c>
      <c r="AJ9" s="3">
        <f>IF(OR(AND(ISNUMBER(main_original!AJ9),main_original!AJ9&gt;10000),AND(ISNUMBER(main_original!AJ9),main_original!AJ9&lt;-10000)),main_original!AJ9/100000000,main_original!AJ9)</f>
        <v>2.86</v>
      </c>
      <c r="AK9" s="3">
        <f>IF(OR(AND(ISNUMBER(main_original!AK9),main_original!AK9&gt;10000),AND(ISNUMBER(main_original!AK9),main_original!AK9&lt;-10000)),main_original!AK9/100000000,main_original!AK9)</f>
        <v>2.11</v>
      </c>
      <c r="AL9" s="3">
        <f>IF(OR(AND(ISNUMBER(main_original!AL9),main_original!AL9&gt;10000),AND(ISNUMBER(main_original!AL9),main_original!AL9&lt;-10000)),main_original!AL9/100000000,main_original!AL9)</f>
        <v>1.6</v>
      </c>
      <c r="AM9" s="3">
        <f>IF(OR(AND(ISNUMBER(main_original!AM9),main_original!AM9&gt;10000),AND(ISNUMBER(main_original!AM9),main_original!AM9&lt;-10000)),main_original!AM9/100000000,main_original!AM9)</f>
        <v>2.92</v>
      </c>
      <c r="AN9" s="3">
        <f>IF(OR(AND(ISNUMBER(main_original!AN9),main_original!AN9&gt;10000),AND(ISNUMBER(main_original!AN9),main_original!AN9&lt;-10000)),main_original!AN9/100000000,main_original!AN9)</f>
        <v>1.81</v>
      </c>
      <c r="AO9" s="3">
        <f>IF(OR(AND(ISNUMBER(main_original!AO9),main_original!AO9&gt;10000),AND(ISNUMBER(main_original!AO9),main_original!AO9&lt;-10000)),main_original!AO9/100000000,main_original!AO9)</f>
        <v>0.85</v>
      </c>
      <c r="AP9" s="3">
        <f>IF(OR(AND(ISNUMBER(main_original!AP9),main_original!AP9&gt;10000),AND(ISNUMBER(main_original!AP9),main_original!AP9&lt;-10000)),main_original!AP9/100000000,main_original!AP9)</f>
        <v>0.74</v>
      </c>
      <c r="AQ9" s="3">
        <f>IF(OR(AND(ISNUMBER(main_original!AQ9),main_original!AQ9&gt;10000),AND(ISNUMBER(main_original!AQ9),main_original!AQ9&lt;-10000)),main_original!AQ9/100000000,main_original!AQ9)</f>
        <v>1.94</v>
      </c>
      <c r="AR9" s="3">
        <f>IF(OR(AND(ISNUMBER(main_original!AR9),main_original!AR9&gt;10000),AND(ISNUMBER(main_original!AR9),main_original!AR9&lt;-10000)),main_original!AR9/100000000,main_original!AR9)</f>
        <v>1.34</v>
      </c>
      <c r="AS9" s="3">
        <f>IF(OR(AND(ISNUMBER(main_original!AS9),main_original!AS9&gt;10000),AND(ISNUMBER(main_original!AS9),main_original!AS9&lt;-10000)),main_original!AS9/100000000,main_original!AS9)</f>
        <v>0.56000000000000005</v>
      </c>
      <c r="AT9" s="3">
        <f>IF(OR(AND(ISNUMBER(main_original!AT9),main_original!AT9&gt;10000),AND(ISNUMBER(main_original!AT9),main_original!AT9&lt;-10000)),main_original!AT9/100000000,main_original!AT9)</f>
        <v>1.05</v>
      </c>
      <c r="AU9" s="3">
        <v>1.67</v>
      </c>
      <c r="AV9" s="3">
        <v>1.29</v>
      </c>
      <c r="AW9" s="3">
        <v>0.7</v>
      </c>
      <c r="AX9" s="3">
        <v>0.96</v>
      </c>
      <c r="AY9" s="3">
        <v>1.44</v>
      </c>
      <c r="AZ9" s="3">
        <v>0.93</v>
      </c>
      <c r="BA9" s="3">
        <v>1.31</v>
      </c>
      <c r="BB9" s="3">
        <v>0.79</v>
      </c>
      <c r="BC9" s="3">
        <v>0.33</v>
      </c>
      <c r="BD9" s="3">
        <v>0.56999999999999995</v>
      </c>
      <c r="BE9" s="3">
        <v>0.56999999999999995</v>
      </c>
      <c r="BF9" s="3">
        <v>0.46</v>
      </c>
      <c r="BG9" s="3">
        <v>-0.31</v>
      </c>
      <c r="BH9" s="3">
        <v>0.92</v>
      </c>
      <c r="BI9" s="3" t="s">
        <v>133</v>
      </c>
      <c r="BJ9" s="3" t="s">
        <v>133</v>
      </c>
      <c r="BK9" s="3" t="s">
        <v>133</v>
      </c>
      <c r="BL9" s="3" t="s">
        <v>133</v>
      </c>
      <c r="BM9" s="3" t="s">
        <v>133</v>
      </c>
      <c r="BN9" s="3" t="s">
        <v>133</v>
      </c>
      <c r="BO9" s="3" t="s">
        <v>133</v>
      </c>
      <c r="BP9" s="3" t="s">
        <v>133</v>
      </c>
      <c r="BQ9" s="3" t="s">
        <v>133</v>
      </c>
      <c r="BR9" s="3" t="s">
        <v>133</v>
      </c>
      <c r="BS9" s="3" t="s">
        <v>133</v>
      </c>
      <c r="BT9" s="3" t="s">
        <v>133</v>
      </c>
      <c r="BU9" s="3" t="s">
        <v>133</v>
      </c>
      <c r="BV9" s="3" t="s">
        <v>133</v>
      </c>
      <c r="BW9" s="3" t="s">
        <v>133</v>
      </c>
      <c r="BX9" s="3" t="s">
        <v>133</v>
      </c>
      <c r="BY9" s="3">
        <v>0.38</v>
      </c>
      <c r="BZ9" s="3" t="s">
        <v>133</v>
      </c>
      <c r="CA9" s="3" t="s">
        <v>133</v>
      </c>
      <c r="CB9" s="3" t="s">
        <v>133</v>
      </c>
      <c r="CC9" s="3" t="s">
        <v>133</v>
      </c>
    </row>
    <row r="10" spans="1:81" x14ac:dyDescent="0.25">
      <c r="A10" s="3" t="s">
        <v>486</v>
      </c>
      <c r="B10" s="3">
        <f>IF(OR(AND(ISNUMBER(main_original!B10),main_original!B10&gt;10000),AND(ISNUMBER(main_original!B10),main_original!B10&lt;-10000)),main_original!B10/100000000,main_original!B10)</f>
        <v>118.18</v>
      </c>
      <c r="C10" s="3">
        <f>IF(OR(AND(ISNUMBER(main_original!C10),main_original!C10&gt;10000),AND(ISNUMBER(main_original!C10),main_original!C10&lt;-10000)),main_original!C10/100000000,main_original!C10)</f>
        <v>109.24</v>
      </c>
      <c r="D10" s="3">
        <f>IF(OR(AND(ISNUMBER(main_original!D10),main_original!D10&gt;10000),AND(ISNUMBER(main_original!D10),main_original!D10&lt;-10000)),main_original!D10/100000000,main_original!D10)</f>
        <v>118.69</v>
      </c>
      <c r="E10" s="3">
        <f>IF(OR(AND(ISNUMBER(main_original!E10),main_original!E10&gt;10000),AND(ISNUMBER(main_original!E10),main_original!E10&lt;-10000)),main_original!E10/100000000,main_original!E10)</f>
        <v>108.27</v>
      </c>
      <c r="F10" s="3">
        <f>IF(OR(AND(ISNUMBER(main_original!F10),main_original!F10&gt;10000),AND(ISNUMBER(main_original!F10),main_original!F10&lt;-10000)),main_original!F10/100000000,main_original!F10)</f>
        <v>99.71</v>
      </c>
      <c r="G10" s="3">
        <f>IF(OR(AND(ISNUMBER(main_original!G10),main_original!G10&gt;10000),AND(ISNUMBER(main_original!G10),main_original!G10&lt;-10000)),main_original!G10/100000000,main_original!G10)</f>
        <v>91.35</v>
      </c>
      <c r="H10" s="3">
        <f>IF(OR(AND(ISNUMBER(main_original!H10),main_original!H10&gt;10000),AND(ISNUMBER(main_original!H10),main_original!H10&lt;-10000)),main_original!H10/100000000,main_original!H10)</f>
        <v>98.76</v>
      </c>
      <c r="I10" s="3">
        <f>IF(OR(AND(ISNUMBER(main_original!I10),main_original!I10&gt;10000),AND(ISNUMBER(main_original!I10),main_original!I10&lt;-10000)),main_original!I10/100000000,main_original!I10)</f>
        <v>89.83</v>
      </c>
      <c r="J10" s="3">
        <f>IF(OR(AND(ISNUMBER(main_original!J10),main_original!J10&gt;10000),AND(ISNUMBER(main_original!J10),main_original!J10&lt;-10000)),main_original!J10/100000000,main_original!J10)</f>
        <v>81.489999999999995</v>
      </c>
      <c r="K10" s="3">
        <f>IF(OR(AND(ISNUMBER(main_original!K10),main_original!K10&gt;10000),AND(ISNUMBER(main_original!K10),main_original!K10&lt;-10000)),main_original!K10/100000000,main_original!K10)</f>
        <v>74.349999999999994</v>
      </c>
      <c r="L10" s="3">
        <f>IF(OR(AND(ISNUMBER(main_original!L10),main_original!L10&gt;10000),AND(ISNUMBER(main_original!L10),main_original!L10&lt;-10000)),main_original!L10/100000000,main_original!L10)</f>
        <v>79.569999999999993</v>
      </c>
      <c r="M10" s="3">
        <f>IF(OR(AND(ISNUMBER(main_original!M10),main_original!M10&gt;10000),AND(ISNUMBER(main_original!M10),main_original!M10&lt;-10000)),main_original!M10/100000000,main_original!M10)</f>
        <v>72.8</v>
      </c>
      <c r="N10" s="3">
        <f>IF(OR(AND(ISNUMBER(main_original!N10),main_original!N10&gt;10000),AND(ISNUMBER(main_original!N10),main_original!N10&lt;-10000)),main_original!N10/100000000,main_original!N10)</f>
        <v>67.150000000000006</v>
      </c>
      <c r="O10" s="3">
        <f>IF(OR(AND(ISNUMBER(main_original!O10),main_original!O10&gt;10000),AND(ISNUMBER(main_original!O10),main_original!O10&lt;-10000)),main_original!O10/100000000,main_original!O10)</f>
        <v>60.2</v>
      </c>
      <c r="P10" s="3">
        <f>IF(OR(AND(ISNUMBER(main_original!P10),main_original!P10&gt;10000),AND(ISNUMBER(main_original!P10),main_original!P10&lt;-10000)),main_original!P10/100000000,main_original!P10)</f>
        <v>62.9</v>
      </c>
      <c r="Q10" s="3">
        <f>IF(OR(AND(ISNUMBER(main_original!Q10),main_original!Q10&gt;10000),AND(ISNUMBER(main_original!Q10),main_original!Q10&lt;-10000)),main_original!Q10/100000000,main_original!Q10)</f>
        <v>58.03</v>
      </c>
      <c r="R10" s="3">
        <f>IF(OR(AND(ISNUMBER(main_original!R10),main_original!R10&gt;10000),AND(ISNUMBER(main_original!R10),main_original!R10&lt;-10000)),main_original!R10/100000000,main_original!R10)</f>
        <v>54.64</v>
      </c>
      <c r="S10" s="3">
        <f>IF(OR(AND(ISNUMBER(main_original!S10),main_original!S10&gt;10000),AND(ISNUMBER(main_original!S10),main_original!S10&lt;-10000)),main_original!S10/100000000,main_original!S10)</f>
        <v>51.73</v>
      </c>
      <c r="T10" s="3">
        <f>IF(OR(AND(ISNUMBER(main_original!T10),main_original!T10&gt;10000),AND(ISNUMBER(main_original!T10),main_original!T10&lt;-10000)),main_original!T10/100000000,main_original!T10)</f>
        <v>54.78</v>
      </c>
      <c r="U10" s="3">
        <f>IF(OR(AND(ISNUMBER(main_original!U10),main_original!U10&gt;10000),AND(ISNUMBER(main_original!U10),main_original!U10&lt;-10000)),main_original!U10/100000000,main_original!U10)</f>
        <v>50.89</v>
      </c>
      <c r="V10" s="3">
        <f>IF(OR(AND(ISNUMBER(main_original!V10),main_original!V10&gt;10000),AND(ISNUMBER(main_original!V10),main_original!V10&lt;-10000)),main_original!V10/100000000,main_original!V10)</f>
        <v>47.64</v>
      </c>
      <c r="W10" s="3">
        <f>IF(OR(AND(ISNUMBER(main_original!W10),main_original!W10&gt;10000),AND(ISNUMBER(main_original!W10),main_original!W10&lt;-10000)),main_original!W10/100000000,main_original!W10)</f>
        <v>53.68</v>
      </c>
      <c r="X10" s="3">
        <f>IF(OR(AND(ISNUMBER(main_original!X10),main_original!X10&gt;10000),AND(ISNUMBER(main_original!X10),main_original!X10&lt;-10000)),main_original!X10/100000000,main_original!X10)</f>
        <v>50.6</v>
      </c>
      <c r="Y10" s="3">
        <f>IF(OR(AND(ISNUMBER(main_original!Y10),main_original!Y10&gt;10000),AND(ISNUMBER(main_original!Y10),main_original!Y10&lt;-10000)),main_original!Y10/100000000,main_original!Y10)</f>
        <v>46.79</v>
      </c>
      <c r="Z10" s="3">
        <f>IF(OR(AND(ISNUMBER(main_original!Z10),main_original!Z10&gt;10000),AND(ISNUMBER(main_original!Z10),main_original!Z10&lt;-10000)),main_original!Z10/100000000,main_original!Z10)</f>
        <v>42.68</v>
      </c>
      <c r="AA10" s="3">
        <f>IF(OR(AND(ISNUMBER(main_original!AA10),main_original!AA10&gt;10000),AND(ISNUMBER(main_original!AA10),main_original!AA10&lt;-10000)),main_original!AA10/100000000,main_original!AA10)</f>
        <v>39.65</v>
      </c>
      <c r="AB10" s="3">
        <f>IF(OR(AND(ISNUMBER(main_original!AB10),main_original!AB10&gt;10000),AND(ISNUMBER(main_original!AB10),main_original!AB10&lt;-10000)),main_original!AB10/100000000,main_original!AB10)</f>
        <v>44.59</v>
      </c>
      <c r="AC10" s="3">
        <f>IF(OR(AND(ISNUMBER(main_original!AC10),main_original!AC10&gt;10000),AND(ISNUMBER(main_original!AC10),main_original!AC10&lt;-10000)),main_original!AC10/100000000,main_original!AC10)</f>
        <v>41.05</v>
      </c>
      <c r="AD10" s="3">
        <f>IF(OR(AND(ISNUMBER(main_original!AD10),main_original!AD10&gt;10000),AND(ISNUMBER(main_original!AD10),main_original!AD10&lt;-10000)),main_original!AD10/100000000,main_original!AD10)</f>
        <v>37.130000000000003</v>
      </c>
      <c r="AE10" s="3">
        <f>IF(OR(AND(ISNUMBER(main_original!AE10),main_original!AE10&gt;10000),AND(ISNUMBER(main_original!AE10),main_original!AE10&lt;-10000)),main_original!AE10/100000000,main_original!AE10)</f>
        <v>33.46</v>
      </c>
      <c r="AF10" s="3">
        <f>IF(OR(AND(ISNUMBER(main_original!AF10),main_original!AF10&gt;10000),AND(ISNUMBER(main_original!AF10),main_original!AF10&lt;-10000)),main_original!AF10/100000000,main_original!AF10)</f>
        <v>36.35</v>
      </c>
      <c r="AG10" s="3">
        <f>IF(OR(AND(ISNUMBER(main_original!AG10),main_original!AG10&gt;10000),AND(ISNUMBER(main_original!AG10),main_original!AG10&lt;-10000)),main_original!AG10/100000000,main_original!AG10)</f>
        <v>32.89</v>
      </c>
      <c r="AH10" s="3">
        <f>IF(OR(AND(ISNUMBER(main_original!AH10),main_original!AH10&gt;10000),AND(ISNUMBER(main_original!AH10),main_original!AH10&lt;-10000)),main_original!AH10/100000000,main_original!AH10)</f>
        <v>30.11</v>
      </c>
      <c r="AI10" s="3">
        <f>IF(OR(AND(ISNUMBER(main_original!AI10),main_original!AI10&gt;10000),AND(ISNUMBER(main_original!AI10),main_original!AI10&lt;-10000)),main_original!AI10/100000000,main_original!AI10)</f>
        <v>26.81</v>
      </c>
      <c r="AJ10" s="3">
        <f>IF(OR(AND(ISNUMBER(main_original!AJ10),main_original!AJ10&gt;10000),AND(ISNUMBER(main_original!AJ10),main_original!AJ10&lt;-10000)),main_original!AJ10/100000000,main_original!AJ10)</f>
        <v>26.93</v>
      </c>
      <c r="AK10" s="3">
        <f>IF(OR(AND(ISNUMBER(main_original!AK10),main_original!AK10&gt;10000),AND(ISNUMBER(main_original!AK10),main_original!AK10&lt;-10000)),main_original!AK10/100000000,main_original!AK10)</f>
        <v>24.07</v>
      </c>
      <c r="AL10" s="3">
        <f>IF(OR(AND(ISNUMBER(main_original!AL10),main_original!AL10&gt;10000),AND(ISNUMBER(main_original!AL10),main_original!AL10&lt;-10000)),main_original!AL10/100000000,main_original!AL10)</f>
        <v>21.96</v>
      </c>
      <c r="AM10" s="3">
        <f>IF(OR(AND(ISNUMBER(main_original!AM10),main_original!AM10&gt;10000),AND(ISNUMBER(main_original!AM10),main_original!AM10&lt;-10000)),main_original!AM10/100000000,main_original!AM10)</f>
        <v>22.39</v>
      </c>
      <c r="AN10" s="3">
        <f>IF(OR(AND(ISNUMBER(main_original!AN10),main_original!AN10&gt;10000),AND(ISNUMBER(main_original!AN10),main_original!AN10&lt;-10000)),main_original!AN10/100000000,main_original!AN10)</f>
        <v>21.49</v>
      </c>
      <c r="AO10" s="3">
        <f>IF(OR(AND(ISNUMBER(main_original!AO10),main_original!AO10&gt;10000),AND(ISNUMBER(main_original!AO10),main_original!AO10&lt;-10000)),main_original!AO10/100000000,main_original!AO10)</f>
        <v>19.489999999999998</v>
      </c>
      <c r="AP10" s="3">
        <f>IF(OR(AND(ISNUMBER(main_original!AP10),main_original!AP10&gt;10000),AND(ISNUMBER(main_original!AP10),main_original!AP10&lt;-10000)),main_original!AP10/100000000,main_original!AP10)</f>
        <v>18.57</v>
      </c>
      <c r="AQ10" s="3">
        <f>IF(OR(AND(ISNUMBER(main_original!AQ10),main_original!AQ10&gt;10000),AND(ISNUMBER(main_original!AQ10),main_original!AQ10&lt;-10000)),main_original!AQ10/100000000,main_original!AQ10)</f>
        <v>17.43</v>
      </c>
      <c r="AR10" s="3">
        <f>IF(OR(AND(ISNUMBER(main_original!AR10),main_original!AR10&gt;10000),AND(ISNUMBER(main_original!AR10),main_original!AR10&lt;-10000)),main_original!AR10/100000000,main_original!AR10)</f>
        <v>16.670000000000002</v>
      </c>
      <c r="AS10" s="3">
        <f>IF(OR(AND(ISNUMBER(main_original!AS10),main_original!AS10&gt;10000),AND(ISNUMBER(main_original!AS10),main_original!AS10&lt;-10000)),main_original!AS10/100000000,main_original!AS10)</f>
        <v>15.33</v>
      </c>
      <c r="AT10" s="3">
        <f>IF(OR(AND(ISNUMBER(main_original!AT10),main_original!AT10&gt;10000),AND(ISNUMBER(main_original!AT10),main_original!AT10&lt;-10000)),main_original!AT10/100000000,main_original!AT10)</f>
        <v>14.77</v>
      </c>
      <c r="AU10" s="3">
        <v>13.71</v>
      </c>
      <c r="AV10" s="3">
        <v>13.2</v>
      </c>
      <c r="AW10" s="3">
        <v>11.91</v>
      </c>
      <c r="AX10" s="3">
        <v>11.22</v>
      </c>
      <c r="AY10" s="3">
        <v>10.26</v>
      </c>
      <c r="AZ10" s="3">
        <v>9.65</v>
      </c>
      <c r="BA10" s="3">
        <v>8.7200000000000006</v>
      </c>
      <c r="BB10" s="3">
        <v>7.28</v>
      </c>
      <c r="BC10" s="3">
        <v>6.5</v>
      </c>
      <c r="BD10" s="3">
        <v>6.17</v>
      </c>
      <c r="BE10" s="3">
        <v>6.25</v>
      </c>
      <c r="BF10" s="3">
        <v>5.66</v>
      </c>
      <c r="BG10" s="3">
        <v>5.3</v>
      </c>
      <c r="BH10" s="3">
        <v>11.74</v>
      </c>
      <c r="BI10" s="3">
        <v>10.79</v>
      </c>
      <c r="BJ10" s="3">
        <v>9.99</v>
      </c>
      <c r="BK10" s="3">
        <v>11.82</v>
      </c>
      <c r="BL10" s="3">
        <v>11.54</v>
      </c>
      <c r="BM10" s="3">
        <v>10.6</v>
      </c>
      <c r="BN10" s="3">
        <v>9.83</v>
      </c>
      <c r="BO10" s="3">
        <v>9.6300000000000008</v>
      </c>
      <c r="BP10" s="3">
        <v>12.24</v>
      </c>
      <c r="BQ10" s="3">
        <v>11.37</v>
      </c>
      <c r="BR10" s="3">
        <v>10.6</v>
      </c>
      <c r="BS10" s="3">
        <v>11.29</v>
      </c>
      <c r="BT10" s="3">
        <v>11.17</v>
      </c>
      <c r="BU10" s="3">
        <v>10.37</v>
      </c>
      <c r="BV10" s="3">
        <v>10.33</v>
      </c>
      <c r="BW10" s="3">
        <v>11.08</v>
      </c>
      <c r="BX10" s="3">
        <v>10.89</v>
      </c>
      <c r="BY10" s="3">
        <v>10.119999999999999</v>
      </c>
      <c r="BZ10" s="3">
        <v>3.04</v>
      </c>
      <c r="CA10" s="3">
        <v>2.39</v>
      </c>
      <c r="CB10" s="3">
        <v>1.54</v>
      </c>
      <c r="CC10" s="3" t="s">
        <v>133</v>
      </c>
    </row>
    <row r="11" spans="1:81" x14ac:dyDescent="0.25">
      <c r="A11" s="3" t="s">
        <v>487</v>
      </c>
      <c r="B11" s="3">
        <f>IF(OR(AND(ISNUMBER(main_original!B11),main_original!B11&gt;10000),AND(ISNUMBER(main_original!B11),main_original!B11&lt;-10000)),main_original!B11/100000000,main_original!B11)</f>
        <v>1.0900000000000001</v>
      </c>
      <c r="C11" s="3">
        <f>IF(OR(AND(ISNUMBER(main_original!C11),main_original!C11&gt;10000),AND(ISNUMBER(main_original!C11),main_original!C11&lt;-10000)),main_original!C11/100000000,main_original!C11)</f>
        <v>1.0900000000000001</v>
      </c>
      <c r="D11" s="3">
        <f>IF(OR(AND(ISNUMBER(main_original!D11),main_original!D11&gt;10000),AND(ISNUMBER(main_original!D11),main_original!D11&lt;-10000)),main_original!D11/100000000,main_original!D11)</f>
        <v>1.0900000000000001</v>
      </c>
      <c r="E11" s="3">
        <f>IF(OR(AND(ISNUMBER(main_original!E11),main_original!E11&gt;10000),AND(ISNUMBER(main_original!E11),main_original!E11&lt;-10000)),main_original!E11/100000000,main_original!E11)</f>
        <v>1.0900000000000001</v>
      </c>
      <c r="F11" s="3">
        <f>IF(OR(AND(ISNUMBER(main_original!F11),main_original!F11&gt;10000),AND(ISNUMBER(main_original!F11),main_original!F11&lt;-10000)),main_original!F11/100000000,main_original!F11)</f>
        <v>1.0900000000000001</v>
      </c>
      <c r="G11" s="3">
        <f>IF(OR(AND(ISNUMBER(main_original!G11),main_original!G11&gt;10000),AND(ISNUMBER(main_original!G11),main_original!G11&lt;-10000)),main_original!G11/100000000,main_original!G11)</f>
        <v>1.0900000000000001</v>
      </c>
      <c r="H11" s="3">
        <f>IF(OR(AND(ISNUMBER(main_original!H11),main_original!H11&gt;10000),AND(ISNUMBER(main_original!H11),main_original!H11&lt;-10000)),main_original!H11/100000000,main_original!H11)</f>
        <v>1.0900000000000001</v>
      </c>
      <c r="I11" s="3">
        <f>IF(OR(AND(ISNUMBER(main_original!I11),main_original!I11&gt;10000),AND(ISNUMBER(main_original!I11),main_original!I11&lt;-10000)),main_original!I11/100000000,main_original!I11)</f>
        <v>1.0900000000000001</v>
      </c>
      <c r="J11" s="3">
        <f>IF(OR(AND(ISNUMBER(main_original!J11),main_original!J11&gt;10000),AND(ISNUMBER(main_original!J11),main_original!J11&lt;-10000)),main_original!J11/100000000,main_original!J11)</f>
        <v>1.0900000000000001</v>
      </c>
      <c r="K11" s="3">
        <f>IF(OR(AND(ISNUMBER(main_original!K11),main_original!K11&gt;10000),AND(ISNUMBER(main_original!K11),main_original!K11&lt;-10000)),main_original!K11/100000000,main_original!K11)</f>
        <v>1.0900000000000001</v>
      </c>
      <c r="L11" s="3">
        <f>IF(OR(AND(ISNUMBER(main_original!L11),main_original!L11&gt;10000),AND(ISNUMBER(main_original!L11),main_original!L11&lt;-10000)),main_original!L11/100000000,main_original!L11)</f>
        <v>1.0900000000000001</v>
      </c>
      <c r="M11" s="3">
        <f>IF(OR(AND(ISNUMBER(main_original!M11),main_original!M11&gt;10000),AND(ISNUMBER(main_original!M11),main_original!M11&lt;-10000)),main_original!M11/100000000,main_original!M11)</f>
        <v>1.0900000000000001</v>
      </c>
      <c r="N11" s="3">
        <f>IF(OR(AND(ISNUMBER(main_original!N11),main_original!N11&gt;10000),AND(ISNUMBER(main_original!N11),main_original!N11&lt;-10000)),main_original!N11/100000000,main_original!N11)</f>
        <v>1.0900000000000001</v>
      </c>
      <c r="O11" s="3">
        <f>IF(OR(AND(ISNUMBER(main_original!O11),main_original!O11&gt;10000),AND(ISNUMBER(main_original!O11),main_original!O11&lt;-10000)),main_original!O11/100000000,main_original!O11)</f>
        <v>1.0900000000000001</v>
      </c>
      <c r="P11" s="3">
        <f>IF(OR(AND(ISNUMBER(main_original!P11),main_original!P11&gt;10000),AND(ISNUMBER(main_original!P11),main_original!P11&lt;-10000)),main_original!P11/100000000,main_original!P11)</f>
        <v>1.0900000000000001</v>
      </c>
      <c r="Q11" s="3">
        <f>IF(OR(AND(ISNUMBER(main_original!Q11),main_original!Q11&gt;10000),AND(ISNUMBER(main_original!Q11),main_original!Q11&lt;-10000)),main_original!Q11/100000000,main_original!Q11)</f>
        <v>1.0900000000000001</v>
      </c>
      <c r="R11" s="3">
        <f>IF(OR(AND(ISNUMBER(main_original!R11),main_original!R11&gt;10000),AND(ISNUMBER(main_original!R11),main_original!R11&lt;-10000)),main_original!R11/100000000,main_original!R11)</f>
        <v>1.0900000000000001</v>
      </c>
      <c r="S11" s="3">
        <f>IF(OR(AND(ISNUMBER(main_original!S11),main_original!S11&gt;10000),AND(ISNUMBER(main_original!S11),main_original!S11&lt;-10000)),main_original!S11/100000000,main_original!S11)</f>
        <v>1.0900000000000001</v>
      </c>
      <c r="T11" s="3">
        <f>IF(OR(AND(ISNUMBER(main_original!T11),main_original!T11&gt;10000),AND(ISNUMBER(main_original!T11),main_original!T11&lt;-10000)),main_original!T11/100000000,main_original!T11)</f>
        <v>1.0900000000000001</v>
      </c>
      <c r="U11" s="3">
        <f>IF(OR(AND(ISNUMBER(main_original!U11),main_original!U11&gt;10000),AND(ISNUMBER(main_original!U11),main_original!U11&lt;-10000)),main_original!U11/100000000,main_original!U11)</f>
        <v>1.0900000000000001</v>
      </c>
      <c r="V11" s="3">
        <f>IF(OR(AND(ISNUMBER(main_original!V11),main_original!V11&gt;10000),AND(ISNUMBER(main_original!V11),main_original!V11&lt;-10000)),main_original!V11/100000000,main_original!V11)</f>
        <v>1.0900000000000001</v>
      </c>
      <c r="W11" s="3">
        <f>IF(OR(AND(ISNUMBER(main_original!W11),main_original!W11&gt;10000),AND(ISNUMBER(main_original!W11),main_original!W11&lt;-10000)),main_original!W11/100000000,main_original!W11)</f>
        <v>1.2</v>
      </c>
      <c r="X11" s="3">
        <f>IF(OR(AND(ISNUMBER(main_original!X11),main_original!X11&gt;10000),AND(ISNUMBER(main_original!X11),main_original!X11&lt;-10000)),main_original!X11/100000000,main_original!X11)</f>
        <v>1.2</v>
      </c>
      <c r="Y11" s="3">
        <f>IF(OR(AND(ISNUMBER(main_original!Y11),main_original!Y11&gt;10000),AND(ISNUMBER(main_original!Y11),main_original!Y11&lt;-10000)),main_original!Y11/100000000,main_original!Y11)</f>
        <v>1.2</v>
      </c>
      <c r="Z11" s="3">
        <f>IF(OR(AND(ISNUMBER(main_original!Z11),main_original!Z11&gt;10000),AND(ISNUMBER(main_original!Z11),main_original!Z11&lt;-10000)),main_original!Z11/100000000,main_original!Z11)</f>
        <v>1.2</v>
      </c>
      <c r="AA11" s="3">
        <f>IF(OR(AND(ISNUMBER(main_original!AA11),main_original!AA11&gt;10000),AND(ISNUMBER(main_original!AA11),main_original!AA11&lt;-10000)),main_original!AA11/100000000,main_original!AA11)</f>
        <v>1.2</v>
      </c>
      <c r="AB11" s="3">
        <f>IF(OR(AND(ISNUMBER(main_original!AB11),main_original!AB11&gt;10000),AND(ISNUMBER(main_original!AB11),main_original!AB11&lt;-10000)),main_original!AB11/100000000,main_original!AB11)</f>
        <v>1.32</v>
      </c>
      <c r="AC11" s="3">
        <f>IF(OR(AND(ISNUMBER(main_original!AC11),main_original!AC11&gt;10000),AND(ISNUMBER(main_original!AC11),main_original!AC11&lt;-10000)),main_original!AC11/100000000,main_original!AC11)</f>
        <v>1.32</v>
      </c>
      <c r="AD11" s="3">
        <f>IF(OR(AND(ISNUMBER(main_original!AD11),main_original!AD11&gt;10000),AND(ISNUMBER(main_original!AD11),main_original!AD11&lt;-10000)),main_original!AD11/100000000,main_original!AD11)</f>
        <v>1.32</v>
      </c>
      <c r="AE11" s="3">
        <f>IF(OR(AND(ISNUMBER(main_original!AE11),main_original!AE11&gt;10000),AND(ISNUMBER(main_original!AE11),main_original!AE11&lt;-10000)),main_original!AE11/100000000,main_original!AE11)</f>
        <v>1.32</v>
      </c>
      <c r="AF11" s="3">
        <f>IF(OR(AND(ISNUMBER(main_original!AF11),main_original!AF11&gt;10000),AND(ISNUMBER(main_original!AF11),main_original!AF11&lt;-10000)),main_original!AF11/100000000,main_original!AF11)</f>
        <v>1.32</v>
      </c>
      <c r="AG11" s="3">
        <f>IF(OR(AND(ISNUMBER(main_original!AG11),main_original!AG11&gt;10000),AND(ISNUMBER(main_original!AG11),main_original!AG11&lt;-10000)),main_original!AG11/100000000,main_original!AG11)</f>
        <v>1.32</v>
      </c>
      <c r="AH11" s="3">
        <f>IF(OR(AND(ISNUMBER(main_original!AH11),main_original!AH11&gt;10000),AND(ISNUMBER(main_original!AH11),main_original!AH11&lt;-10000)),main_original!AH11/100000000,main_original!AH11)</f>
        <v>1.32</v>
      </c>
      <c r="AI11" s="3">
        <f>IF(OR(AND(ISNUMBER(main_original!AI11),main_original!AI11&gt;10000),AND(ISNUMBER(main_original!AI11),main_original!AI11&lt;-10000)),main_original!AI11/100000000,main_original!AI11)</f>
        <v>1.32</v>
      </c>
      <c r="AJ11" s="3">
        <f>IF(OR(AND(ISNUMBER(main_original!AJ11),main_original!AJ11&gt;10000),AND(ISNUMBER(main_original!AJ11),main_original!AJ11&lt;-10000)),main_original!AJ11/100000000,main_original!AJ11)</f>
        <v>1.32</v>
      </c>
      <c r="AK11" s="3">
        <f>IF(OR(AND(ISNUMBER(main_original!AK11),main_original!AK11&gt;10000),AND(ISNUMBER(main_original!AK11),main_original!AK11&lt;-10000)),main_original!AK11/100000000,main_original!AK11)</f>
        <v>1.32</v>
      </c>
      <c r="AL11" s="3">
        <f>IF(OR(AND(ISNUMBER(main_original!AL11),main_original!AL11&gt;10000),AND(ISNUMBER(main_original!AL11),main_original!AL11&lt;-10000)),main_original!AL11/100000000,main_original!AL11)</f>
        <v>1.32</v>
      </c>
      <c r="AM11" s="3">
        <f>IF(OR(AND(ISNUMBER(main_original!AM11),main_original!AM11&gt;10000),AND(ISNUMBER(main_original!AM11),main_original!AM11&lt;-10000)),main_original!AM11/100000000,main_original!AM11)</f>
        <v>1.46</v>
      </c>
      <c r="AN11" s="3">
        <f>IF(OR(AND(ISNUMBER(main_original!AN11),main_original!AN11&gt;10000),AND(ISNUMBER(main_original!AN11),main_original!AN11&lt;-10000)),main_original!AN11/100000000,main_original!AN11)</f>
        <v>1.46</v>
      </c>
      <c r="AO11" s="3">
        <f>IF(OR(AND(ISNUMBER(main_original!AO11),main_original!AO11&gt;10000),AND(ISNUMBER(main_original!AO11),main_original!AO11&lt;-10000)),main_original!AO11/100000000,main_original!AO11)</f>
        <v>1.46</v>
      </c>
      <c r="AP11" s="3">
        <f>IF(OR(AND(ISNUMBER(main_original!AP11),main_original!AP11&gt;10000),AND(ISNUMBER(main_original!AP11),main_original!AP11&lt;-10000)),main_original!AP11/100000000,main_original!AP11)</f>
        <v>1.46</v>
      </c>
      <c r="AQ11" s="3">
        <f>IF(OR(AND(ISNUMBER(main_original!AQ11),main_original!AQ11&gt;10000),AND(ISNUMBER(main_original!AQ11),main_original!AQ11&lt;-10000)),main_original!AQ11/100000000,main_original!AQ11)</f>
        <v>1.46</v>
      </c>
      <c r="AR11" s="3">
        <f>IF(OR(AND(ISNUMBER(main_original!AR11),main_original!AR11&gt;10000),AND(ISNUMBER(main_original!AR11),main_original!AR11&lt;-10000)),main_original!AR11/100000000,main_original!AR11)</f>
        <v>1.46</v>
      </c>
      <c r="AS11" s="3">
        <f>IF(OR(AND(ISNUMBER(main_original!AS11),main_original!AS11&gt;10000),AND(ISNUMBER(main_original!AS11),main_original!AS11&lt;-10000)),main_original!AS11/100000000,main_original!AS11)</f>
        <v>1.46</v>
      </c>
      <c r="AT11" s="3">
        <f>IF(OR(AND(ISNUMBER(main_original!AT11),main_original!AT11&gt;10000),AND(ISNUMBER(main_original!AT11),main_original!AT11&lt;-10000)),main_original!AT11/100000000,main_original!AT11)</f>
        <v>1.46</v>
      </c>
      <c r="AU11" s="3">
        <v>1.46</v>
      </c>
      <c r="AV11" s="3">
        <v>1.46</v>
      </c>
      <c r="AW11" s="3">
        <v>1.46</v>
      </c>
      <c r="AX11" s="3">
        <v>1.46</v>
      </c>
      <c r="AY11" s="3">
        <v>1.46</v>
      </c>
      <c r="AZ11" s="3">
        <v>1.46</v>
      </c>
      <c r="BA11" s="3">
        <v>1.46</v>
      </c>
      <c r="BB11" s="3">
        <v>1.46</v>
      </c>
      <c r="BC11" s="3">
        <v>1.46</v>
      </c>
      <c r="BD11" s="3">
        <v>1.46</v>
      </c>
      <c r="BE11" s="3">
        <v>1.46</v>
      </c>
      <c r="BF11" s="3">
        <v>1.46</v>
      </c>
      <c r="BG11" s="3">
        <v>1.46</v>
      </c>
      <c r="BH11" s="3">
        <v>3.91</v>
      </c>
      <c r="BI11" s="3">
        <v>3.91</v>
      </c>
      <c r="BJ11" s="3">
        <v>3.91</v>
      </c>
      <c r="BK11" s="3">
        <v>4.8899999999999997</v>
      </c>
      <c r="BL11" s="3">
        <v>4.8899999999999997</v>
      </c>
      <c r="BM11" s="3">
        <v>4.8899999999999997</v>
      </c>
      <c r="BN11" s="3">
        <v>4.8899999999999997</v>
      </c>
      <c r="BO11" s="3">
        <v>7.33</v>
      </c>
      <c r="BP11" s="3">
        <v>7.33</v>
      </c>
      <c r="BQ11" s="3">
        <v>7.33</v>
      </c>
      <c r="BR11" s="3">
        <v>7.33</v>
      </c>
      <c r="BS11" s="3">
        <v>7.33</v>
      </c>
      <c r="BT11" s="3">
        <v>7.32</v>
      </c>
      <c r="BU11" s="3">
        <v>7.32</v>
      </c>
      <c r="BV11" s="3">
        <v>8.16</v>
      </c>
      <c r="BW11" s="3">
        <v>8.16</v>
      </c>
      <c r="BX11" s="3">
        <v>8.16</v>
      </c>
      <c r="BY11" s="3">
        <v>8.16</v>
      </c>
      <c r="BZ11" s="3">
        <v>0.5</v>
      </c>
      <c r="CA11" s="3">
        <v>0.48</v>
      </c>
      <c r="CB11" s="3">
        <v>0.48</v>
      </c>
      <c r="CC11" s="3" t="s">
        <v>133</v>
      </c>
    </row>
    <row r="12" spans="1:81" x14ac:dyDescent="0.25">
      <c r="A12" s="3" t="s">
        <v>488</v>
      </c>
      <c r="B12" s="3">
        <f>IF(OR(AND(ISNUMBER(main_original!B12),main_original!B12&gt;10000),AND(ISNUMBER(main_original!B12),main_original!B12&lt;-10000)),main_original!B12/100000000,main_original!B12)</f>
        <v>99.32</v>
      </c>
      <c r="C12" s="3">
        <f>IF(OR(AND(ISNUMBER(main_original!C12),main_original!C12&gt;10000),AND(ISNUMBER(main_original!C12),main_original!C12&lt;-10000)),main_original!C12/100000000,main_original!C12)</f>
        <v>90.39</v>
      </c>
      <c r="D12" s="3">
        <f>IF(OR(AND(ISNUMBER(main_original!D12),main_original!D12&gt;10000),AND(ISNUMBER(main_original!D12),main_original!D12&lt;-10000)),main_original!D12/100000000,main_original!D12)</f>
        <v>102.68</v>
      </c>
      <c r="E12" s="3">
        <f>IF(OR(AND(ISNUMBER(main_original!E12),main_original!E12&gt;10000),AND(ISNUMBER(main_original!E12),main_original!E12&lt;-10000)),main_original!E12/100000000,main_original!E12)</f>
        <v>92.26</v>
      </c>
      <c r="F12" s="3">
        <f>IF(OR(AND(ISNUMBER(main_original!F12),main_original!F12&gt;10000),AND(ISNUMBER(main_original!F12),main_original!F12&lt;-10000)),main_original!F12/100000000,main_original!F12)</f>
        <v>83.93</v>
      </c>
      <c r="G12" s="3">
        <f>IF(OR(AND(ISNUMBER(main_original!G12),main_original!G12&gt;10000),AND(ISNUMBER(main_original!G12),main_original!G12&lt;-10000)),main_original!G12/100000000,main_original!G12)</f>
        <v>75.569999999999993</v>
      </c>
      <c r="H12" s="3">
        <f>IF(OR(AND(ISNUMBER(main_original!H12),main_original!H12&gt;10000),AND(ISNUMBER(main_original!H12),main_original!H12&lt;-10000)),main_original!H12/100000000,main_original!H12)</f>
        <v>85.34</v>
      </c>
      <c r="I12" s="3">
        <f>IF(OR(AND(ISNUMBER(main_original!I12),main_original!I12&gt;10000),AND(ISNUMBER(main_original!I12),main_original!I12&lt;-10000)),main_original!I12/100000000,main_original!I12)</f>
        <v>76.41</v>
      </c>
      <c r="J12" s="3">
        <f>IF(OR(AND(ISNUMBER(main_original!J12),main_original!J12&gt;10000),AND(ISNUMBER(main_original!J12),main_original!J12&lt;-10000)),main_original!J12/100000000,main_original!J12)</f>
        <v>68.34</v>
      </c>
      <c r="K12" s="3">
        <f>IF(OR(AND(ISNUMBER(main_original!K12),main_original!K12&gt;10000),AND(ISNUMBER(main_original!K12),main_original!K12&lt;-10000)),main_original!K12/100000000,main_original!K12)</f>
        <v>61.2</v>
      </c>
      <c r="L12" s="3">
        <f>IF(OR(AND(ISNUMBER(main_original!L12),main_original!L12&gt;10000),AND(ISNUMBER(main_original!L12),main_original!L12&lt;-10000)),main_original!L12/100000000,main_original!L12)</f>
        <v>70.47</v>
      </c>
      <c r="M12" s="3">
        <f>IF(OR(AND(ISNUMBER(main_original!M12),main_original!M12&gt;10000),AND(ISNUMBER(main_original!M12),main_original!M12&lt;-10000)),main_original!M12/100000000,main_original!M12)</f>
        <v>63.69</v>
      </c>
      <c r="N12" s="3">
        <f>IF(OR(AND(ISNUMBER(main_original!N12),main_original!N12&gt;10000),AND(ISNUMBER(main_original!N12),main_original!N12&lt;-10000)),main_original!N12/100000000,main_original!N12)</f>
        <v>58.33</v>
      </c>
      <c r="O12" s="3">
        <f>IF(OR(AND(ISNUMBER(main_original!O12),main_original!O12&gt;10000),AND(ISNUMBER(main_original!O12),main_original!O12&lt;-10000)),main_original!O12/100000000,main_original!O12)</f>
        <v>51.38</v>
      </c>
      <c r="P12" s="3">
        <f>IF(OR(AND(ISNUMBER(main_original!P12),main_original!P12&gt;10000),AND(ISNUMBER(main_original!P12),main_original!P12&lt;-10000)),main_original!P12/100000000,main_original!P12)</f>
        <v>54.8</v>
      </c>
      <c r="Q12" s="3">
        <f>IF(OR(AND(ISNUMBER(main_original!Q12),main_original!Q12&gt;10000),AND(ISNUMBER(main_original!Q12),main_original!Q12&lt;-10000)),main_original!Q12/100000000,main_original!Q12)</f>
        <v>49.93</v>
      </c>
      <c r="R12" s="3">
        <f>IF(OR(AND(ISNUMBER(main_original!R12),main_original!R12&gt;10000),AND(ISNUMBER(main_original!R12),main_original!R12&lt;-10000)),main_original!R12/100000000,main_original!R12)</f>
        <v>46.74</v>
      </c>
      <c r="S12" s="3">
        <f>IF(OR(AND(ISNUMBER(main_original!S12),main_original!S12&gt;10000),AND(ISNUMBER(main_original!S12),main_original!S12&lt;-10000)),main_original!S12/100000000,main_original!S12)</f>
        <v>43.83</v>
      </c>
      <c r="T12" s="3">
        <f>IF(OR(AND(ISNUMBER(main_original!T12),main_original!T12&gt;10000),AND(ISNUMBER(main_original!T12),main_original!T12&lt;-10000)),main_original!T12/100000000,main_original!T12)</f>
        <v>47.58</v>
      </c>
      <c r="U12" s="3">
        <f>IF(OR(AND(ISNUMBER(main_original!U12),main_original!U12&gt;10000),AND(ISNUMBER(main_original!U12),main_original!U12&lt;-10000)),main_original!U12/100000000,main_original!U12)</f>
        <v>43.69</v>
      </c>
      <c r="V12" s="3">
        <f>IF(OR(AND(ISNUMBER(main_original!V12),main_original!V12&gt;10000),AND(ISNUMBER(main_original!V12),main_original!V12&lt;-10000)),main_original!V12/100000000,main_original!V12)</f>
        <v>41.27</v>
      </c>
      <c r="W12" s="3">
        <f>IF(OR(AND(ISNUMBER(main_original!W12),main_original!W12&gt;10000),AND(ISNUMBER(main_original!W12),main_original!W12&lt;-10000)),main_original!W12/100000000,main_original!W12)</f>
        <v>46.78</v>
      </c>
      <c r="X12" s="3">
        <f>IF(OR(AND(ISNUMBER(main_original!X12),main_original!X12&gt;10000),AND(ISNUMBER(main_original!X12),main_original!X12&lt;-10000)),main_original!X12/100000000,main_original!X12)</f>
        <v>43.72</v>
      </c>
      <c r="Y12" s="3">
        <f>IF(OR(AND(ISNUMBER(main_original!Y12),main_original!Y12&gt;10000),AND(ISNUMBER(main_original!Y12),main_original!Y12&lt;-10000)),main_original!Y12/100000000,main_original!Y12)</f>
        <v>39.9</v>
      </c>
      <c r="Z12" s="3">
        <f>IF(OR(AND(ISNUMBER(main_original!Z12),main_original!Z12&gt;10000),AND(ISNUMBER(main_original!Z12),main_original!Z12&lt;-10000)),main_original!Z12/100000000,main_original!Z12)</f>
        <v>35.83</v>
      </c>
      <c r="AA12" s="3">
        <f>IF(OR(AND(ISNUMBER(main_original!AA12),main_original!AA12&gt;10000),AND(ISNUMBER(main_original!AA12),main_original!AA12&lt;-10000)),main_original!AA12/100000000,main_original!AA12)</f>
        <v>32.799999999999997</v>
      </c>
      <c r="AB12" s="3">
        <f>IF(OR(AND(ISNUMBER(main_original!AB12),main_original!AB12&gt;10000),AND(ISNUMBER(main_original!AB12),main_original!AB12&lt;-10000)),main_original!AB12/100000000,main_original!AB12)</f>
        <v>38.18</v>
      </c>
      <c r="AC12" s="3">
        <f>IF(OR(AND(ISNUMBER(main_original!AC12),main_original!AC12&gt;10000),AND(ISNUMBER(main_original!AC12),main_original!AC12&lt;-10000)),main_original!AC12/100000000,main_original!AC12)</f>
        <v>34.65</v>
      </c>
      <c r="AD12" s="3">
        <f>IF(OR(AND(ISNUMBER(main_original!AD12),main_original!AD12&gt;10000),AND(ISNUMBER(main_original!AD12),main_original!AD12&lt;-10000)),main_original!AD12/100000000,main_original!AD12)</f>
        <v>30.74</v>
      </c>
      <c r="AE12" s="3">
        <f>IF(OR(AND(ISNUMBER(main_original!AE12),main_original!AE12&gt;10000),AND(ISNUMBER(main_original!AE12),main_original!AE12&lt;-10000)),main_original!AE12/100000000,main_original!AE12)</f>
        <v>27.07</v>
      </c>
      <c r="AF12" s="3">
        <f>IF(OR(AND(ISNUMBER(main_original!AF12),main_original!AF12&gt;10000),AND(ISNUMBER(main_original!AF12),main_original!AF12&lt;-10000)),main_original!AF12/100000000,main_original!AF12)</f>
        <v>31.11</v>
      </c>
      <c r="AG12" s="3">
        <f>IF(OR(AND(ISNUMBER(main_original!AG12),main_original!AG12&gt;10000),AND(ISNUMBER(main_original!AG12),main_original!AG12&lt;-10000)),main_original!AG12/100000000,main_original!AG12)</f>
        <v>27.64</v>
      </c>
      <c r="AH12" s="3">
        <f>IF(OR(AND(ISNUMBER(main_original!AH12),main_original!AH12&gt;10000),AND(ISNUMBER(main_original!AH12),main_original!AH12&lt;-10000)),main_original!AH12/100000000,main_original!AH12)</f>
        <v>24.86</v>
      </c>
      <c r="AI12" s="3">
        <f>IF(OR(AND(ISNUMBER(main_original!AI12),main_original!AI12&gt;10000),AND(ISNUMBER(main_original!AI12),main_original!AI12&lt;-10000)),main_original!AI12/100000000,main_original!AI12)</f>
        <v>21.56</v>
      </c>
      <c r="AJ12" s="3">
        <f>IF(OR(AND(ISNUMBER(main_original!AJ12),main_original!AJ12&gt;10000),AND(ISNUMBER(main_original!AJ12),main_original!AJ12&lt;-10000)),main_original!AJ12/100000000,main_original!AJ12)</f>
        <v>22.06</v>
      </c>
      <c r="AK12" s="3">
        <f>IF(OR(AND(ISNUMBER(main_original!AK12),main_original!AK12&gt;10000),AND(ISNUMBER(main_original!AK12),main_original!AK12&lt;-10000)),main_original!AK12/100000000,main_original!AK12)</f>
        <v>19.2</v>
      </c>
      <c r="AL12" s="3">
        <f>IF(OR(AND(ISNUMBER(main_original!AL12),main_original!AL12&gt;10000),AND(ISNUMBER(main_original!AL12),main_original!AL12&lt;-10000)),main_original!AL12/100000000,main_original!AL12)</f>
        <v>17.510000000000002</v>
      </c>
      <c r="AM12" s="3">
        <f>IF(OR(AND(ISNUMBER(main_original!AM12),main_original!AM12&gt;10000),AND(ISNUMBER(main_original!AM12),main_original!AM12&lt;-10000)),main_original!AM12/100000000,main_original!AM12)</f>
        <v>17.600000000000001</v>
      </c>
      <c r="AN12" s="3">
        <f>IF(OR(AND(ISNUMBER(main_original!AN12),main_original!AN12&gt;10000),AND(ISNUMBER(main_original!AN12),main_original!AN12&lt;-10000)),main_original!AN12/100000000,main_original!AN12)</f>
        <v>16.73</v>
      </c>
      <c r="AO12" s="3">
        <f>IF(OR(AND(ISNUMBER(main_original!AO12),main_original!AO12&gt;10000),AND(ISNUMBER(main_original!AO12),main_original!AO12&lt;-10000)),main_original!AO12/100000000,main_original!AO12)</f>
        <v>14.73</v>
      </c>
      <c r="AP12" s="3">
        <f>IF(OR(AND(ISNUMBER(main_original!AP12),main_original!AP12&gt;10000),AND(ISNUMBER(main_original!AP12),main_original!AP12&lt;-10000)),main_original!AP12/100000000,main_original!AP12)</f>
        <v>14.3</v>
      </c>
      <c r="AQ12" s="3">
        <f>IF(OR(AND(ISNUMBER(main_original!AQ12),main_original!AQ12&gt;10000),AND(ISNUMBER(main_original!AQ12),main_original!AQ12&lt;-10000)),main_original!AQ12/100000000,main_original!AQ12)</f>
        <v>13.17</v>
      </c>
      <c r="AR12" s="3">
        <f>IF(OR(AND(ISNUMBER(main_original!AR12),main_original!AR12&gt;10000),AND(ISNUMBER(main_original!AR12),main_original!AR12&lt;-10000)),main_original!AR12/100000000,main_original!AR12)</f>
        <v>12.53</v>
      </c>
      <c r="AS12" s="3">
        <f>IF(OR(AND(ISNUMBER(main_original!AS12),main_original!AS12&gt;10000),AND(ISNUMBER(main_original!AS12),main_original!AS12&lt;-10000)),main_original!AS12/100000000,main_original!AS12)</f>
        <v>11.19</v>
      </c>
      <c r="AT12" s="3">
        <f>IF(OR(AND(ISNUMBER(main_original!AT12),main_original!AT12&gt;10000),AND(ISNUMBER(main_original!AT12),main_original!AT12&lt;-10000)),main_original!AT12/100000000,main_original!AT12)</f>
        <v>10.89</v>
      </c>
      <c r="AU12" s="3">
        <v>9.83</v>
      </c>
      <c r="AV12" s="3">
        <v>9.69</v>
      </c>
      <c r="AW12" s="3">
        <v>8.4</v>
      </c>
      <c r="AX12" s="3">
        <v>7.71</v>
      </c>
      <c r="AY12" s="3">
        <v>6.75</v>
      </c>
      <c r="AZ12" s="3">
        <v>6.3</v>
      </c>
      <c r="BA12" s="3">
        <v>5.38</v>
      </c>
      <c r="BB12" s="3">
        <v>3.49</v>
      </c>
      <c r="BC12" s="3">
        <v>2.7</v>
      </c>
      <c r="BD12" s="3">
        <v>2.38</v>
      </c>
      <c r="BE12" s="3">
        <v>3.31</v>
      </c>
      <c r="BF12" s="3">
        <v>2.1800000000000002</v>
      </c>
      <c r="BG12" s="3">
        <v>1.81</v>
      </c>
      <c r="BH12" s="3">
        <v>4.4800000000000004</v>
      </c>
      <c r="BI12" s="3">
        <v>3.53</v>
      </c>
      <c r="BJ12" s="3">
        <v>3.62</v>
      </c>
      <c r="BK12" s="3">
        <v>3.78</v>
      </c>
      <c r="BL12" s="3">
        <v>3.5</v>
      </c>
      <c r="BM12" s="3">
        <v>2.56</v>
      </c>
      <c r="BN12" s="3">
        <v>2.85</v>
      </c>
      <c r="BO12" s="3">
        <v>3.58</v>
      </c>
      <c r="BP12" s="3">
        <v>3.27</v>
      </c>
      <c r="BQ12" s="3">
        <v>2.31</v>
      </c>
      <c r="BR12" s="3">
        <v>2.09</v>
      </c>
      <c r="BS12" s="3">
        <v>1.73</v>
      </c>
      <c r="BT12" s="3">
        <v>1.84</v>
      </c>
      <c r="BU12" s="3">
        <v>1.05</v>
      </c>
      <c r="BV12" s="3">
        <v>1.29</v>
      </c>
      <c r="BW12" s="3">
        <v>1.01</v>
      </c>
      <c r="BX12" s="3">
        <v>1.1399999999999999</v>
      </c>
      <c r="BY12" s="3">
        <v>0.31</v>
      </c>
      <c r="BZ12" s="3">
        <v>0.97</v>
      </c>
      <c r="CA12" s="3">
        <v>0.57999999999999996</v>
      </c>
      <c r="CB12" s="3">
        <v>0.03</v>
      </c>
      <c r="CC12" s="3" t="s">
        <v>133</v>
      </c>
    </row>
    <row r="13" spans="1:81" x14ac:dyDescent="0.25">
      <c r="A13" s="3" t="s">
        <v>489</v>
      </c>
      <c r="B13" s="3">
        <f>IF(OR(AND(ISNUMBER(main_original!B13),main_original!B13&gt;10000),AND(ISNUMBER(main_original!B13),main_original!B13&lt;-10000)),main_original!B13/100000000,main_original!B13)</f>
        <v>9.94</v>
      </c>
      <c r="C13" s="3">
        <f>IF(OR(AND(ISNUMBER(main_original!C13),main_original!C13&gt;10000),AND(ISNUMBER(main_original!C13),main_original!C13&lt;-10000)),main_original!C13/100000000,main_original!C13)</f>
        <v>8.2100000000000009</v>
      </c>
      <c r="D13" s="3">
        <f>IF(OR(AND(ISNUMBER(main_original!D13),main_original!D13&gt;10000),AND(ISNUMBER(main_original!D13),main_original!D13&lt;-10000)),main_original!D13/100000000,main_original!D13)</f>
        <v>1.83</v>
      </c>
      <c r="E13" s="3">
        <f>IF(OR(AND(ISNUMBER(main_original!E13),main_original!E13&gt;10000),AND(ISNUMBER(main_original!E13),main_original!E13&lt;-10000)),main_original!E13/100000000,main_original!E13)</f>
        <v>14.25</v>
      </c>
      <c r="F13" s="3">
        <f>IF(OR(AND(ISNUMBER(main_original!F13),main_original!F13&gt;10000),AND(ISNUMBER(main_original!F13),main_original!F13&lt;-10000)),main_original!F13/100000000,main_original!F13)</f>
        <v>2.57</v>
      </c>
      <c r="G13" s="3">
        <f>IF(OR(AND(ISNUMBER(main_original!G13),main_original!G13&gt;10000),AND(ISNUMBER(main_original!G13),main_original!G13&lt;-10000)),main_original!G13/100000000,main_original!G13)</f>
        <v>18.23</v>
      </c>
      <c r="H13" s="3">
        <f>IF(OR(AND(ISNUMBER(main_original!H13),main_original!H13&gt;10000),AND(ISNUMBER(main_original!H13),main_original!H13&lt;-10000)),main_original!H13/100000000,main_original!H13)</f>
        <v>0.95</v>
      </c>
      <c r="I13" s="3">
        <f>IF(OR(AND(ISNUMBER(main_original!I13),main_original!I13&gt;10000),AND(ISNUMBER(main_original!I13),main_original!I13&lt;-10000)),main_original!I13/100000000,main_original!I13)</f>
        <v>10.48</v>
      </c>
      <c r="J13" s="3">
        <f>IF(OR(AND(ISNUMBER(main_original!J13),main_original!J13&gt;10000),AND(ISNUMBER(main_original!J13),main_original!J13&lt;-10000)),main_original!J13/100000000,main_original!J13)</f>
        <v>8.35</v>
      </c>
      <c r="K13" s="3">
        <f>IF(OR(AND(ISNUMBER(main_original!K13),main_original!K13&gt;10000),AND(ISNUMBER(main_original!K13),main_original!K13&lt;-10000)),main_original!K13/100000000,main_original!K13)</f>
        <v>10.19</v>
      </c>
      <c r="L13" s="3">
        <f>IF(OR(AND(ISNUMBER(main_original!L13),main_original!L13&gt;10000),AND(ISNUMBER(main_original!L13),main_original!L13&lt;-10000)),main_original!L13/100000000,main_original!L13)</f>
        <v>3.93</v>
      </c>
      <c r="M13" s="3">
        <f>IF(OR(AND(ISNUMBER(main_original!M13),main_original!M13&gt;10000),AND(ISNUMBER(main_original!M13),main_original!M13&lt;-10000)),main_original!M13/100000000,main_original!M13)</f>
        <v>-0.5</v>
      </c>
      <c r="N13" s="3">
        <f>IF(OR(AND(ISNUMBER(main_original!N13),main_original!N13&gt;10000),AND(ISNUMBER(main_original!N13),main_original!N13&lt;-10000)),main_original!N13/100000000,main_original!N13)</f>
        <v>12.62</v>
      </c>
      <c r="O13" s="3">
        <f>IF(OR(AND(ISNUMBER(main_original!O13),main_original!O13&gt;10000),AND(ISNUMBER(main_original!O13),main_original!O13&lt;-10000)),main_original!O13/100000000,main_original!O13)</f>
        <v>0.66</v>
      </c>
      <c r="P13" s="3">
        <f>IF(OR(AND(ISNUMBER(main_original!P13),main_original!P13&gt;10000),AND(ISNUMBER(main_original!P13),main_original!P13&lt;-10000)),main_original!P13/100000000,main_original!P13)</f>
        <v>4.8600000000000003</v>
      </c>
      <c r="Q13" s="3">
        <f>IF(OR(AND(ISNUMBER(main_original!Q13),main_original!Q13&gt;10000),AND(ISNUMBER(main_original!Q13),main_original!Q13&lt;-10000)),main_original!Q13/100000000,main_original!Q13)</f>
        <v>3.91</v>
      </c>
      <c r="R13" s="3">
        <f>IF(OR(AND(ISNUMBER(main_original!R13),main_original!R13&gt;10000),AND(ISNUMBER(main_original!R13),main_original!R13&lt;-10000)),main_original!R13/100000000,main_original!R13)</f>
        <v>15.07</v>
      </c>
      <c r="S13" s="3">
        <f>IF(OR(AND(ISNUMBER(main_original!S13),main_original!S13&gt;10000),AND(ISNUMBER(main_original!S13),main_original!S13&lt;-10000)),main_original!S13/100000000,main_original!S13)</f>
        <v>4.91</v>
      </c>
      <c r="T13" s="3">
        <f>IF(OR(AND(ISNUMBER(main_original!T13),main_original!T13&gt;10000),AND(ISNUMBER(main_original!T13),main_original!T13&lt;-10000)),main_original!T13/100000000,main_original!T13)</f>
        <v>5.92</v>
      </c>
      <c r="U13" s="3">
        <f>IF(OR(AND(ISNUMBER(main_original!U13),main_original!U13&gt;10000),AND(ISNUMBER(main_original!U13),main_original!U13&lt;-10000)),main_original!U13/100000000,main_original!U13)</f>
        <v>4.79</v>
      </c>
      <c r="V13" s="3">
        <f>IF(OR(AND(ISNUMBER(main_original!V13),main_original!V13&gt;10000),AND(ISNUMBER(main_original!V13),main_original!V13&lt;-10000)),main_original!V13/100000000,main_original!V13)</f>
        <v>4.8</v>
      </c>
      <c r="W13" s="3">
        <f>IF(OR(AND(ISNUMBER(main_original!W13),main_original!W13&gt;10000),AND(ISNUMBER(main_original!W13),main_original!W13&lt;-10000)),main_original!W13/100000000,main_original!W13)</f>
        <v>2.44</v>
      </c>
      <c r="X13" s="3">
        <f>IF(OR(AND(ISNUMBER(main_original!X13),main_original!X13&gt;10000),AND(ISNUMBER(main_original!X13),main_original!X13&lt;-10000)),main_original!X13/100000000,main_original!X13)</f>
        <v>1.85</v>
      </c>
      <c r="Y13" s="3">
        <f>IF(OR(AND(ISNUMBER(main_original!Y13),main_original!Y13&gt;10000),AND(ISNUMBER(main_original!Y13),main_original!Y13&lt;-10000)),main_original!Y13/100000000,main_original!Y13)</f>
        <v>4.34</v>
      </c>
      <c r="Z13" s="3">
        <f>IF(OR(AND(ISNUMBER(main_original!Z13),main_original!Z13&gt;10000),AND(ISNUMBER(main_original!Z13),main_original!Z13&lt;-10000)),main_original!Z13/100000000,main_original!Z13)</f>
        <v>2.97</v>
      </c>
      <c r="AA13" s="3">
        <f>IF(OR(AND(ISNUMBER(main_original!AA13),main_original!AA13&gt;10000),AND(ISNUMBER(main_original!AA13),main_original!AA13&lt;-10000)),main_original!AA13/100000000,main_original!AA13)</f>
        <v>3.59</v>
      </c>
      <c r="AB13" s="3">
        <f>IF(OR(AND(ISNUMBER(main_original!AB13),main_original!AB13&gt;10000),AND(ISNUMBER(main_original!AB13),main_original!AB13&lt;-10000)),main_original!AB13/100000000,main_original!AB13)</f>
        <v>0.17</v>
      </c>
      <c r="AC13" s="3">
        <f>IF(OR(AND(ISNUMBER(main_original!AC13),main_original!AC13&gt;10000),AND(ISNUMBER(main_original!AC13),main_original!AC13&lt;-10000)),main_original!AC13/100000000,main_original!AC13)</f>
        <v>3.28</v>
      </c>
      <c r="AD13" s="3">
        <f>IF(OR(AND(ISNUMBER(main_original!AD13),main_original!AD13&gt;10000),AND(ISNUMBER(main_original!AD13),main_original!AD13&lt;-10000)),main_original!AD13/100000000,main_original!AD13)</f>
        <v>3.88</v>
      </c>
      <c r="AE13" s="3">
        <f>IF(OR(AND(ISNUMBER(main_original!AE13),main_original!AE13&gt;10000),AND(ISNUMBER(main_original!AE13),main_original!AE13&lt;-10000)),main_original!AE13/100000000,main_original!AE13)</f>
        <v>4.26</v>
      </c>
      <c r="AF13" s="3">
        <f>IF(OR(AND(ISNUMBER(main_original!AF13),main_original!AF13&gt;10000),AND(ISNUMBER(main_original!AF13),main_original!AF13&lt;-10000)),main_original!AF13/100000000,main_original!AF13)</f>
        <v>0.76</v>
      </c>
      <c r="AG13" s="3">
        <f>IF(OR(AND(ISNUMBER(main_original!AG13),main_original!AG13&gt;10000),AND(ISNUMBER(main_original!AG13),main_original!AG13&lt;-10000)),main_original!AG13/100000000,main_original!AG13)</f>
        <v>4.2</v>
      </c>
      <c r="AH13" s="3">
        <f>IF(OR(AND(ISNUMBER(main_original!AH13),main_original!AH13&gt;10000),AND(ISNUMBER(main_original!AH13),main_original!AH13&lt;-10000)),main_original!AH13/100000000,main_original!AH13)</f>
        <v>2.98</v>
      </c>
      <c r="AI13" s="3">
        <f>IF(OR(AND(ISNUMBER(main_original!AI13),main_original!AI13&gt;10000),AND(ISNUMBER(main_original!AI13),main_original!AI13&lt;-10000)),main_original!AI13/100000000,main_original!AI13)</f>
        <v>3.01</v>
      </c>
      <c r="AJ13" s="3">
        <f>IF(OR(AND(ISNUMBER(main_original!AJ13),main_original!AJ13&gt;10000),AND(ISNUMBER(main_original!AJ13),main_original!AJ13&lt;-10000)),main_original!AJ13/100000000,main_original!AJ13)</f>
        <v>1.29</v>
      </c>
      <c r="AK13" s="3">
        <f>IF(OR(AND(ISNUMBER(main_original!AK13),main_original!AK13&gt;10000),AND(ISNUMBER(main_original!AK13),main_original!AK13&lt;-10000)),main_original!AK13/100000000,main_original!AK13)</f>
        <v>1.0900000000000001</v>
      </c>
      <c r="AL13" s="3">
        <f>IF(OR(AND(ISNUMBER(main_original!AL13),main_original!AL13&gt;10000),AND(ISNUMBER(main_original!AL13),main_original!AL13&lt;-10000)),main_original!AL13/100000000,main_original!AL13)</f>
        <v>3.04</v>
      </c>
      <c r="AM13" s="3">
        <f>IF(OR(AND(ISNUMBER(main_original!AM13),main_original!AM13&gt;10000),AND(ISNUMBER(main_original!AM13),main_original!AM13&lt;-10000)),main_original!AM13/100000000,main_original!AM13)</f>
        <v>2.04</v>
      </c>
      <c r="AN13" s="3">
        <f>IF(OR(AND(ISNUMBER(main_original!AN13),main_original!AN13&gt;10000),AND(ISNUMBER(main_original!AN13),main_original!AN13&lt;-10000)),main_original!AN13/100000000,main_original!AN13)</f>
        <v>3.61</v>
      </c>
      <c r="AO13" s="3">
        <f>IF(OR(AND(ISNUMBER(main_original!AO13),main_original!AO13&gt;10000),AND(ISNUMBER(main_original!AO13),main_original!AO13&lt;-10000)),main_original!AO13/100000000,main_original!AO13)</f>
        <v>2.37</v>
      </c>
      <c r="AP13" s="3">
        <f>IF(OR(AND(ISNUMBER(main_original!AP13),main_original!AP13&gt;10000),AND(ISNUMBER(main_original!AP13),main_original!AP13&lt;-10000)),main_original!AP13/100000000,main_original!AP13)</f>
        <v>2.33</v>
      </c>
      <c r="AQ13" s="3">
        <f>IF(OR(AND(ISNUMBER(main_original!AQ13),main_original!AQ13&gt;10000),AND(ISNUMBER(main_original!AQ13),main_original!AQ13&lt;-10000)),main_original!AQ13/100000000,main_original!AQ13)</f>
        <v>1</v>
      </c>
      <c r="AR13" s="3">
        <f>IF(OR(AND(ISNUMBER(main_original!AR13),main_original!AR13&gt;10000),AND(ISNUMBER(main_original!AR13),main_original!AR13&lt;-10000)),main_original!AR13/100000000,main_original!AR13)</f>
        <v>0.87</v>
      </c>
      <c r="AS13" s="3">
        <f>IF(OR(AND(ISNUMBER(main_original!AS13),main_original!AS13&gt;10000),AND(ISNUMBER(main_original!AS13),main_original!AS13&lt;-10000)),main_original!AS13/100000000,main_original!AS13)</f>
        <v>2.2799999999999998</v>
      </c>
      <c r="AT13" s="3">
        <f>IF(OR(AND(ISNUMBER(main_original!AT13),main_original!AT13&gt;10000),AND(ISNUMBER(main_original!AT13),main_original!AT13&lt;-10000)),main_original!AT13/100000000,main_original!AT13)</f>
        <v>1.62</v>
      </c>
      <c r="AU13" s="3">
        <v>0.72</v>
      </c>
      <c r="AV13" s="3">
        <v>-0.14000000000000001</v>
      </c>
      <c r="AW13" s="3">
        <v>2.31</v>
      </c>
      <c r="AX13" s="3">
        <v>1.67</v>
      </c>
      <c r="AY13" s="3">
        <v>0.53</v>
      </c>
      <c r="AZ13" s="3">
        <v>1.05</v>
      </c>
      <c r="BA13" s="3">
        <v>0.21</v>
      </c>
      <c r="BB13" s="3">
        <v>0.91</v>
      </c>
      <c r="BC13" s="3">
        <v>0.33</v>
      </c>
      <c r="BD13" s="3">
        <v>0.4</v>
      </c>
      <c r="BE13" s="3">
        <v>0.65</v>
      </c>
      <c r="BF13" s="3">
        <v>0.95</v>
      </c>
      <c r="BG13" s="3">
        <v>0.15</v>
      </c>
      <c r="BH13" s="3">
        <v>0.48</v>
      </c>
      <c r="BI13" s="3">
        <v>1.72</v>
      </c>
      <c r="BJ13" s="3">
        <v>0.76</v>
      </c>
      <c r="BK13" s="3">
        <v>0.49</v>
      </c>
      <c r="BL13" s="3">
        <v>0.62</v>
      </c>
      <c r="BM13" s="3">
        <v>1.53</v>
      </c>
      <c r="BN13" s="3">
        <v>1.0900000000000001</v>
      </c>
      <c r="BO13" s="3">
        <v>0.52</v>
      </c>
      <c r="BP13" s="3">
        <v>-0.66</v>
      </c>
      <c r="BQ13" s="3">
        <v>1.66</v>
      </c>
      <c r="BR13" s="3">
        <v>1.58</v>
      </c>
      <c r="BS13" s="3">
        <v>-0.16</v>
      </c>
      <c r="BT13" s="3">
        <v>0.03</v>
      </c>
      <c r="BU13" s="3" t="s">
        <v>133</v>
      </c>
      <c r="BV13" s="3" t="s">
        <v>133</v>
      </c>
      <c r="BW13" s="3" t="s">
        <v>133</v>
      </c>
      <c r="BX13" s="3" t="s">
        <v>133</v>
      </c>
      <c r="BY13" s="3" t="s">
        <v>133</v>
      </c>
      <c r="BZ13" s="3" t="s">
        <v>133</v>
      </c>
      <c r="CA13" s="3" t="s">
        <v>133</v>
      </c>
      <c r="CB13" s="3" t="s">
        <v>133</v>
      </c>
      <c r="CC13" s="3" t="s">
        <v>133</v>
      </c>
    </row>
    <row r="14" spans="1:81" x14ac:dyDescent="0.25">
      <c r="A14" s="3" t="s">
        <v>42</v>
      </c>
      <c r="B14" s="3" t="str">
        <f>IF(OR(AND(ISNUMBER(main_original!B14),main_original!B14&gt;10000),AND(ISNUMBER(main_original!B14),main_original!B14&lt;-10000)),main_original!B14/100000000,main_original!B14)</f>
        <v>53.34%</v>
      </c>
      <c r="C14" s="3" t="str">
        <f>IF(OR(AND(ISNUMBER(main_original!C14),main_original!C14&gt;10000),AND(ISNUMBER(main_original!C14),main_original!C14&lt;-10000)),main_original!C14/100000000,main_original!C14)</f>
        <v>54.44%</v>
      </c>
      <c r="D14" s="3" t="str">
        <f>IF(OR(AND(ISNUMBER(main_original!D14),main_original!D14&gt;10000),AND(ISNUMBER(main_original!D14),main_original!D14&lt;-10000)),main_original!D14/100000000,main_original!D14)</f>
        <v>56.80%</v>
      </c>
      <c r="E14" s="3" t="str">
        <f>IF(OR(AND(ISNUMBER(main_original!E14),main_original!E14&gt;10000),AND(ISNUMBER(main_original!E14),main_original!E14&lt;-10000)),main_original!E14/100000000,main_original!E14)</f>
        <v>51.47%</v>
      </c>
      <c r="F14" s="3" t="str">
        <f>IF(OR(AND(ISNUMBER(main_original!F14),main_original!F14&gt;10000),AND(ISNUMBER(main_original!F14),main_original!F14&lt;-10000)),main_original!F14/100000000,main_original!F14)</f>
        <v>53.19%</v>
      </c>
      <c r="G14" s="3" t="str">
        <f>IF(OR(AND(ISNUMBER(main_original!G14),main_original!G14&gt;10000),AND(ISNUMBER(main_original!G14),main_original!G14&lt;-10000)),main_original!G14/100000000,main_original!G14)</f>
        <v>53.68%</v>
      </c>
      <c r="H14" s="3" t="str">
        <f>IF(OR(AND(ISNUMBER(main_original!H14),main_original!H14&gt;10000),AND(ISNUMBER(main_original!H14),main_original!H14&lt;-10000)),main_original!H14/100000000,main_original!H14)</f>
        <v>55.05%</v>
      </c>
      <c r="I14" s="3" t="str">
        <f>IF(OR(AND(ISNUMBER(main_original!I14),main_original!I14&gt;10000),AND(ISNUMBER(main_original!I14),main_original!I14&lt;-10000)),main_original!I14/100000000,main_original!I14)</f>
        <v>51.37%</v>
      </c>
      <c r="J14" s="3" t="str">
        <f>IF(OR(AND(ISNUMBER(main_original!J14),main_original!J14&gt;10000),AND(ISNUMBER(main_original!J14),main_original!J14&lt;-10000)),main_original!J14/100000000,main_original!J14)</f>
        <v>50.86%</v>
      </c>
      <c r="K14" s="3" t="str">
        <f>IF(OR(AND(ISNUMBER(main_original!K14),main_original!K14&gt;10000),AND(ISNUMBER(main_original!K14),main_original!K14&lt;-10000)),main_original!K14/100000000,main_original!K14)</f>
        <v>50.67%</v>
      </c>
      <c r="L14" s="3" t="str">
        <f>IF(OR(AND(ISNUMBER(main_original!L14),main_original!L14&gt;10000),AND(ISNUMBER(main_original!L14),main_original!L14&lt;-10000)),main_original!L14/100000000,main_original!L14)</f>
        <v>52.28%</v>
      </c>
      <c r="M14" s="3" t="str">
        <f>IF(OR(AND(ISNUMBER(main_original!M14),main_original!M14&gt;10000),AND(ISNUMBER(main_original!M14),main_original!M14&lt;-10000)),main_original!M14/100000000,main_original!M14)</f>
        <v>49.82%</v>
      </c>
      <c r="N14" s="3" t="str">
        <f>IF(OR(AND(ISNUMBER(main_original!N14),main_original!N14&gt;10000),AND(ISNUMBER(main_original!N14),main_original!N14&lt;-10000)),main_original!N14/100000000,main_original!N14)</f>
        <v>50.32%</v>
      </c>
      <c r="O14" s="3" t="str">
        <f>IF(OR(AND(ISNUMBER(main_original!O14),main_original!O14&gt;10000),AND(ISNUMBER(main_original!O14),main_original!O14&lt;-10000)),main_original!O14/100000000,main_original!O14)</f>
        <v>49.79%</v>
      </c>
      <c r="P14" s="3" t="str">
        <f>IF(OR(AND(ISNUMBER(main_original!P14),main_original!P14&gt;10000),AND(ISNUMBER(main_original!P14),main_original!P14&lt;-10000)),main_original!P14/100000000,main_original!P14)</f>
        <v>49.18%</v>
      </c>
      <c r="Q14" s="3" t="str">
        <f>IF(OR(AND(ISNUMBER(main_original!Q14),main_original!Q14&gt;10000),AND(ISNUMBER(main_original!Q14),main_original!Q14&lt;-10000)),main_original!Q14/100000000,main_original!Q14)</f>
        <v>46.14%</v>
      </c>
      <c r="R14" s="3" t="str">
        <f>IF(OR(AND(ISNUMBER(main_original!R14),main_original!R14&gt;10000),AND(ISNUMBER(main_original!R14),main_original!R14&lt;-10000)),main_original!R14/100000000,main_original!R14)</f>
        <v>50.05%</v>
      </c>
      <c r="S14" s="3" t="str">
        <f>IF(OR(AND(ISNUMBER(main_original!S14),main_original!S14&gt;10000),AND(ISNUMBER(main_original!S14),main_original!S14&lt;-10000)),main_original!S14/100000000,main_original!S14)</f>
        <v>51.60%</v>
      </c>
      <c r="T14" s="3" t="str">
        <f>IF(OR(AND(ISNUMBER(main_original!T14),main_original!T14&gt;10000),AND(ISNUMBER(main_original!T14),main_original!T14&lt;-10000)),main_original!T14/100000000,main_original!T14)</f>
        <v>52.18%</v>
      </c>
      <c r="U14" s="3" t="str">
        <f>IF(OR(AND(ISNUMBER(main_original!U14),main_original!U14&gt;10000),AND(ISNUMBER(main_original!U14),main_original!U14&lt;-10000)),main_original!U14/100000000,main_original!U14)</f>
        <v>50.38%</v>
      </c>
      <c r="V14" s="3" t="str">
        <f>IF(OR(AND(ISNUMBER(main_original!V14),main_original!V14&gt;10000),AND(ISNUMBER(main_original!V14),main_original!V14&lt;-10000)),main_original!V14/100000000,main_original!V14)</f>
        <v>52.39%</v>
      </c>
      <c r="W14" s="3" t="str">
        <f>IF(OR(AND(ISNUMBER(main_original!W14),main_original!W14&gt;10000),AND(ISNUMBER(main_original!W14),main_original!W14&lt;-10000)),main_original!W14/100000000,main_original!W14)</f>
        <v>53.01%</v>
      </c>
      <c r="X14" s="3" t="str">
        <f>IF(OR(AND(ISNUMBER(main_original!X14),main_original!X14&gt;10000),AND(ISNUMBER(main_original!X14),main_original!X14&lt;-10000)),main_original!X14/100000000,main_original!X14)</f>
        <v>54.17%</v>
      </c>
      <c r="Y14" s="3" t="str">
        <f>IF(OR(AND(ISNUMBER(main_original!Y14),main_original!Y14&gt;10000),AND(ISNUMBER(main_original!Y14),main_original!Y14&lt;-10000)),main_original!Y14/100000000,main_original!Y14)</f>
        <v>51.53%</v>
      </c>
      <c r="Z14" s="3" t="str">
        <f>IF(OR(AND(ISNUMBER(main_original!Z14),main_original!Z14&gt;10000),AND(ISNUMBER(main_original!Z14),main_original!Z14&lt;-10000)),main_original!Z14/100000000,main_original!Z14)</f>
        <v>52.38%</v>
      </c>
      <c r="AA14" s="3" t="str">
        <f>IF(OR(AND(ISNUMBER(main_original!AA14),main_original!AA14&gt;10000),AND(ISNUMBER(main_original!AA14),main_original!AA14&lt;-10000)),main_original!AA14/100000000,main_original!AA14)</f>
        <v>53.52%</v>
      </c>
      <c r="AB14" s="3" t="str">
        <f>IF(OR(AND(ISNUMBER(main_original!AB14),main_original!AB14&gt;10000),AND(ISNUMBER(main_original!AB14),main_original!AB14&lt;-10000)),main_original!AB14/100000000,main_original!AB14)</f>
        <v>53.06%</v>
      </c>
      <c r="AC14" s="3" t="str">
        <f>IF(OR(AND(ISNUMBER(main_original!AC14),main_original!AC14&gt;10000),AND(ISNUMBER(main_original!AC14),main_original!AC14&lt;-10000)),main_original!AC14/100000000,main_original!AC14)</f>
        <v>51.63%</v>
      </c>
      <c r="AD14" s="3" t="str">
        <f>IF(OR(AND(ISNUMBER(main_original!AD14),main_original!AD14&gt;10000),AND(ISNUMBER(main_original!AD14),main_original!AD14&lt;-10000)),main_original!AD14/100000000,main_original!AD14)</f>
        <v>53.17%</v>
      </c>
      <c r="AE14" s="3" t="str">
        <f>IF(OR(AND(ISNUMBER(main_original!AE14),main_original!AE14&gt;10000),AND(ISNUMBER(main_original!AE14),main_original!AE14&lt;-10000)),main_original!AE14/100000000,main_original!AE14)</f>
        <v>53.94%</v>
      </c>
      <c r="AF14" s="3" t="str">
        <f>IF(OR(AND(ISNUMBER(main_original!AF14),main_original!AF14&gt;10000),AND(ISNUMBER(main_original!AF14),main_original!AF14&lt;-10000)),main_original!AF14/100000000,main_original!AF14)</f>
        <v>52.66%</v>
      </c>
      <c r="AG14" s="3" t="str">
        <f>IF(OR(AND(ISNUMBER(main_original!AG14),main_original!AG14&gt;10000),AND(ISNUMBER(main_original!AG14),main_original!AG14&lt;-10000)),main_original!AG14/100000000,main_original!AG14)</f>
        <v>52.95%</v>
      </c>
      <c r="AH14" s="3" t="str">
        <f>IF(OR(AND(ISNUMBER(main_original!AH14),main_original!AH14&gt;10000),AND(ISNUMBER(main_original!AH14),main_original!AH14&lt;-10000)),main_original!AH14/100000000,main_original!AH14)</f>
        <v>54.88%</v>
      </c>
      <c r="AI14" s="3" t="str">
        <f>IF(OR(AND(ISNUMBER(main_original!AI14),main_original!AI14&gt;10000),AND(ISNUMBER(main_original!AI14),main_original!AI14&lt;-10000)),main_original!AI14/100000000,main_original!AI14)</f>
        <v>55.40%</v>
      </c>
      <c r="AJ14" s="3" t="str">
        <f>IF(OR(AND(ISNUMBER(main_original!AJ14),main_original!AJ14&gt;10000),AND(ISNUMBER(main_original!AJ14),main_original!AJ14&lt;-10000)),main_original!AJ14/100000000,main_original!AJ14)</f>
        <v>52.02%</v>
      </c>
      <c r="AK14" s="3" t="str">
        <f>IF(OR(AND(ISNUMBER(main_original!AK14),main_original!AK14&gt;10000),AND(ISNUMBER(main_original!AK14),main_original!AK14&lt;-10000)),main_original!AK14/100000000,main_original!AK14)</f>
        <v>50.27%</v>
      </c>
      <c r="AL14" s="3" t="str">
        <f>IF(OR(AND(ISNUMBER(main_original!AL14),main_original!AL14&gt;10000),AND(ISNUMBER(main_original!AL14),main_original!AL14&lt;-10000)),main_original!AL14/100000000,main_original!AL14)</f>
        <v>50.80%</v>
      </c>
      <c r="AM14" s="3" t="str">
        <f>IF(OR(AND(ISNUMBER(main_original!AM14),main_original!AM14&gt;10000),AND(ISNUMBER(main_original!AM14),main_original!AM14&lt;-10000)),main_original!AM14/100000000,main_original!AM14)</f>
        <v>52.58%</v>
      </c>
      <c r="AN14" s="3" t="str">
        <f>IF(OR(AND(ISNUMBER(main_original!AN14),main_original!AN14&gt;10000),AND(ISNUMBER(main_original!AN14),main_original!AN14&lt;-10000)),main_original!AN14/100000000,main_original!AN14)</f>
        <v>47.18%</v>
      </c>
      <c r="AO14" s="3" t="str">
        <f>IF(OR(AND(ISNUMBER(main_original!AO14),main_original!AO14&gt;10000),AND(ISNUMBER(main_original!AO14),main_original!AO14&lt;-10000)),main_original!AO14/100000000,main_original!AO14)</f>
        <v>45.90%</v>
      </c>
      <c r="AP14" s="3" t="str">
        <f>IF(OR(AND(ISNUMBER(main_original!AP14),main_original!AP14&gt;10000),AND(ISNUMBER(main_original!AP14),main_original!AP14&lt;-10000)),main_original!AP14/100000000,main_original!AP14)</f>
        <v>47.29%</v>
      </c>
      <c r="AQ14" s="3" t="str">
        <f>IF(OR(AND(ISNUMBER(main_original!AQ14),main_original!AQ14&gt;10000),AND(ISNUMBER(main_original!AQ14),main_original!AQ14&lt;-10000)),main_original!AQ14/100000000,main_original!AQ14)</f>
        <v>49.71%</v>
      </c>
      <c r="AR14" s="3" t="str">
        <f>IF(OR(AND(ISNUMBER(main_original!AR14),main_original!AR14&gt;10000),AND(ISNUMBER(main_original!AR14),main_original!AR14&lt;-10000)),main_original!AR14/100000000,main_original!AR14)</f>
        <v>44.22%</v>
      </c>
      <c r="AS14" s="3" t="str">
        <f>IF(OR(AND(ISNUMBER(main_original!AS14),main_original!AS14&gt;10000),AND(ISNUMBER(main_original!AS14),main_original!AS14&lt;-10000)),main_original!AS14/100000000,main_original!AS14)</f>
        <v>47.08%</v>
      </c>
      <c r="AT14" s="3" t="str">
        <f>IF(OR(AND(ISNUMBER(main_original!AT14),main_original!AT14&gt;10000),AND(ISNUMBER(main_original!AT14),main_original!AT14&lt;-10000)),main_original!AT14/100000000,main_original!AT14)</f>
        <v>50.98%</v>
      </c>
      <c r="AU14" s="3" t="s">
        <v>535</v>
      </c>
      <c r="AV14" s="3" t="s">
        <v>536</v>
      </c>
      <c r="AW14" s="3" t="s">
        <v>537</v>
      </c>
      <c r="AX14" s="3" t="s">
        <v>538</v>
      </c>
      <c r="AY14" s="3" t="s">
        <v>539</v>
      </c>
      <c r="AZ14" s="3" t="s">
        <v>540</v>
      </c>
      <c r="BA14" s="3" t="s">
        <v>541</v>
      </c>
      <c r="BB14" s="3" t="s">
        <v>542</v>
      </c>
      <c r="BC14" s="3" t="s">
        <v>543</v>
      </c>
      <c r="BD14" s="3" t="s">
        <v>544</v>
      </c>
      <c r="BE14" s="3" t="s">
        <v>545</v>
      </c>
      <c r="BF14" s="3" t="s">
        <v>546</v>
      </c>
      <c r="BG14" s="3" t="s">
        <v>547</v>
      </c>
      <c r="BH14" s="3" t="s">
        <v>548</v>
      </c>
      <c r="BI14" s="3" t="s">
        <v>549</v>
      </c>
      <c r="BJ14" s="3" t="s">
        <v>550</v>
      </c>
      <c r="BK14" s="3" t="s">
        <v>551</v>
      </c>
      <c r="BL14" s="3" t="s">
        <v>552</v>
      </c>
      <c r="BM14" s="3" t="s">
        <v>553</v>
      </c>
      <c r="BN14" s="3" t="s">
        <v>554</v>
      </c>
      <c r="BO14" s="3" t="s">
        <v>555</v>
      </c>
      <c r="BP14" s="3" t="s">
        <v>556</v>
      </c>
      <c r="BQ14" s="3" t="s">
        <v>557</v>
      </c>
      <c r="BR14" s="3" t="s">
        <v>558</v>
      </c>
      <c r="BS14" s="3" t="s">
        <v>559</v>
      </c>
      <c r="BT14" s="3" t="s">
        <v>560</v>
      </c>
      <c r="BU14" s="3" t="s">
        <v>561</v>
      </c>
      <c r="BV14" s="3" t="s">
        <v>562</v>
      </c>
      <c r="BW14" s="3" t="s">
        <v>563</v>
      </c>
      <c r="BX14" s="3" t="s">
        <v>564</v>
      </c>
      <c r="BY14" s="3" t="s">
        <v>565</v>
      </c>
      <c r="BZ14" s="3" t="s">
        <v>566</v>
      </c>
      <c r="CA14" s="3" t="s">
        <v>567</v>
      </c>
      <c r="CB14" s="3" t="s">
        <v>568</v>
      </c>
      <c r="CC14" s="3" t="s">
        <v>569</v>
      </c>
    </row>
    <row r="15" spans="1:81" x14ac:dyDescent="0.25">
      <c r="A15" s="3" t="s">
        <v>43</v>
      </c>
      <c r="B15" s="3" t="str">
        <f>IF(OR(AND(ISNUMBER(main_original!B15),main_original!B15&gt;10000),AND(ISNUMBER(main_original!B15),main_original!B15&lt;-10000)),main_original!B15/100000000,main_original!B15)</f>
        <v>91.06%</v>
      </c>
      <c r="C15" s="3" t="str">
        <f>IF(OR(AND(ISNUMBER(main_original!C15),main_original!C15&gt;10000),AND(ISNUMBER(main_original!C15),main_original!C15&lt;-10000)),main_original!C15/100000000,main_original!C15)</f>
        <v>91.20%</v>
      </c>
      <c r="D15" s="3" t="str">
        <f>IF(OR(AND(ISNUMBER(main_original!D15),main_original!D15&gt;10000),AND(ISNUMBER(main_original!D15),main_original!D15&lt;-10000)),main_original!D15/100000000,main_original!D15)</f>
        <v>91.67%</v>
      </c>
      <c r="E15" s="3" t="str">
        <f>IF(OR(AND(ISNUMBER(main_original!E15),main_original!E15&gt;10000),AND(ISNUMBER(main_original!E15),main_original!E15&lt;-10000)),main_original!E15/100000000,main_original!E15)</f>
        <v>90.84%</v>
      </c>
      <c r="F15" s="3" t="str">
        <f>IF(OR(AND(ISNUMBER(main_original!F15),main_original!F15&gt;10000),AND(ISNUMBER(main_original!F15),main_original!F15&lt;-10000)),main_original!F15/100000000,main_original!F15)</f>
        <v>--</v>
      </c>
      <c r="G15" s="3" t="str">
        <f>IF(OR(AND(ISNUMBER(main_original!G15),main_original!G15&gt;10000),AND(ISNUMBER(main_original!G15),main_original!G15&lt;-10000)),main_original!G15/100000000,main_original!G15)</f>
        <v>91.57%</v>
      </c>
      <c r="H15" s="3" t="str">
        <f>IF(OR(AND(ISNUMBER(main_original!H15),main_original!H15&gt;10000),AND(ISNUMBER(main_original!H15),main_original!H15&lt;-10000)),main_original!H15/100000000,main_original!H15)</f>
        <v>92.11%</v>
      </c>
      <c r="I15" s="3" t="str">
        <f>IF(OR(AND(ISNUMBER(main_original!I15),main_original!I15&gt;10000),AND(ISNUMBER(main_original!I15),main_original!I15&lt;-10000)),main_original!I15/100000000,main_original!I15)</f>
        <v>91.19%</v>
      </c>
      <c r="J15" s="3" t="str">
        <f>IF(OR(AND(ISNUMBER(main_original!J15),main_original!J15&gt;10000),AND(ISNUMBER(main_original!J15),main_original!J15&lt;-10000)),main_original!J15/100000000,main_original!J15)</f>
        <v>91.45%</v>
      </c>
      <c r="K15" s="3" t="str">
        <f>IF(OR(AND(ISNUMBER(main_original!K15),main_original!K15&gt;10000),AND(ISNUMBER(main_original!K15),main_original!K15&lt;-10000)),main_original!K15/100000000,main_original!K15)</f>
        <v>90.54%</v>
      </c>
      <c r="L15" s="3" t="str">
        <f>IF(OR(AND(ISNUMBER(main_original!L15),main_original!L15&gt;10000),AND(ISNUMBER(main_original!L15),main_original!L15&lt;-10000)),main_original!L15/100000000,main_original!L15)</f>
        <v>91.31%</v>
      </c>
      <c r="M15" s="3" t="str">
        <f>IF(OR(AND(ISNUMBER(main_original!M15),main_original!M15&gt;10000),AND(ISNUMBER(main_original!M15),main_original!M15&lt;-10000)),main_original!M15/100000000,main_original!M15)</f>
        <v>89.43%</v>
      </c>
      <c r="N15" s="3" t="str">
        <f>IF(OR(AND(ISNUMBER(main_original!N15),main_original!N15&gt;10000),AND(ISNUMBER(main_original!N15),main_original!N15&lt;-10000)),main_original!N15/100000000,main_original!N15)</f>
        <v>90.35%</v>
      </c>
      <c r="O15" s="3" t="str">
        <f>IF(OR(AND(ISNUMBER(main_original!O15),main_original!O15&gt;10000),AND(ISNUMBER(main_original!O15),main_original!O15&lt;-10000)),main_original!O15/100000000,main_original!O15)</f>
        <v>87.74%</v>
      </c>
      <c r="P15" s="3" t="str">
        <f>IF(OR(AND(ISNUMBER(main_original!P15),main_original!P15&gt;10000),AND(ISNUMBER(main_original!P15),main_original!P15&lt;-10000)),main_original!P15/100000000,main_original!P15)</f>
        <v>91.16%</v>
      </c>
      <c r="Q15" s="3" t="str">
        <f>IF(OR(AND(ISNUMBER(main_original!Q15),main_original!Q15&gt;10000),AND(ISNUMBER(main_original!Q15),main_original!Q15&lt;-10000)),main_original!Q15/100000000,main_original!Q15)</f>
        <v>90.31%</v>
      </c>
      <c r="R15" s="3" t="str">
        <f>IF(OR(AND(ISNUMBER(main_original!R15),main_original!R15&gt;10000),AND(ISNUMBER(main_original!R15),main_original!R15&lt;-10000)),main_original!R15/100000000,main_original!R15)</f>
        <v>91.13%</v>
      </c>
      <c r="S15" s="3" t="str">
        <f>IF(OR(AND(ISNUMBER(main_original!S15),main_original!S15&gt;10000),AND(ISNUMBER(main_original!S15),main_original!S15&lt;-10000)),main_original!S15/100000000,main_original!S15)</f>
        <v>91.32%</v>
      </c>
      <c r="T15" s="3" t="str">
        <f>IF(OR(AND(ISNUMBER(main_original!T15),main_original!T15&gt;10000),AND(ISNUMBER(main_original!T15),main_original!T15&lt;-10000)),main_original!T15/100000000,main_original!T15)</f>
        <v>92.34%</v>
      </c>
      <c r="U15" s="3" t="str">
        <f>IF(OR(AND(ISNUMBER(main_original!U15),main_original!U15&gt;10000),AND(ISNUMBER(main_original!U15),main_original!U15&lt;-10000)),main_original!U15/100000000,main_original!U15)</f>
        <v>91.68%</v>
      </c>
      <c r="V15" s="3" t="str">
        <f>IF(OR(AND(ISNUMBER(main_original!V15),main_original!V15&gt;10000),AND(ISNUMBER(main_original!V15),main_original!V15&lt;-10000)),main_original!V15/100000000,main_original!V15)</f>
        <v>92.11%</v>
      </c>
      <c r="W15" s="3" t="str">
        <f>IF(OR(AND(ISNUMBER(main_original!W15),main_original!W15&gt;10000),AND(ISNUMBER(main_original!W15),main_original!W15&lt;-10000)),main_original!W15/100000000,main_original!W15)</f>
        <v>91.90%</v>
      </c>
      <c r="X15" s="3" t="str">
        <f>IF(OR(AND(ISNUMBER(main_original!X15),main_original!X15&gt;10000),AND(ISNUMBER(main_original!X15),main_original!X15&lt;-10000)),main_original!X15/100000000,main_original!X15)</f>
        <v>93.21%</v>
      </c>
      <c r="Y15" s="3" t="str">
        <f>IF(OR(AND(ISNUMBER(main_original!Y15),main_original!Y15&gt;10000),AND(ISNUMBER(main_original!Y15),main_original!Y15&lt;-10000)),main_original!Y15/100000000,main_original!Y15)</f>
        <v>92.44%</v>
      </c>
      <c r="Z15" s="3" t="str">
        <f>IF(OR(AND(ISNUMBER(main_original!Z15),main_original!Z15&gt;10000),AND(ISNUMBER(main_original!Z15),main_original!Z15&lt;-10000)),main_original!Z15/100000000,main_original!Z15)</f>
        <v>91.81%</v>
      </c>
      <c r="AA15" s="3" t="str">
        <f>IF(OR(AND(ISNUMBER(main_original!AA15),main_original!AA15&gt;10000),AND(ISNUMBER(main_original!AA15),main_original!AA15&lt;-10000)),main_original!AA15/100000000,main_original!AA15)</f>
        <v>93.01%</v>
      </c>
      <c r="AB15" s="3" t="str">
        <f>IF(OR(AND(ISNUMBER(main_original!AB15),main_original!AB15&gt;10000),AND(ISNUMBER(main_original!AB15),main_original!AB15&lt;-10000)),main_original!AB15/100000000,main_original!AB15)</f>
        <v>93.20%</v>
      </c>
      <c r="AC15" s="3" t="str">
        <f>IF(OR(AND(ISNUMBER(main_original!AC15),main_original!AC15&gt;10000),AND(ISNUMBER(main_original!AC15),main_original!AC15&lt;-10000)),main_original!AC15/100000000,main_original!AC15)</f>
        <v>91.62%</v>
      </c>
      <c r="AD15" s="3" t="str">
        <f>IF(OR(AND(ISNUMBER(main_original!AD15),main_original!AD15&gt;10000),AND(ISNUMBER(main_original!AD15),main_original!AD15&lt;-10000)),main_original!AD15/100000000,main_original!AD15)</f>
        <v>93.49%</v>
      </c>
      <c r="AE15" s="3" t="str">
        <f>IF(OR(AND(ISNUMBER(main_original!AE15),main_original!AE15&gt;10000),AND(ISNUMBER(main_original!AE15),main_original!AE15&lt;-10000)),main_original!AE15/100000000,main_original!AE15)</f>
        <v>93.52%</v>
      </c>
      <c r="AF15" s="3" t="str">
        <f>IF(OR(AND(ISNUMBER(main_original!AF15),main_original!AF15&gt;10000),AND(ISNUMBER(main_original!AF15),main_original!AF15&lt;-10000)),main_original!AF15/100000000,main_original!AF15)</f>
        <v>93.29%</v>
      </c>
      <c r="AG15" s="3" t="str">
        <f>IF(OR(AND(ISNUMBER(main_original!AG15),main_original!AG15&gt;10000),AND(ISNUMBER(main_original!AG15),main_original!AG15&lt;-10000)),main_original!AG15/100000000,main_original!AG15)</f>
        <v>93.63%</v>
      </c>
      <c r="AH15" s="3" t="str">
        <f>IF(OR(AND(ISNUMBER(main_original!AH15),main_original!AH15&gt;10000),AND(ISNUMBER(main_original!AH15),main_original!AH15&lt;-10000)),main_original!AH15/100000000,main_original!AH15)</f>
        <v>91.46%</v>
      </c>
      <c r="AI15" s="3" t="str">
        <f>IF(OR(AND(ISNUMBER(main_original!AI15),main_original!AI15&gt;10000),AND(ISNUMBER(main_original!AI15),main_original!AI15&lt;-10000)),main_original!AI15/100000000,main_original!AI15)</f>
        <v>92.03%</v>
      </c>
      <c r="AJ15" s="3" t="str">
        <f>IF(OR(AND(ISNUMBER(main_original!AJ15),main_original!AJ15&gt;10000),AND(ISNUMBER(main_original!AJ15),main_original!AJ15&lt;-10000)),main_original!AJ15/100000000,main_original!AJ15)</f>
        <v>91.99%</v>
      </c>
      <c r="AK15" s="3" t="str">
        <f>IF(OR(AND(ISNUMBER(main_original!AK15),main_original!AK15&gt;10000),AND(ISNUMBER(main_original!AK15),main_original!AK15&lt;-10000)),main_original!AK15/100000000,main_original!AK15)</f>
        <v>91.69%</v>
      </c>
      <c r="AL15" s="3" t="str">
        <f>IF(OR(AND(ISNUMBER(main_original!AL15),main_original!AL15&gt;10000),AND(ISNUMBER(main_original!AL15),main_original!AL15&lt;-10000)),main_original!AL15/100000000,main_original!AL15)</f>
        <v>91.86%</v>
      </c>
      <c r="AM15" s="3" t="str">
        <f>IF(OR(AND(ISNUMBER(main_original!AM15),main_original!AM15&gt;10000),AND(ISNUMBER(main_original!AM15),main_original!AM15&lt;-10000)),main_original!AM15/100000000,main_original!AM15)</f>
        <v>91.92%</v>
      </c>
      <c r="AN15" s="3" t="str">
        <f>IF(OR(AND(ISNUMBER(main_original!AN15),main_original!AN15&gt;10000),AND(ISNUMBER(main_original!AN15),main_original!AN15&lt;-10000)),main_original!AN15/100000000,main_original!AN15)</f>
        <v>90.71%</v>
      </c>
      <c r="AO15" s="3" t="str">
        <f>IF(OR(AND(ISNUMBER(main_original!AO15),main_original!AO15&gt;10000),AND(ISNUMBER(main_original!AO15),main_original!AO15&lt;-10000)),main_original!AO15/100000000,main_original!AO15)</f>
        <v>89.95%</v>
      </c>
      <c r="AP15" s="3" t="str">
        <f>IF(OR(AND(ISNUMBER(main_original!AP15),main_original!AP15&gt;10000),AND(ISNUMBER(main_original!AP15),main_original!AP15&lt;-10000)),main_original!AP15/100000000,main_original!AP15)</f>
        <v>90.80%</v>
      </c>
      <c r="AQ15" s="3" t="str">
        <f>IF(OR(AND(ISNUMBER(main_original!AQ15),main_original!AQ15&gt;10000),AND(ISNUMBER(main_original!AQ15),main_original!AQ15&lt;-10000)),main_original!AQ15/100000000,main_original!AQ15)</f>
        <v>92.28%</v>
      </c>
      <c r="AR15" s="3" t="str">
        <f>IF(OR(AND(ISNUMBER(main_original!AR15),main_original!AR15&gt;10000),AND(ISNUMBER(main_original!AR15),main_original!AR15&lt;-10000)),main_original!AR15/100000000,main_original!AR15)</f>
        <v>90.28%</v>
      </c>
      <c r="AS15" s="3" t="str">
        <f>IF(OR(AND(ISNUMBER(main_original!AS15),main_original!AS15&gt;10000),AND(ISNUMBER(main_original!AS15),main_original!AS15&lt;-10000)),main_original!AS15/100000000,main_original!AS15)</f>
        <v>88.86%</v>
      </c>
      <c r="AT15" s="3" t="str">
        <f>IF(OR(AND(ISNUMBER(main_original!AT15),main_original!AT15&gt;10000),AND(ISNUMBER(main_original!AT15),main_original!AT15&lt;-10000)),main_original!AT15/100000000,main_original!AT15)</f>
        <v>90.64%</v>
      </c>
      <c r="AU15" s="3" t="s">
        <v>613</v>
      </c>
      <c r="AV15" s="3" t="s">
        <v>614</v>
      </c>
      <c r="AW15" s="3" t="s">
        <v>615</v>
      </c>
      <c r="AX15" s="3" t="s">
        <v>616</v>
      </c>
      <c r="AY15" s="3" t="s">
        <v>617</v>
      </c>
      <c r="AZ15" s="3" t="s">
        <v>618</v>
      </c>
      <c r="BA15" s="3" t="s">
        <v>619</v>
      </c>
      <c r="BB15" s="3" t="s">
        <v>620</v>
      </c>
      <c r="BC15" s="3" t="s">
        <v>621</v>
      </c>
      <c r="BD15" s="3" t="s">
        <v>622</v>
      </c>
      <c r="BE15" s="3" t="s">
        <v>623</v>
      </c>
      <c r="BF15" s="3" t="s">
        <v>624</v>
      </c>
      <c r="BG15" s="3" t="s">
        <v>625</v>
      </c>
      <c r="BH15" s="3" t="s">
        <v>626</v>
      </c>
      <c r="BI15" s="3" t="s">
        <v>627</v>
      </c>
      <c r="BJ15" s="3" t="s">
        <v>628</v>
      </c>
      <c r="BK15" s="3" t="s">
        <v>629</v>
      </c>
      <c r="BL15" s="3" t="s">
        <v>630</v>
      </c>
      <c r="BM15" s="3" t="s">
        <v>631</v>
      </c>
      <c r="BN15" s="3" t="s">
        <v>632</v>
      </c>
      <c r="BO15" s="3" t="s">
        <v>633</v>
      </c>
      <c r="BP15" s="3" t="s">
        <v>634</v>
      </c>
      <c r="BQ15" s="3" t="s">
        <v>635</v>
      </c>
      <c r="BR15" s="3" t="s">
        <v>636</v>
      </c>
      <c r="BS15" s="3" t="s">
        <v>637</v>
      </c>
      <c r="BT15" s="3" t="s">
        <v>638</v>
      </c>
      <c r="BU15" s="3" t="s">
        <v>639</v>
      </c>
      <c r="BV15" s="3" t="s">
        <v>640</v>
      </c>
      <c r="BW15" s="3" t="s">
        <v>641</v>
      </c>
      <c r="BX15" s="3" t="s">
        <v>642</v>
      </c>
      <c r="BY15" s="3" t="s">
        <v>133</v>
      </c>
      <c r="BZ15" s="3" t="s">
        <v>133</v>
      </c>
      <c r="CA15" s="3" t="s">
        <v>133</v>
      </c>
      <c r="CB15" s="3" t="s">
        <v>133</v>
      </c>
      <c r="CC15" s="3" t="s">
        <v>133</v>
      </c>
    </row>
    <row r="16" spans="1:81" x14ac:dyDescent="0.25">
      <c r="A16" s="3" t="s">
        <v>44</v>
      </c>
      <c r="B16" s="3" t="str">
        <f>IF(OR(AND(ISNUMBER(main_original!B16),main_original!B16&gt;10000),AND(ISNUMBER(main_original!B16),main_original!B16&lt;-10000)),main_original!B16/100000000,main_original!B16)</f>
        <v>7.86%</v>
      </c>
      <c r="C16" s="3" t="str">
        <f>IF(OR(AND(ISNUMBER(main_original!C16),main_original!C16&gt;10000),AND(ISNUMBER(main_original!C16),main_original!C16&lt;-10000)),main_original!C16/100000000,main_original!C16)</f>
        <v>6.16%</v>
      </c>
      <c r="D16" s="3" t="str">
        <f>IF(OR(AND(ISNUMBER(main_original!D16),main_original!D16&gt;10000),AND(ISNUMBER(main_original!D16),main_original!D16&lt;-10000)),main_original!D16/100000000,main_original!D16)</f>
        <v>9.18%</v>
      </c>
      <c r="E16" s="3" t="str">
        <f>IF(OR(AND(ISNUMBER(main_original!E16),main_original!E16&gt;10000),AND(ISNUMBER(main_original!E16),main_original!E16&lt;-10000)),main_original!E16/100000000,main_original!E16)</f>
        <v>8.17%</v>
      </c>
      <c r="F16" s="3" t="str">
        <f>IF(OR(AND(ISNUMBER(main_original!F16),main_original!F16&gt;10000),AND(ISNUMBER(main_original!F16),main_original!F16&lt;-10000)),main_original!F16/100000000,main_original!F16)</f>
        <v>8.71%</v>
      </c>
      <c r="G16" s="3" t="str">
        <f>IF(OR(AND(ISNUMBER(main_original!G16),main_original!G16&gt;10000),AND(ISNUMBER(main_original!G16),main_original!G16&lt;-10000)),main_original!G16/100000000,main_original!G16)</f>
        <v>6.74%</v>
      </c>
      <c r="H16" s="3" t="str">
        <f>IF(OR(AND(ISNUMBER(main_original!H16),main_original!H16&gt;10000),AND(ISNUMBER(main_original!H16),main_original!H16&lt;-10000)),main_original!H16/100000000,main_original!H16)</f>
        <v>9.47%</v>
      </c>
      <c r="I16" s="3" t="str">
        <f>IF(OR(AND(ISNUMBER(main_original!I16),main_original!I16&gt;10000),AND(ISNUMBER(main_original!I16),main_original!I16&lt;-10000)),main_original!I16/100000000,main_original!I16)</f>
        <v>9.53%</v>
      </c>
      <c r="J16" s="3" t="str">
        <f>IF(OR(AND(ISNUMBER(main_original!J16),main_original!J16&gt;10000),AND(ISNUMBER(main_original!J16),main_original!J16&lt;-10000)),main_original!J16/100000000,main_original!J16)</f>
        <v>9.06%</v>
      </c>
      <c r="K16" s="3" t="str">
        <f>IF(OR(AND(ISNUMBER(main_original!K16),main_original!K16&gt;10000),AND(ISNUMBER(main_original!K16),main_original!K16&lt;-10000)),main_original!K16/100000000,main_original!K16)</f>
        <v>6.98%</v>
      </c>
      <c r="L16" s="3" t="str">
        <f>IF(OR(AND(ISNUMBER(main_original!L16),main_original!L16&gt;10000),AND(ISNUMBER(main_original!L16),main_original!L16&lt;-10000)),main_original!L16/100000000,main_original!L16)</f>
        <v>8.89%</v>
      </c>
      <c r="M16" s="3" t="str">
        <f>IF(OR(AND(ISNUMBER(main_original!M16),main_original!M16&gt;10000),AND(ISNUMBER(main_original!M16),main_original!M16&lt;-10000)),main_original!M16/100000000,main_original!M16)</f>
        <v>7.98%</v>
      </c>
      <c r="N16" s="3" t="str">
        <f>IF(OR(AND(ISNUMBER(main_original!N16),main_original!N16&gt;10000),AND(ISNUMBER(main_original!N16),main_original!N16&lt;-10000)),main_original!N16/100000000,main_original!N16)</f>
        <v>10.64%</v>
      </c>
      <c r="O16" s="3" t="str">
        <f>IF(OR(AND(ISNUMBER(main_original!O16),main_original!O16&gt;10000),AND(ISNUMBER(main_original!O16),main_original!O16&lt;-10000)),main_original!O16/100000000,main_original!O16)</f>
        <v>6.27%</v>
      </c>
      <c r="P16" s="3" t="str">
        <f>IF(OR(AND(ISNUMBER(main_original!P16),main_original!P16&gt;10000),AND(ISNUMBER(main_original!P16),main_original!P16&lt;-10000)),main_original!P16/100000000,main_original!P16)</f>
        <v>8.06%</v>
      </c>
      <c r="Q16" s="3" t="str">
        <f>IF(OR(AND(ISNUMBER(main_original!Q16),main_original!Q16&gt;10000),AND(ISNUMBER(main_original!Q16),main_original!Q16&lt;-10000)),main_original!Q16/100000000,main_original!Q16)</f>
        <v>5.99%</v>
      </c>
      <c r="R16" s="3" t="str">
        <f>IF(OR(AND(ISNUMBER(main_original!R16),main_original!R16&gt;10000),AND(ISNUMBER(main_original!R16),main_original!R16&lt;-10000)),main_original!R16/100000000,main_original!R16)</f>
        <v>5.57%</v>
      </c>
      <c r="S16" s="3" t="str">
        <f>IF(OR(AND(ISNUMBER(main_original!S16),main_original!S16&gt;10000),AND(ISNUMBER(main_original!S16),main_original!S16&lt;-10000)),main_original!S16/100000000,main_original!S16)</f>
        <v>5.51%</v>
      </c>
      <c r="T16" s="3" t="str">
        <f>IF(OR(AND(ISNUMBER(main_original!T16),main_original!T16&gt;10000),AND(ISNUMBER(main_original!T16),main_original!T16&lt;-10000)),main_original!T16/100000000,main_original!T16)</f>
        <v>7.37%</v>
      </c>
      <c r="U16" s="3" t="str">
        <f>IF(OR(AND(ISNUMBER(main_original!U16),main_original!U16&gt;10000),AND(ISNUMBER(main_original!U16),main_original!U16&lt;-10000)),main_original!U16/100000000,main_original!U16)</f>
        <v>6.54%</v>
      </c>
      <c r="V16" s="3" t="str">
        <f>IF(OR(AND(ISNUMBER(main_original!V16),main_original!V16&gt;10000),AND(ISNUMBER(main_original!V16),main_original!V16&lt;-10000)),main_original!V16/100000000,main_original!V16)</f>
        <v>5.94%</v>
      </c>
      <c r="W16" s="3" t="str">
        <f>IF(OR(AND(ISNUMBER(main_original!W16),main_original!W16&gt;10000),AND(ISNUMBER(main_original!W16),main_original!W16&lt;-10000)),main_original!W16/100000000,main_original!W16)</f>
        <v>5.90%</v>
      </c>
      <c r="X16" s="3" t="str">
        <f>IF(OR(AND(ISNUMBER(main_original!X16),main_original!X16&gt;10000),AND(ISNUMBER(main_original!X16),main_original!X16&lt;-10000)),main_original!X16/100000000,main_original!X16)</f>
        <v>7.85%</v>
      </c>
      <c r="Y16" s="3" t="str">
        <f>IF(OR(AND(ISNUMBER(main_original!Y16),main_original!Y16&gt;10000),AND(ISNUMBER(main_original!Y16),main_original!Y16&lt;-10000)),main_original!Y16/100000000,main_original!Y16)</f>
        <v>8.94%</v>
      </c>
      <c r="Z16" s="3" t="str">
        <f>IF(OR(AND(ISNUMBER(main_original!Z16),main_original!Z16&gt;10000),AND(ISNUMBER(main_original!Z16),main_original!Z16&lt;-10000)),main_original!Z16/100000000,main_original!Z16)</f>
        <v>7.38%</v>
      </c>
      <c r="AA16" s="3" t="str">
        <f>IF(OR(AND(ISNUMBER(main_original!AA16),main_original!AA16&gt;10000),AND(ISNUMBER(main_original!AA16),main_original!AA16&lt;-10000)),main_original!AA16/100000000,main_original!AA16)</f>
        <v>7.32%</v>
      </c>
      <c r="AB16" s="3" t="str">
        <f>IF(OR(AND(ISNUMBER(main_original!AB16),main_original!AB16&gt;10000),AND(ISNUMBER(main_original!AB16),main_original!AB16&lt;-10000)),main_original!AB16/100000000,main_original!AB16)</f>
        <v>8.32%</v>
      </c>
      <c r="AC16" s="3" t="str">
        <f>IF(OR(AND(ISNUMBER(main_original!AC16),main_original!AC16&gt;10000),AND(ISNUMBER(main_original!AC16),main_original!AC16&lt;-10000)),main_original!AC16/100000000,main_original!AC16)</f>
        <v>9.88%</v>
      </c>
      <c r="AD16" s="3" t="str">
        <f>IF(OR(AND(ISNUMBER(main_original!AD16),main_original!AD16&gt;10000),AND(ISNUMBER(main_original!AD16),main_original!AD16&lt;-10000)),main_original!AD16/100000000,main_original!AD16)</f>
        <v>10.36%</v>
      </c>
      <c r="AE16" s="3" t="str">
        <f>IF(OR(AND(ISNUMBER(main_original!AE16),main_original!AE16&gt;10000),AND(ISNUMBER(main_original!AE16),main_original!AE16&lt;-10000)),main_original!AE16/100000000,main_original!AE16)</f>
        <v>9.19%</v>
      </c>
      <c r="AF16" s="3" t="str">
        <f>IF(OR(AND(ISNUMBER(main_original!AF16),main_original!AF16&gt;10000),AND(ISNUMBER(main_original!AF16),main_original!AF16&lt;-10000)),main_original!AF16/100000000,main_original!AF16)</f>
        <v>10.00%</v>
      </c>
      <c r="AG16" s="3" t="str">
        <f>IF(OR(AND(ISNUMBER(main_original!AG16),main_original!AG16&gt;10000),AND(ISNUMBER(main_original!AG16),main_original!AG16&lt;-10000)),main_original!AG16/100000000,main_original!AG16)</f>
        <v>8.84%</v>
      </c>
      <c r="AH16" s="3" t="str">
        <f>IF(OR(AND(ISNUMBER(main_original!AH16),main_original!AH16&gt;10000),AND(ISNUMBER(main_original!AH16),main_original!AH16&lt;-10000)),main_original!AH16/100000000,main_original!AH16)</f>
        <v>11.60%</v>
      </c>
      <c r="AI16" s="3" t="str">
        <f>IF(OR(AND(ISNUMBER(main_original!AI16),main_original!AI16&gt;10000),AND(ISNUMBER(main_original!AI16),main_original!AI16&lt;-10000)),main_original!AI16/100000000,main_original!AI16)</f>
        <v>13.35%</v>
      </c>
      <c r="AJ16" s="3" t="str">
        <f>IF(OR(AND(ISNUMBER(main_original!AJ16),main_original!AJ16&gt;10000),AND(ISNUMBER(main_original!AJ16),main_original!AJ16&lt;-10000)),main_original!AJ16/100000000,main_original!AJ16)</f>
        <v>11.21%</v>
      </c>
      <c r="AK16" s="3" t="str">
        <f>IF(OR(AND(ISNUMBER(main_original!AK16),main_original!AK16&gt;10000),AND(ISNUMBER(main_original!AK16),main_original!AK16&lt;-10000)),main_original!AK16/100000000,main_original!AK16)</f>
        <v>9.05%</v>
      </c>
      <c r="AL16" s="3" t="str">
        <f>IF(OR(AND(ISNUMBER(main_original!AL16),main_original!AL16&gt;10000),AND(ISNUMBER(main_original!AL16),main_original!AL16&lt;-10000)),main_original!AL16/100000000,main_original!AL16)</f>
        <v>7.81%</v>
      </c>
      <c r="AM16" s="3" t="str">
        <f>IF(OR(AND(ISNUMBER(main_original!AM16),main_original!AM16&gt;10000),AND(ISNUMBER(main_original!AM16),main_original!AM16&lt;-10000)),main_original!AM16/100000000,main_original!AM16)</f>
        <v>13.79%</v>
      </c>
      <c r="AN16" s="3" t="str">
        <f>IF(OR(AND(ISNUMBER(main_original!AN16),main_original!AN16&gt;10000),AND(ISNUMBER(main_original!AN16),main_original!AN16&lt;-10000)),main_original!AN16/100000000,main_original!AN16)</f>
        <v>9.74%</v>
      </c>
      <c r="AO16" s="3" t="str">
        <f>IF(OR(AND(ISNUMBER(main_original!AO16),main_original!AO16&gt;10000),AND(ISNUMBER(main_original!AO16),main_original!AO16&lt;-10000)),main_original!AO16/100000000,main_original!AO16)</f>
        <v>4.91%</v>
      </c>
      <c r="AP16" s="3" t="str">
        <f>IF(OR(AND(ISNUMBER(main_original!AP16),main_original!AP16&gt;10000),AND(ISNUMBER(main_original!AP16),main_original!AP16&lt;-10000)),main_original!AP16/100000000,main_original!AP16)</f>
        <v>6.42%</v>
      </c>
      <c r="AQ16" s="3" t="str">
        <f>IF(OR(AND(ISNUMBER(main_original!AQ16),main_original!AQ16&gt;10000),AND(ISNUMBER(main_original!AQ16),main_original!AQ16&lt;-10000)),main_original!AQ16/100000000,main_original!AQ16)</f>
        <v>11.20%</v>
      </c>
      <c r="AR16" s="3" t="str">
        <f>IF(OR(AND(ISNUMBER(main_original!AR16),main_original!AR16&gt;10000),AND(ISNUMBER(main_original!AR16),main_original!AR16&lt;-10000)),main_original!AR16/100000000,main_original!AR16)</f>
        <v>8.38%</v>
      </c>
      <c r="AS16" s="3" t="str">
        <f>IF(OR(AND(ISNUMBER(main_original!AS16),main_original!AS16&gt;10000),AND(ISNUMBER(main_original!AS16),main_original!AS16&lt;-10000)),main_original!AS16/100000000,main_original!AS16)</f>
        <v>33.55%</v>
      </c>
      <c r="AT16" s="3" t="str">
        <f>IF(OR(AND(ISNUMBER(main_original!AT16),main_original!AT16&gt;10000),AND(ISNUMBER(main_original!AT16),main_original!AT16&lt;-10000)),main_original!AT16/100000000,main_original!AT16)</f>
        <v>-22.08%</v>
      </c>
      <c r="AU16" s="3" t="s">
        <v>688</v>
      </c>
      <c r="AV16" s="3" t="s">
        <v>689</v>
      </c>
      <c r="AW16" s="3" t="s">
        <v>690</v>
      </c>
      <c r="AX16" s="3" t="s">
        <v>691</v>
      </c>
      <c r="AY16" s="3" t="s">
        <v>133</v>
      </c>
      <c r="AZ16" s="3" t="s">
        <v>133</v>
      </c>
      <c r="BA16" s="3" t="s">
        <v>133</v>
      </c>
      <c r="BB16" s="3" t="s">
        <v>133</v>
      </c>
      <c r="BC16" s="3" t="s">
        <v>133</v>
      </c>
      <c r="BD16" s="3" t="s">
        <v>133</v>
      </c>
      <c r="BE16" s="3" t="s">
        <v>133</v>
      </c>
      <c r="BF16" s="3" t="s">
        <v>133</v>
      </c>
      <c r="BG16" s="3" t="s">
        <v>133</v>
      </c>
      <c r="BH16" s="3" t="s">
        <v>133</v>
      </c>
      <c r="BI16" s="3" t="s">
        <v>133</v>
      </c>
      <c r="BJ16" s="3" t="s">
        <v>133</v>
      </c>
      <c r="BK16" s="3" t="s">
        <v>133</v>
      </c>
      <c r="BL16" s="3" t="s">
        <v>133</v>
      </c>
      <c r="BM16" s="3" t="s">
        <v>133</v>
      </c>
      <c r="BN16" s="3" t="s">
        <v>133</v>
      </c>
      <c r="BO16" s="3" t="s">
        <v>133</v>
      </c>
      <c r="BP16" s="3" t="s">
        <v>133</v>
      </c>
      <c r="BQ16" s="3" t="s">
        <v>133</v>
      </c>
      <c r="BR16" s="3" t="s">
        <v>133</v>
      </c>
      <c r="BS16" s="3" t="s">
        <v>133</v>
      </c>
      <c r="BT16" s="3" t="s">
        <v>133</v>
      </c>
      <c r="BU16" s="3" t="s">
        <v>133</v>
      </c>
      <c r="BV16" s="3" t="s">
        <v>133</v>
      </c>
      <c r="BW16" s="3" t="s">
        <v>133</v>
      </c>
      <c r="BX16" s="3" t="s">
        <v>133</v>
      </c>
      <c r="BY16" s="3" t="s">
        <v>133</v>
      </c>
      <c r="BZ16" s="3" t="s">
        <v>133</v>
      </c>
      <c r="CA16" s="3" t="s">
        <v>133</v>
      </c>
      <c r="CB16" s="3" t="s">
        <v>133</v>
      </c>
      <c r="CC16" s="3" t="s">
        <v>133</v>
      </c>
    </row>
    <row r="17" spans="1:81" x14ac:dyDescent="0.25">
      <c r="A17" s="3" t="s">
        <v>692</v>
      </c>
      <c r="B17" s="3" t="str">
        <f>IF(OR(AND(ISNUMBER(main_original!B17),main_original!B17&gt;10000),AND(ISNUMBER(main_original!B17),main_original!B17&lt;-10000)),main_original!B17/100000000,main_original!B17)</f>
        <v>6.32%</v>
      </c>
      <c r="C17" s="3" t="str">
        <f>IF(OR(AND(ISNUMBER(main_original!C17),main_original!C17&gt;10000),AND(ISNUMBER(main_original!C17),main_original!C17&lt;-10000)),main_original!C17/100000000,main_original!C17)</f>
        <v>7.69%</v>
      </c>
      <c r="D17" s="3" t="str">
        <f>IF(OR(AND(ISNUMBER(main_original!D17),main_original!D17&gt;10000),AND(ISNUMBER(main_original!D17),main_original!D17&lt;-10000)),main_original!D17/100000000,main_original!D17)</f>
        <v>8.78%</v>
      </c>
      <c r="E17" s="3" t="str">
        <f>IF(OR(AND(ISNUMBER(main_original!E17),main_original!E17&gt;10000),AND(ISNUMBER(main_original!E17),main_original!E17&lt;-10000)),main_original!E17/100000000,main_original!E17)</f>
        <v>5.98%</v>
      </c>
      <c r="F17" s="3" t="str">
        <f>IF(OR(AND(ISNUMBER(main_original!F17),main_original!F17&gt;10000),AND(ISNUMBER(main_original!F17),main_original!F17&lt;-10000)),main_original!F17/100000000,main_original!F17)</f>
        <v>6.93%</v>
      </c>
      <c r="G17" s="3" t="str">
        <f>IF(OR(AND(ISNUMBER(main_original!G17),main_original!G17&gt;10000),AND(ISNUMBER(main_original!G17),main_original!G17&lt;-10000)),main_original!G17/100000000,main_original!G17)</f>
        <v>8.34%</v>
      </c>
      <c r="H17" s="3" t="str">
        <f>IF(OR(AND(ISNUMBER(main_original!H17),main_original!H17&gt;10000),AND(ISNUMBER(main_original!H17),main_original!H17&lt;-10000)),main_original!H17/100000000,main_original!H17)</f>
        <v>9.05%</v>
      </c>
      <c r="I17" s="3" t="str">
        <f>IF(OR(AND(ISNUMBER(main_original!I17),main_original!I17&gt;10000),AND(ISNUMBER(main_original!I17),main_original!I17&lt;-10000)),main_original!I17/100000000,main_original!I17)</f>
        <v>7.04%</v>
      </c>
      <c r="J17" s="3" t="str">
        <f>IF(OR(AND(ISNUMBER(main_original!J17),main_original!J17&gt;10000),AND(ISNUMBER(main_original!J17),main_original!J17&lt;-10000)),main_original!J17/100000000,main_original!J17)</f>
        <v>7.28%</v>
      </c>
      <c r="K17" s="3" t="str">
        <f>IF(OR(AND(ISNUMBER(main_original!K17),main_original!K17&gt;10000),AND(ISNUMBER(main_original!K17),main_original!K17&lt;-10000)),main_original!K17/100000000,main_original!K17)</f>
        <v>8.37%</v>
      </c>
      <c r="L17" s="3" t="str">
        <f>IF(OR(AND(ISNUMBER(main_original!L17),main_original!L17&gt;10000),AND(ISNUMBER(main_original!L17),main_original!L17&lt;-10000)),main_original!L17/100000000,main_original!L17)</f>
        <v>8.51%</v>
      </c>
      <c r="M17" s="3" t="str">
        <f>IF(OR(AND(ISNUMBER(main_original!M17),main_original!M17&gt;10000),AND(ISNUMBER(main_original!M17),main_original!M17&lt;-10000)),main_original!M17/100000000,main_original!M17)</f>
        <v>5.92%</v>
      </c>
      <c r="N17" s="3" t="str">
        <f>IF(OR(AND(ISNUMBER(main_original!N17),main_original!N17&gt;10000),AND(ISNUMBER(main_original!N17),main_original!N17&lt;-10000)),main_original!N17/100000000,main_original!N17)</f>
        <v>8.81%</v>
      </c>
      <c r="O17" s="3" t="str">
        <f>IF(OR(AND(ISNUMBER(main_original!O17),main_original!O17&gt;10000),AND(ISNUMBER(main_original!O17),main_original!O17&lt;-10000)),main_original!O17/100000000,main_original!O17)</f>
        <v>7.13%</v>
      </c>
      <c r="P17" s="3" t="str">
        <f>IF(OR(AND(ISNUMBER(main_original!P17),main_original!P17&gt;10000),AND(ISNUMBER(main_original!P17),main_original!P17&lt;-10000)),main_original!P17/100000000,main_original!P17)</f>
        <v>7.75%</v>
      </c>
      <c r="Q17" s="3" t="str">
        <f>IF(OR(AND(ISNUMBER(main_original!Q17),main_original!Q17&gt;10000),AND(ISNUMBER(main_original!Q17),main_original!Q17&lt;-10000)),main_original!Q17/100000000,main_original!Q17)</f>
        <v>4.78%</v>
      </c>
      <c r="R17" s="3" t="str">
        <f>IF(OR(AND(ISNUMBER(main_original!R17),main_original!R17&gt;10000),AND(ISNUMBER(main_original!R17),main_original!R17&lt;-10000)),main_original!R17/100000000,main_original!R17)</f>
        <v>4.61%</v>
      </c>
      <c r="S17" s="3" t="str">
        <f>IF(OR(AND(ISNUMBER(main_original!S17),main_original!S17&gt;10000),AND(ISNUMBER(main_original!S17),main_original!S17&lt;-10000)),main_original!S17/100000000,main_original!S17)</f>
        <v>6.44%</v>
      </c>
      <c r="T17" s="3" t="str">
        <f>IF(OR(AND(ISNUMBER(main_original!T17),main_original!T17&gt;10000),AND(ISNUMBER(main_original!T17),main_original!T17&lt;-10000)),main_original!T17/100000000,main_original!T17)</f>
        <v>7.10%</v>
      </c>
      <c r="U17" s="3" t="str">
        <f>IF(OR(AND(ISNUMBER(main_original!U17),main_original!U17&gt;10000),AND(ISNUMBER(main_original!U17),main_original!U17&lt;-10000)),main_original!U17/100000000,main_original!U17)</f>
        <v>5.16%</v>
      </c>
      <c r="V17" s="3" t="str">
        <f>IF(OR(AND(ISNUMBER(main_original!V17),main_original!V17&gt;10000),AND(ISNUMBER(main_original!V17),main_original!V17&lt;-10000)),main_original!V17/100000000,main_original!V17)</f>
        <v>6.22%</v>
      </c>
      <c r="W17" s="3" t="str">
        <f>IF(OR(AND(ISNUMBER(main_original!W17),main_original!W17&gt;10000),AND(ISNUMBER(main_original!W17),main_original!W17&lt;-10000)),main_original!W17/100000000,main_original!W17)</f>
        <v>5.31%</v>
      </c>
      <c r="X17" s="3" t="str">
        <f>IF(OR(AND(ISNUMBER(main_original!X17),main_original!X17&gt;10000),AND(ISNUMBER(main_original!X17),main_original!X17&lt;-10000)),main_original!X17/100000000,main_original!X17)</f>
        <v>7.55%</v>
      </c>
      <c r="Y17" s="3" t="str">
        <f>IF(OR(AND(ISNUMBER(main_original!Y17),main_original!Y17&gt;10000),AND(ISNUMBER(main_original!Y17),main_original!Y17&lt;-10000)),main_original!Y17/100000000,main_original!Y17)</f>
        <v>6.79%</v>
      </c>
      <c r="Z17" s="3" t="str">
        <f>IF(OR(AND(ISNUMBER(main_original!Z17),main_original!Z17&gt;10000),AND(ISNUMBER(main_original!Z17),main_original!Z17&lt;-10000)),main_original!Z17/100000000,main_original!Z17)</f>
        <v>5.97%</v>
      </c>
      <c r="AA17" s="3" t="str">
        <f>IF(OR(AND(ISNUMBER(main_original!AA17),main_original!AA17&gt;10000),AND(ISNUMBER(main_original!AA17),main_original!AA17&lt;-10000)),main_original!AA17/100000000,main_original!AA17)</f>
        <v>7.98%</v>
      </c>
      <c r="AB17" s="3" t="str">
        <f>IF(OR(AND(ISNUMBER(main_original!AB17),main_original!AB17&gt;10000),AND(ISNUMBER(main_original!AB17),main_original!AB17&lt;-10000)),main_original!AB17/100000000,main_original!AB17)</f>
        <v>7.99%</v>
      </c>
      <c r="AC17" s="3" t="str">
        <f>IF(OR(AND(ISNUMBER(main_original!AC17),main_original!AC17&gt;10000),AND(ISNUMBER(main_original!AC17),main_original!AC17&lt;-10000)),main_original!AC17/100000000,main_original!AC17)</f>
        <v>6.80%</v>
      </c>
      <c r="AD17" s="3" t="str">
        <f>IF(OR(AND(ISNUMBER(main_original!AD17),main_original!AD17&gt;10000),AND(ISNUMBER(main_original!AD17),main_original!AD17&lt;-10000)),main_original!AD17/100000000,main_original!AD17)</f>
        <v>7.85%</v>
      </c>
      <c r="AE17" s="3" t="str">
        <f>IF(OR(AND(ISNUMBER(main_original!AE17),main_original!AE17&gt;10000),AND(ISNUMBER(main_original!AE17),main_original!AE17&lt;-10000)),main_original!AE17/100000000,main_original!AE17)</f>
        <v>11.35%</v>
      </c>
      <c r="AF17" s="3" t="str">
        <f>IF(OR(AND(ISNUMBER(main_original!AF17),main_original!AF17&gt;10000),AND(ISNUMBER(main_original!AF17),main_original!AF17&lt;-10000)),main_original!AF17/100000000,main_original!AF17)</f>
        <v>9.52%</v>
      </c>
      <c r="AG17" s="3" t="str">
        <f>IF(OR(AND(ISNUMBER(main_original!AG17),main_original!AG17&gt;10000),AND(ISNUMBER(main_original!AG17),main_original!AG17&lt;-10000)),main_original!AG17/100000000,main_original!AG17)</f>
        <v>5.64%</v>
      </c>
      <c r="AH17" s="3" t="str">
        <f>IF(OR(AND(ISNUMBER(main_original!AH17),main_original!AH17&gt;10000),AND(ISNUMBER(main_original!AH17),main_original!AH17&lt;-10000)),main_original!AH17/100000000,main_original!AH17)</f>
        <v>8.20%</v>
      </c>
      <c r="AI17" s="3" t="str">
        <f>IF(OR(AND(ISNUMBER(main_original!AI17),main_original!AI17&gt;10000),AND(ISNUMBER(main_original!AI17),main_original!AI17&lt;-10000)),main_original!AI17/100000000,main_original!AI17)</f>
        <v>14.51%</v>
      </c>
      <c r="AJ17" s="3" t="str">
        <f>IF(OR(AND(ISNUMBER(main_original!AJ17),main_original!AJ17&gt;10000),AND(ISNUMBER(main_original!AJ17),main_original!AJ17&lt;-10000)),main_original!AJ17/100000000,main_original!AJ17)</f>
        <v>10.62%</v>
      </c>
      <c r="AK17" s="3" t="str">
        <f>IF(OR(AND(ISNUMBER(main_original!AK17),main_original!AK17&gt;10000),AND(ISNUMBER(main_original!AK17),main_original!AK17&lt;-10000)),main_original!AK17/100000000,main_original!AK17)</f>
        <v>6.25%</v>
      </c>
      <c r="AL17" s="3" t="str">
        <f>IF(OR(AND(ISNUMBER(main_original!AL17),main_original!AL17&gt;10000),AND(ISNUMBER(main_original!AL17),main_original!AL17&lt;-10000)),main_original!AL17/100000000,main_original!AL17)</f>
        <v>5.60%</v>
      </c>
      <c r="AM17" s="3" t="str">
        <f>IF(OR(AND(ISNUMBER(main_original!AM17),main_original!AM17&gt;10000),AND(ISNUMBER(main_original!AM17),main_original!AM17&lt;-10000)),main_original!AM17/100000000,main_original!AM17)</f>
        <v>13.93%</v>
      </c>
      <c r="AN17" s="3" t="str">
        <f>IF(OR(AND(ISNUMBER(main_original!AN17),main_original!AN17&gt;10000),AND(ISNUMBER(main_original!AN17),main_original!AN17&lt;-10000)),main_original!AN17/100000000,main_original!AN17)</f>
        <v>9.29%</v>
      </c>
      <c r="AO17" s="3" t="str">
        <f>IF(OR(AND(ISNUMBER(main_original!AO17),main_original!AO17&gt;10000),AND(ISNUMBER(main_original!AO17),main_original!AO17&lt;-10000)),main_original!AO17/100000000,main_original!AO17)</f>
        <v>3.63%</v>
      </c>
      <c r="AP17" s="3" t="str">
        <f>IF(OR(AND(ISNUMBER(main_original!AP17),main_original!AP17&gt;10000),AND(ISNUMBER(main_original!AP17),main_original!AP17&lt;-10000)),main_original!AP17/100000000,main_original!AP17)</f>
        <v>4.98%</v>
      </c>
      <c r="AQ17" s="3" t="str">
        <f>IF(OR(AND(ISNUMBER(main_original!AQ17),main_original!AQ17&gt;10000),AND(ISNUMBER(main_original!AQ17),main_original!AQ17&lt;-10000)),main_original!AQ17/100000000,main_original!AQ17)</f>
        <v>10.80%</v>
      </c>
      <c r="AR17" s="3" t="str">
        <f>IF(OR(AND(ISNUMBER(main_original!AR17),main_original!AR17&gt;10000),AND(ISNUMBER(main_original!AR17),main_original!AR17&lt;-10000)),main_original!AR17/100000000,main_original!AR17)</f>
        <v>8.05%</v>
      </c>
      <c r="AS17" s="3" t="str">
        <f>IF(OR(AND(ISNUMBER(main_original!AS17),main_original!AS17&gt;10000),AND(ISNUMBER(main_original!AS17),main_original!AS17&lt;-10000)),main_original!AS17/100000000,main_original!AS17)</f>
        <v>2.64%</v>
      </c>
      <c r="AT17" s="3" t="str">
        <f>IF(OR(AND(ISNUMBER(main_original!AT17),main_original!AT17&gt;10000),AND(ISNUMBER(main_original!AT17),main_original!AT17&lt;-10000)),main_original!AT17/100000000,main_original!AT17)</f>
        <v>5.61%</v>
      </c>
      <c r="AU17" s="3" t="s">
        <v>734</v>
      </c>
      <c r="AV17" s="3" t="s">
        <v>735</v>
      </c>
      <c r="AW17" s="3" t="s">
        <v>736</v>
      </c>
      <c r="AX17" s="3" t="s">
        <v>737</v>
      </c>
      <c r="AY17" s="3" t="s">
        <v>738</v>
      </c>
      <c r="AZ17" s="3" t="s">
        <v>739</v>
      </c>
      <c r="BA17" s="3" t="s">
        <v>740</v>
      </c>
      <c r="BB17" s="3" t="s">
        <v>727</v>
      </c>
      <c r="BC17" s="3" t="s">
        <v>741</v>
      </c>
      <c r="BD17" s="3" t="s">
        <v>742</v>
      </c>
      <c r="BE17" s="3" t="s">
        <v>743</v>
      </c>
      <c r="BF17" s="3" t="s">
        <v>744</v>
      </c>
      <c r="BG17" s="3" t="s">
        <v>745</v>
      </c>
      <c r="BH17" s="3" t="s">
        <v>746</v>
      </c>
      <c r="BI17" s="3" t="s">
        <v>747</v>
      </c>
      <c r="BJ17" s="3" t="s">
        <v>748</v>
      </c>
      <c r="BK17" s="3" t="s">
        <v>485</v>
      </c>
      <c r="BL17" s="3" t="s">
        <v>749</v>
      </c>
      <c r="BM17" s="3" t="s">
        <v>750</v>
      </c>
      <c r="BN17" s="3" t="s">
        <v>751</v>
      </c>
      <c r="BO17" s="3" t="s">
        <v>752</v>
      </c>
      <c r="BP17" s="3" t="s">
        <v>753</v>
      </c>
      <c r="BQ17" s="3" t="s">
        <v>754</v>
      </c>
      <c r="BR17" s="3" t="s">
        <v>755</v>
      </c>
      <c r="BS17" s="3" t="s">
        <v>756</v>
      </c>
      <c r="BT17" s="3" t="s">
        <v>757</v>
      </c>
      <c r="BU17" s="3" t="s">
        <v>758</v>
      </c>
      <c r="BV17" s="3" t="s">
        <v>759</v>
      </c>
      <c r="BW17" s="3" t="s">
        <v>760</v>
      </c>
      <c r="BX17" s="3" t="s">
        <v>761</v>
      </c>
      <c r="BY17" s="3" t="s">
        <v>133</v>
      </c>
      <c r="BZ17" s="3" t="s">
        <v>133</v>
      </c>
      <c r="CA17" s="3" t="s">
        <v>133</v>
      </c>
      <c r="CB17" s="3" t="s">
        <v>133</v>
      </c>
      <c r="CC17" s="3" t="s">
        <v>133</v>
      </c>
    </row>
    <row r="18" spans="1:81" x14ac:dyDescent="0.25">
      <c r="A18" s="3" t="s">
        <v>762</v>
      </c>
      <c r="B18" s="3">
        <f>IF(OR(AND(ISNUMBER(main_original!B18),main_original!B18&gt;10000),AND(ISNUMBER(main_original!B18),main_original!B18&lt;-10000)),main_original!B18/100000000,main_original!B18)</f>
        <v>1210.22</v>
      </c>
      <c r="C18" s="3">
        <f>IF(OR(AND(ISNUMBER(main_original!C18),main_original!C18&gt;10000),AND(ISNUMBER(main_original!C18),main_original!C18&lt;-10000)),main_original!C18/100000000,main_original!C18)</f>
        <v>1237.1099999999999</v>
      </c>
      <c r="D18" s="3">
        <f>IF(OR(AND(ISNUMBER(main_original!D18),main_original!D18&gt;10000),AND(ISNUMBER(main_original!D18),main_original!D18&lt;-10000)),main_original!D18/100000000,main_original!D18)</f>
        <v>1119.4000000000001</v>
      </c>
      <c r="E18" s="3">
        <f>IF(OR(AND(ISNUMBER(main_original!E18),main_original!E18&gt;10000),AND(ISNUMBER(main_original!E18),main_original!E18&lt;-10000)),main_original!E18/100000000,main_original!E18)</f>
        <v>1181.8800000000001</v>
      </c>
      <c r="F18" s="3">
        <f>IF(OR(AND(ISNUMBER(main_original!F18),main_original!F18&gt;10000),AND(ISNUMBER(main_original!F18),main_original!F18&lt;-10000)),main_original!F18/100000000,main_original!F18)</f>
        <v>1230.07</v>
      </c>
      <c r="G18" s="3">
        <f>IF(OR(AND(ISNUMBER(main_original!G18),main_original!G18&gt;10000),AND(ISNUMBER(main_original!G18),main_original!G18&lt;-10000)),main_original!G18/100000000,main_original!G18)</f>
        <v>1331.36</v>
      </c>
      <c r="H18" s="3">
        <f>IF(OR(AND(ISNUMBER(main_original!H18),main_original!H18&gt;10000),AND(ISNUMBER(main_original!H18),main_original!H18&lt;-10000)),main_original!H18/100000000,main_original!H18)</f>
        <v>1253.48</v>
      </c>
      <c r="I18" s="3">
        <f>IF(OR(AND(ISNUMBER(main_original!I18),main_original!I18&gt;10000),AND(ISNUMBER(main_original!I18),main_original!I18&lt;-10000)),main_original!I18/100000000,main_original!I18)</f>
        <v>1257.42</v>
      </c>
      <c r="J18" s="3">
        <f>IF(OR(AND(ISNUMBER(main_original!J18),main_original!J18&gt;10000),AND(ISNUMBER(main_original!J18),main_original!J18&lt;-10000)),main_original!J18/100000000,main_original!J18)</f>
        <v>1278.4100000000001</v>
      </c>
      <c r="K18" s="3">
        <f>IF(OR(AND(ISNUMBER(main_original!K18),main_original!K18&gt;10000),AND(ISNUMBER(main_original!K18),main_original!K18&lt;-10000)),main_original!K18/100000000,main_original!K18)</f>
        <v>1312.91</v>
      </c>
      <c r="L18" s="3">
        <f>IF(OR(AND(ISNUMBER(main_original!L18),main_original!L18&gt;10000),AND(ISNUMBER(main_original!L18),main_original!L18&lt;-10000)),main_original!L18/100000000,main_original!L18)</f>
        <v>1306.24</v>
      </c>
      <c r="M18" s="3">
        <f>IF(OR(AND(ISNUMBER(main_original!M18),main_original!M18&gt;10000),AND(ISNUMBER(main_original!M18),main_original!M18&lt;-10000)),main_original!M18/100000000,main_original!M18)</f>
        <v>1293.0999999999999</v>
      </c>
      <c r="N18" s="3">
        <f>IF(OR(AND(ISNUMBER(main_original!N18),main_original!N18&gt;10000),AND(ISNUMBER(main_original!N18),main_original!N18&lt;-10000)),main_original!N18/100000000,main_original!N18)</f>
        <v>1310.68</v>
      </c>
      <c r="O18" s="3">
        <f>IF(OR(AND(ISNUMBER(main_original!O18),main_original!O18&gt;10000),AND(ISNUMBER(main_original!O18),main_original!O18&lt;-10000)),main_original!O18/100000000,main_original!O18)</f>
        <v>1486.37</v>
      </c>
      <c r="P18" s="3">
        <f>IF(OR(AND(ISNUMBER(main_original!P18),main_original!P18&gt;10000),AND(ISNUMBER(main_original!P18),main_original!P18&lt;-10000)),main_original!P18/100000000,main_original!P18)</f>
        <v>1581.72</v>
      </c>
      <c r="Q18" s="3">
        <f>IF(OR(AND(ISNUMBER(main_original!Q18),main_original!Q18&gt;10000),AND(ISNUMBER(main_original!Q18),main_original!Q18&lt;-10000)),main_original!Q18/100000000,main_original!Q18)</f>
        <v>2039.66</v>
      </c>
      <c r="R18" s="3">
        <f>IF(OR(AND(ISNUMBER(main_original!R18),main_original!R18&gt;10000),AND(ISNUMBER(main_original!R18),main_original!R18&lt;-10000)),main_original!R18/100000000,main_original!R18)</f>
        <v>2231.4499999999998</v>
      </c>
      <c r="S18" s="3">
        <f>IF(OR(AND(ISNUMBER(main_original!S18),main_original!S18&gt;10000),AND(ISNUMBER(main_original!S18),main_original!S18&lt;-10000)),main_original!S18/100000000,main_original!S18)</f>
        <v>2224.98</v>
      </c>
      <c r="T18" s="3">
        <f>IF(OR(AND(ISNUMBER(main_original!T18),main_original!T18&gt;10000),AND(ISNUMBER(main_original!T18),main_original!T18&lt;-10000)),main_original!T18/100000000,main_original!T18)</f>
        <v>2147.9699999999998</v>
      </c>
      <c r="U18" s="3">
        <f>IF(OR(AND(ISNUMBER(main_original!U18),main_original!U18&gt;10000),AND(ISNUMBER(main_original!U18),main_original!U18&lt;-10000)),main_original!U18/100000000,main_original!U18)</f>
        <v>2339.21</v>
      </c>
      <c r="V18" s="3">
        <f>IF(OR(AND(ISNUMBER(main_original!V18),main_original!V18&gt;10000),AND(ISNUMBER(main_original!V18),main_original!V18&lt;-10000)),main_original!V18/100000000,main_original!V18)</f>
        <v>2423.75</v>
      </c>
      <c r="W18" s="3">
        <f>IF(OR(AND(ISNUMBER(main_original!W18),main_original!W18&gt;10000),AND(ISNUMBER(main_original!W18),main_original!W18&lt;-10000)),main_original!W18/100000000,main_original!W18)</f>
        <v>2412.9</v>
      </c>
      <c r="X18" s="3">
        <f>IF(OR(AND(ISNUMBER(main_original!X18),main_original!X18&gt;10000),AND(ISNUMBER(main_original!X18),main_original!X18&lt;-10000)),main_original!X18/100000000,main_original!X18)</f>
        <v>2374.6999999999998</v>
      </c>
      <c r="Y18" s="3">
        <f>IF(OR(AND(ISNUMBER(main_original!Y18),main_original!Y18&gt;10000),AND(ISNUMBER(main_original!Y18),main_original!Y18&lt;-10000)),main_original!Y18/100000000,main_original!Y18)</f>
        <v>2064.25</v>
      </c>
      <c r="Z18" s="3">
        <f>IF(OR(AND(ISNUMBER(main_original!Z18),main_original!Z18&gt;10000),AND(ISNUMBER(main_original!Z18),main_original!Z18&lt;-10000)),main_original!Z18/100000000,main_original!Z18)</f>
        <v>2142.88</v>
      </c>
      <c r="AA18" s="3">
        <f>IF(OR(AND(ISNUMBER(main_original!AA18),main_original!AA18&gt;10000),AND(ISNUMBER(main_original!AA18),main_original!AA18&lt;-10000)),main_original!AA18/100000000,main_original!AA18)</f>
        <v>2284.2800000000002</v>
      </c>
      <c r="AB18" s="3">
        <f>IF(OR(AND(ISNUMBER(main_original!AB18),main_original!AB18&gt;10000),AND(ISNUMBER(main_original!AB18),main_original!AB18&lt;-10000)),main_original!AB18/100000000,main_original!AB18)</f>
        <v>2179.1999999999998</v>
      </c>
      <c r="AC18" s="3">
        <f>IF(OR(AND(ISNUMBER(main_original!AC18),main_original!AC18&gt;10000),AND(ISNUMBER(main_original!AC18),main_original!AC18&lt;-10000)),main_original!AC18/100000000,main_original!AC18)</f>
        <v>1763.95</v>
      </c>
      <c r="AD18" s="3">
        <f>IF(OR(AND(ISNUMBER(main_original!AD18),main_original!AD18&gt;10000),AND(ISNUMBER(main_original!AD18),main_original!AD18&lt;-10000)),main_original!AD18/100000000,main_original!AD18)</f>
        <v>1906.9</v>
      </c>
      <c r="AE18" s="3">
        <f>IF(OR(AND(ISNUMBER(main_original!AE18),main_original!AE18&gt;10000),AND(ISNUMBER(main_original!AE18),main_original!AE18&lt;-10000)),main_original!AE18/100000000,main_original!AE18)</f>
        <v>1931.45</v>
      </c>
      <c r="AF18" s="3">
        <f>IF(OR(AND(ISNUMBER(main_original!AF18),main_original!AF18&gt;10000),AND(ISNUMBER(main_original!AF18),main_original!AF18&lt;-10000)),main_original!AF18/100000000,main_original!AF18)</f>
        <v>1848.17</v>
      </c>
      <c r="AG18" s="3">
        <f>IF(OR(AND(ISNUMBER(main_original!AG18),main_original!AG18&gt;10000),AND(ISNUMBER(main_original!AG18),main_original!AG18&lt;-10000)),main_original!AG18/100000000,main_original!AG18)</f>
        <v>1484.06</v>
      </c>
      <c r="AH18" s="3">
        <f>IF(OR(AND(ISNUMBER(main_original!AH18),main_original!AH18&gt;10000),AND(ISNUMBER(main_original!AH18),main_original!AH18&lt;-10000)),main_original!AH18/100000000,main_original!AH18)</f>
        <v>1249.45</v>
      </c>
      <c r="AI18" s="3">
        <f>IF(OR(AND(ISNUMBER(main_original!AI18),main_original!AI18&gt;10000),AND(ISNUMBER(main_original!AI18),main_original!AI18&lt;-10000)),main_original!AI18/100000000,main_original!AI18)</f>
        <v>1270.32</v>
      </c>
      <c r="AJ18" s="3">
        <f>IF(OR(AND(ISNUMBER(main_original!AJ18),main_original!AJ18&gt;10000),AND(ISNUMBER(main_original!AJ18),main_original!AJ18&lt;-10000)),main_original!AJ18/100000000,main_original!AJ18)</f>
        <v>1378.29</v>
      </c>
      <c r="AK18" s="3">
        <f>IF(OR(AND(ISNUMBER(main_original!AK18),main_original!AK18&gt;10000),AND(ISNUMBER(main_original!AK18),main_original!AK18&lt;-10000)),main_original!AK18/100000000,main_original!AK18)</f>
        <v>1480.91</v>
      </c>
      <c r="AL18" s="3">
        <f>IF(OR(AND(ISNUMBER(main_original!AL18),main_original!AL18&gt;10000),AND(ISNUMBER(main_original!AL18),main_original!AL18&lt;-10000)),main_original!AL18/100000000,main_original!AL18)</f>
        <v>1378.99</v>
      </c>
      <c r="AM18" s="3">
        <f>IF(OR(AND(ISNUMBER(main_original!AM18),main_original!AM18&gt;10000),AND(ISNUMBER(main_original!AM18),main_original!AM18&lt;-10000)),main_original!AM18/100000000,main_original!AM18)</f>
        <v>1223.69</v>
      </c>
      <c r="AN18" s="3">
        <f>IF(OR(AND(ISNUMBER(main_original!AN18),main_original!AN18&gt;10000),AND(ISNUMBER(main_original!AN18),main_original!AN18&lt;-10000)),main_original!AN18/100000000,main_original!AN18)</f>
        <v>1310.07</v>
      </c>
      <c r="AO18" s="3">
        <f>IF(OR(AND(ISNUMBER(main_original!AO18),main_original!AO18&gt;10000),AND(ISNUMBER(main_original!AO18),main_original!AO18&lt;-10000)),main_original!AO18/100000000,main_original!AO18)</f>
        <v>1670.11</v>
      </c>
      <c r="AP18" s="3">
        <f>IF(OR(AND(ISNUMBER(main_original!AP18),main_original!AP18&gt;10000),AND(ISNUMBER(main_original!AP18),main_original!AP18&lt;-10000)),main_original!AP18/100000000,main_original!AP18)</f>
        <v>1477.74</v>
      </c>
      <c r="AQ18" s="3">
        <f>IF(OR(AND(ISNUMBER(main_original!AQ18),main_original!AQ18&gt;10000),AND(ISNUMBER(main_original!AQ18),main_original!AQ18&lt;-10000)),main_original!AQ18/100000000,main_original!AQ18)</f>
        <v>1374.73</v>
      </c>
      <c r="AR18" s="3">
        <f>IF(OR(AND(ISNUMBER(main_original!AR18),main_original!AR18&gt;10000),AND(ISNUMBER(main_original!AR18),main_original!AR18&lt;-10000)),main_original!AR18/100000000,main_original!AR18)</f>
        <v>1301.3499999999999</v>
      </c>
      <c r="AS18" s="3">
        <f>IF(OR(AND(ISNUMBER(main_original!AS18),main_original!AS18&gt;10000),AND(ISNUMBER(main_original!AS18),main_original!AS18&lt;-10000)),main_original!AS18/100000000,main_original!AS18)</f>
        <v>1384.6</v>
      </c>
      <c r="AT18" s="3">
        <f>IF(OR(AND(ISNUMBER(main_original!AT18),main_original!AT18&gt;10000),AND(ISNUMBER(main_original!AT18),main_original!AT18&lt;-10000)),main_original!AT18/100000000,main_original!AT18)</f>
        <v>1185.53</v>
      </c>
      <c r="AU18" s="3">
        <v>1079.7</v>
      </c>
      <c r="AV18" s="3">
        <v>1135.1300000000001</v>
      </c>
      <c r="AW18" s="3">
        <v>1221.7</v>
      </c>
      <c r="AX18" s="3">
        <v>1075.94</v>
      </c>
      <c r="AY18" s="3">
        <v>968.54</v>
      </c>
      <c r="AZ18" s="3">
        <v>1054.21</v>
      </c>
      <c r="BA18" s="3">
        <v>887.81</v>
      </c>
      <c r="BB18" s="3">
        <v>835.69</v>
      </c>
      <c r="BC18" s="3">
        <v>952.94</v>
      </c>
      <c r="BD18" s="3">
        <v>759.91</v>
      </c>
      <c r="BE18" s="3">
        <v>883.23</v>
      </c>
      <c r="BF18" s="3">
        <v>949.8</v>
      </c>
      <c r="BG18" s="3">
        <v>1003.92</v>
      </c>
      <c r="BH18" s="3">
        <v>735.79</v>
      </c>
      <c r="BI18" s="3">
        <v>934.63</v>
      </c>
      <c r="BJ18" s="3">
        <v>1016.14</v>
      </c>
      <c r="BK18" s="3">
        <v>1032.6500000000001</v>
      </c>
      <c r="BL18" s="3">
        <v>765.07</v>
      </c>
      <c r="BM18" s="3">
        <v>982.04</v>
      </c>
      <c r="BN18" s="3">
        <v>1006.82</v>
      </c>
      <c r="BO18" s="3">
        <v>995.61</v>
      </c>
      <c r="BP18" s="3">
        <v>744.62</v>
      </c>
      <c r="BQ18" s="3">
        <v>869.4</v>
      </c>
      <c r="BR18" s="3">
        <v>1028.67</v>
      </c>
      <c r="BS18" s="3">
        <v>1048.4100000000001</v>
      </c>
      <c r="BT18" s="3">
        <v>708.31</v>
      </c>
      <c r="BU18" s="3">
        <v>993.46</v>
      </c>
      <c r="BV18" s="3">
        <v>1068.6400000000001</v>
      </c>
      <c r="BW18" s="3">
        <v>1029.9100000000001</v>
      </c>
      <c r="BX18" s="3">
        <v>632.62</v>
      </c>
      <c r="BY18" s="3">
        <v>823.4</v>
      </c>
      <c r="BZ18" s="3">
        <v>677.03</v>
      </c>
      <c r="CA18" s="3">
        <v>855.51</v>
      </c>
      <c r="CB18" s="3">
        <v>1031.52</v>
      </c>
      <c r="CC18" s="3">
        <v>1485.76</v>
      </c>
    </row>
    <row r="19" spans="1:81" x14ac:dyDescent="0.25">
      <c r="A19" s="3" t="s">
        <v>763</v>
      </c>
      <c r="B19" s="3">
        <f>IF(OR(AND(ISNUMBER(main_original!B19),main_original!B19&gt;10000),AND(ISNUMBER(main_original!B19),main_original!B19&lt;-10000)),main_original!B19/100000000,main_original!B19)</f>
        <v>0.08</v>
      </c>
      <c r="C19" s="3">
        <f>IF(OR(AND(ISNUMBER(main_original!C19),main_original!C19&gt;10000),AND(ISNUMBER(main_original!C19),main_original!C19&lt;-10000)),main_original!C19/100000000,main_original!C19)</f>
        <v>7.0000000000000007E-2</v>
      </c>
      <c r="D19" s="3">
        <f>IF(OR(AND(ISNUMBER(main_original!D19),main_original!D19&gt;10000),AND(ISNUMBER(main_original!D19),main_original!D19&lt;-10000)),main_original!D19/100000000,main_original!D19)</f>
        <v>0.08</v>
      </c>
      <c r="E19" s="3">
        <f>IF(OR(AND(ISNUMBER(main_original!E19),main_original!E19&gt;10000),AND(ISNUMBER(main_original!E19),main_original!E19&lt;-10000)),main_original!E19/100000000,main_original!E19)</f>
        <v>0.09</v>
      </c>
      <c r="F19" s="3">
        <f>IF(OR(AND(ISNUMBER(main_original!F19),main_original!F19&gt;10000),AND(ISNUMBER(main_original!F19),main_original!F19&lt;-10000)),main_original!F19/100000000,main_original!F19)</f>
        <v>0.08</v>
      </c>
      <c r="G19" s="3">
        <f>IF(OR(AND(ISNUMBER(main_original!G19),main_original!G19&gt;10000),AND(ISNUMBER(main_original!G19),main_original!G19&lt;-10000)),main_original!G19/100000000,main_original!G19)</f>
        <v>0.06</v>
      </c>
      <c r="H19" s="3">
        <f>IF(OR(AND(ISNUMBER(main_original!H19),main_original!H19&gt;10000),AND(ISNUMBER(main_original!H19),main_original!H19&lt;-10000)),main_original!H19/100000000,main_original!H19)</f>
        <v>7.0000000000000007E-2</v>
      </c>
      <c r="I19" s="3">
        <f>IF(OR(AND(ISNUMBER(main_original!I19),main_original!I19&gt;10000),AND(ISNUMBER(main_original!I19),main_original!I19&lt;-10000)),main_original!I19/100000000,main_original!I19)</f>
        <v>0.08</v>
      </c>
      <c r="J19" s="3">
        <f>IF(OR(AND(ISNUMBER(main_original!J19),main_original!J19&gt;10000),AND(ISNUMBER(main_original!J19),main_original!J19&lt;-10000)),main_original!J19/100000000,main_original!J19)</f>
        <v>7.0000000000000007E-2</v>
      </c>
      <c r="K19" s="3">
        <f>IF(OR(AND(ISNUMBER(main_original!K19),main_original!K19&gt;10000),AND(ISNUMBER(main_original!K19),main_original!K19&lt;-10000)),main_original!K19/100000000,main_original!K19)</f>
        <v>7.0000000000000007E-2</v>
      </c>
      <c r="L19" s="3">
        <f>IF(OR(AND(ISNUMBER(main_original!L19),main_original!L19&gt;10000),AND(ISNUMBER(main_original!L19),main_original!L19&lt;-10000)),main_original!L19/100000000,main_original!L19)</f>
        <v>7.0000000000000007E-2</v>
      </c>
      <c r="M19" s="3">
        <f>IF(OR(AND(ISNUMBER(main_original!M19),main_original!M19&gt;10000),AND(ISNUMBER(main_original!M19),main_original!M19&lt;-10000)),main_original!M19/100000000,main_original!M19)</f>
        <v>7.0000000000000007E-2</v>
      </c>
      <c r="N19" s="3">
        <f>IF(OR(AND(ISNUMBER(main_original!N19),main_original!N19&gt;10000),AND(ISNUMBER(main_original!N19),main_original!N19&lt;-10000)),main_original!N19/100000000,main_original!N19)</f>
        <v>0.08</v>
      </c>
      <c r="O19" s="3">
        <f>IF(OR(AND(ISNUMBER(main_original!O19),main_original!O19&gt;10000),AND(ISNUMBER(main_original!O19),main_original!O19&lt;-10000)),main_original!O19/100000000,main_original!O19)</f>
        <v>0.06</v>
      </c>
      <c r="P19" s="3">
        <f>IF(OR(AND(ISNUMBER(main_original!P19),main_original!P19&gt;10000),AND(ISNUMBER(main_original!P19),main_original!P19&lt;-10000)),main_original!P19/100000000,main_original!P19)</f>
        <v>0.06</v>
      </c>
      <c r="Q19" s="3">
        <f>IF(OR(AND(ISNUMBER(main_original!Q19),main_original!Q19&gt;10000),AND(ISNUMBER(main_original!Q19),main_original!Q19&lt;-10000)),main_original!Q19/100000000,main_original!Q19)</f>
        <v>0.06</v>
      </c>
      <c r="R19" s="3">
        <f>IF(OR(AND(ISNUMBER(main_original!R19),main_original!R19&gt;10000),AND(ISNUMBER(main_original!R19),main_original!R19&lt;-10000)),main_original!R19/100000000,main_original!R19)</f>
        <v>0.04</v>
      </c>
      <c r="S19" s="3">
        <f>IF(OR(AND(ISNUMBER(main_original!S19),main_original!S19&gt;10000),AND(ISNUMBER(main_original!S19),main_original!S19&lt;-10000)),main_original!S19/100000000,main_original!S19)</f>
        <v>0.04</v>
      </c>
      <c r="T19" s="3">
        <f>IF(OR(AND(ISNUMBER(main_original!T19),main_original!T19&gt;10000),AND(ISNUMBER(main_original!T19),main_original!T19&lt;-10000)),main_original!T19/100000000,main_original!T19)</f>
        <v>0.04</v>
      </c>
      <c r="U19" s="3">
        <f>IF(OR(AND(ISNUMBER(main_original!U19),main_original!U19&gt;10000),AND(ISNUMBER(main_original!U19),main_original!U19&lt;-10000)),main_original!U19/100000000,main_original!U19)</f>
        <v>0.04</v>
      </c>
      <c r="V19" s="3">
        <f>IF(OR(AND(ISNUMBER(main_original!V19),main_original!V19&gt;10000),AND(ISNUMBER(main_original!V19),main_original!V19&lt;-10000)),main_original!V19/100000000,main_original!V19)</f>
        <v>0.04</v>
      </c>
      <c r="W19" s="3">
        <f>IF(OR(AND(ISNUMBER(main_original!W19),main_original!W19&gt;10000),AND(ISNUMBER(main_original!W19),main_original!W19&lt;-10000)),main_original!W19/100000000,main_original!W19)</f>
        <v>0.04</v>
      </c>
      <c r="X19" s="3">
        <f>IF(OR(AND(ISNUMBER(main_original!X19),main_original!X19&gt;10000),AND(ISNUMBER(main_original!X19),main_original!X19&lt;-10000)),main_original!X19/100000000,main_original!X19)</f>
        <v>0.04</v>
      </c>
      <c r="Y19" s="3">
        <f>IF(OR(AND(ISNUMBER(main_original!Y19),main_original!Y19&gt;10000),AND(ISNUMBER(main_original!Y19),main_original!Y19&lt;-10000)),main_original!Y19/100000000,main_original!Y19)</f>
        <v>0.05</v>
      </c>
      <c r="Z19" s="3">
        <f>IF(OR(AND(ISNUMBER(main_original!Z19),main_original!Z19&gt;10000),AND(ISNUMBER(main_original!Z19),main_original!Z19&lt;-10000)),main_original!Z19/100000000,main_original!Z19)</f>
        <v>0.05</v>
      </c>
      <c r="AA19" s="3">
        <f>IF(OR(AND(ISNUMBER(main_original!AA19),main_original!AA19&gt;10000),AND(ISNUMBER(main_original!AA19),main_original!AA19&lt;-10000)),main_original!AA19/100000000,main_original!AA19)</f>
        <v>0.04</v>
      </c>
      <c r="AB19" s="3">
        <f>IF(OR(AND(ISNUMBER(main_original!AB19),main_original!AB19&gt;10000),AND(ISNUMBER(main_original!AB19),main_original!AB19&lt;-10000)),main_original!AB19/100000000,main_original!AB19)</f>
        <v>0.04</v>
      </c>
      <c r="AC19" s="3">
        <f>IF(OR(AND(ISNUMBER(main_original!AC19),main_original!AC19&gt;10000),AND(ISNUMBER(main_original!AC19),main_original!AC19&lt;-10000)),main_original!AC19/100000000,main_original!AC19)</f>
        <v>0.06</v>
      </c>
      <c r="AD19" s="3">
        <f>IF(OR(AND(ISNUMBER(main_original!AD19),main_original!AD19&gt;10000),AND(ISNUMBER(main_original!AD19),main_original!AD19&lt;-10000)),main_original!AD19/100000000,main_original!AD19)</f>
        <v>0.05</v>
      </c>
      <c r="AE19" s="3">
        <f>IF(OR(AND(ISNUMBER(main_original!AE19),main_original!AE19&gt;10000),AND(ISNUMBER(main_original!AE19),main_original!AE19&lt;-10000)),main_original!AE19/100000000,main_original!AE19)</f>
        <v>0.04</v>
      </c>
      <c r="AF19" s="3">
        <f>IF(OR(AND(ISNUMBER(main_original!AF19),main_original!AF19&gt;10000),AND(ISNUMBER(main_original!AF19),main_original!AF19&lt;-10000)),main_original!AF19/100000000,main_original!AF19)</f>
        <v>0.05</v>
      </c>
      <c r="AG19" s="3">
        <f>IF(OR(AND(ISNUMBER(main_original!AG19),main_original!AG19&gt;10000),AND(ISNUMBER(main_original!AG19),main_original!AG19&lt;-10000)),main_original!AG19/100000000,main_original!AG19)</f>
        <v>0.03</v>
      </c>
      <c r="AH19" s="3">
        <f>IF(OR(AND(ISNUMBER(main_original!AH19),main_original!AH19&gt;10000),AND(ISNUMBER(main_original!AH19),main_original!AH19&lt;-10000)),main_original!AH19/100000000,main_original!AH19)</f>
        <v>7.0000000000000007E-2</v>
      </c>
      <c r="AI19" s="3">
        <f>IF(OR(AND(ISNUMBER(main_original!AI19),main_original!AI19&gt;10000),AND(ISNUMBER(main_original!AI19),main_original!AI19&lt;-10000)),main_original!AI19/100000000,main_original!AI19)</f>
        <v>0.08</v>
      </c>
      <c r="AJ19" s="3">
        <f>IF(OR(AND(ISNUMBER(main_original!AJ19),main_original!AJ19&gt;10000),AND(ISNUMBER(main_original!AJ19),main_original!AJ19&lt;-10000)),main_original!AJ19/100000000,main_original!AJ19)</f>
        <v>7.0000000000000007E-2</v>
      </c>
      <c r="AK19" s="3">
        <f>IF(OR(AND(ISNUMBER(main_original!AK19),main_original!AK19&gt;10000),AND(ISNUMBER(main_original!AK19),main_original!AK19&lt;-10000)),main_original!AK19/100000000,main_original!AK19)</f>
        <v>0.05</v>
      </c>
      <c r="AL19" s="3">
        <f>IF(OR(AND(ISNUMBER(main_original!AL19),main_original!AL19&gt;10000),AND(ISNUMBER(main_original!AL19),main_original!AL19&lt;-10000)),main_original!AL19/100000000,main_original!AL19)</f>
        <v>0.05</v>
      </c>
      <c r="AM19" s="3">
        <f>IF(OR(AND(ISNUMBER(main_original!AM19),main_original!AM19&gt;10000),AND(ISNUMBER(main_original!AM19),main_original!AM19&lt;-10000)),main_original!AM19/100000000,main_original!AM19)</f>
        <v>0.08</v>
      </c>
      <c r="AN19" s="3">
        <f>IF(OR(AND(ISNUMBER(main_original!AN19),main_original!AN19&gt;10000),AND(ISNUMBER(main_original!AN19),main_original!AN19&lt;-10000)),main_original!AN19/100000000,main_original!AN19)</f>
        <v>7.0000000000000007E-2</v>
      </c>
      <c r="AO19" s="3">
        <f>IF(OR(AND(ISNUMBER(main_original!AO19),main_original!AO19&gt;10000),AND(ISNUMBER(main_original!AO19),main_original!AO19&lt;-10000)),main_original!AO19/100000000,main_original!AO19)</f>
        <v>0.03</v>
      </c>
      <c r="AP19" s="3">
        <f>IF(OR(AND(ISNUMBER(main_original!AP19),main_original!AP19&gt;10000),AND(ISNUMBER(main_original!AP19),main_original!AP19&lt;-10000)),main_original!AP19/100000000,main_original!AP19)</f>
        <v>0.05</v>
      </c>
      <c r="AQ19" s="3">
        <f>IF(OR(AND(ISNUMBER(main_original!AQ19),main_original!AQ19&gt;10000),AND(ISNUMBER(main_original!AQ19),main_original!AQ19&lt;-10000)),main_original!AQ19/100000000,main_original!AQ19)</f>
        <v>0.06</v>
      </c>
      <c r="AR19" s="3">
        <f>IF(OR(AND(ISNUMBER(main_original!AR19),main_original!AR19&gt;10000),AND(ISNUMBER(main_original!AR19),main_original!AR19&lt;-10000)),main_original!AR19/100000000,main_original!AR19)</f>
        <v>7.0000000000000007E-2</v>
      </c>
      <c r="AS19" s="3">
        <f>IF(OR(AND(ISNUMBER(main_original!AS19),main_original!AS19&gt;10000),AND(ISNUMBER(main_original!AS19),main_original!AS19&lt;-10000)),main_original!AS19/100000000,main_original!AS19)</f>
        <v>0.03</v>
      </c>
      <c r="AT19" s="3">
        <f>IF(OR(AND(ISNUMBER(main_original!AT19),main_original!AT19&gt;10000),AND(ISNUMBER(main_original!AT19),main_original!AT19&lt;-10000)),main_original!AT19/100000000,main_original!AT19)</f>
        <v>0.06</v>
      </c>
      <c r="AU19" s="3">
        <v>0.09</v>
      </c>
      <c r="AV19" s="3">
        <v>0.08</v>
      </c>
      <c r="AW19" s="3">
        <v>0.04</v>
      </c>
      <c r="AX19" s="3">
        <v>7.0000000000000007E-2</v>
      </c>
      <c r="AY19" s="3">
        <v>0.1</v>
      </c>
      <c r="AZ19" s="3">
        <v>0.09</v>
      </c>
      <c r="BA19" s="3">
        <v>0.08</v>
      </c>
      <c r="BB19" s="3">
        <v>0.13</v>
      </c>
      <c r="BC19" s="3">
        <v>7.0000000000000007E-2</v>
      </c>
      <c r="BD19" s="3">
        <v>0.12</v>
      </c>
      <c r="BE19" s="3">
        <v>0.12</v>
      </c>
      <c r="BF19" s="3">
        <v>0.11</v>
      </c>
      <c r="BG19" s="3">
        <v>0.06</v>
      </c>
      <c r="BH19" s="3">
        <v>0.12</v>
      </c>
      <c r="BI19" s="3">
        <v>0.12</v>
      </c>
      <c r="BJ19" s="3">
        <v>0.09</v>
      </c>
      <c r="BK19" s="3">
        <v>0.06</v>
      </c>
      <c r="BL19" s="3">
        <v>0.12</v>
      </c>
      <c r="BM19" s="3">
        <v>0.1</v>
      </c>
      <c r="BN19" s="3">
        <v>0.09</v>
      </c>
      <c r="BO19" s="3">
        <v>0.06</v>
      </c>
      <c r="BP19" s="3">
        <v>0.12</v>
      </c>
      <c r="BQ19" s="3">
        <v>0.15</v>
      </c>
      <c r="BR19" s="3">
        <v>0.09</v>
      </c>
      <c r="BS19" s="3">
        <v>0.04</v>
      </c>
      <c r="BT19" s="3">
        <v>0.13</v>
      </c>
      <c r="BU19" s="3">
        <v>0.11</v>
      </c>
      <c r="BV19" s="3">
        <v>0.08</v>
      </c>
      <c r="BW19" s="3">
        <v>0.03</v>
      </c>
      <c r="BX19" s="3">
        <v>0.14000000000000001</v>
      </c>
      <c r="BY19" s="3"/>
      <c r="BZ19" s="3"/>
      <c r="CA19" s="3"/>
      <c r="CB19" s="3"/>
      <c r="CC19" s="3"/>
    </row>
    <row r="20" spans="1:81" x14ac:dyDescent="0.25">
      <c r="A20" s="3" t="s">
        <v>764</v>
      </c>
      <c r="B20" s="3">
        <f>IF(OR(AND(ISNUMBER(main_original!B20),main_original!B20&gt;10000),AND(ISNUMBER(main_original!B20),main_original!B20&lt;-10000)),main_original!B20/100000000,main_original!B20)</f>
        <v>1210.22</v>
      </c>
      <c r="C20" s="3">
        <f>IF(OR(AND(ISNUMBER(main_original!C20),main_original!C20&gt;10000),AND(ISNUMBER(main_original!C20),main_original!C20&lt;-10000)),main_original!C20/100000000,main_original!C20)</f>
        <v>1237.1099999999999</v>
      </c>
      <c r="D20" s="3">
        <f>IF(OR(AND(ISNUMBER(main_original!D20),main_original!D20&gt;10000),AND(ISNUMBER(main_original!D20),main_original!D20&lt;-10000)),main_original!D20/100000000,main_original!D20)</f>
        <v>1119.4000000000001</v>
      </c>
      <c r="E20" s="3">
        <f>IF(OR(AND(ISNUMBER(main_original!E20),main_original!E20&gt;10000),AND(ISNUMBER(main_original!E20),main_original!E20&lt;-10000)),main_original!E20/100000000,main_original!E20)</f>
        <v>1181.8800000000001</v>
      </c>
      <c r="F20" s="3">
        <f>IF(OR(AND(ISNUMBER(main_original!F20),main_original!F20&gt;10000),AND(ISNUMBER(main_original!F20),main_original!F20&lt;-10000)),main_original!F20/100000000,main_original!F20)</f>
        <v>1230.07</v>
      </c>
      <c r="G20" s="3">
        <f>IF(OR(AND(ISNUMBER(main_original!G20),main_original!G20&gt;10000),AND(ISNUMBER(main_original!G20),main_original!G20&lt;-10000)),main_original!G20/100000000,main_original!G20)</f>
        <v>1331.36</v>
      </c>
      <c r="H20" s="3">
        <f>IF(OR(AND(ISNUMBER(main_original!H20),main_original!H20&gt;10000),AND(ISNUMBER(main_original!H20),main_original!H20&lt;-10000)),main_original!H20/100000000,main_original!H20)</f>
        <v>1253.48</v>
      </c>
      <c r="I20" s="3">
        <f>IF(OR(AND(ISNUMBER(main_original!I20),main_original!I20&gt;10000),AND(ISNUMBER(main_original!I20),main_original!I20&lt;-10000)),main_original!I20/100000000,main_original!I20)</f>
        <v>1257.42</v>
      </c>
      <c r="J20" s="3">
        <f>IF(OR(AND(ISNUMBER(main_original!J20),main_original!J20&gt;10000),AND(ISNUMBER(main_original!J20),main_original!J20&lt;-10000)),main_original!J20/100000000,main_original!J20)</f>
        <v>1278.4100000000001</v>
      </c>
      <c r="K20" s="3">
        <f>IF(OR(AND(ISNUMBER(main_original!K20),main_original!K20&gt;10000),AND(ISNUMBER(main_original!K20),main_original!K20&lt;-10000)),main_original!K20/100000000,main_original!K20)</f>
        <v>1312.91</v>
      </c>
      <c r="L20" s="3">
        <f>IF(OR(AND(ISNUMBER(main_original!L20),main_original!L20&gt;10000),AND(ISNUMBER(main_original!L20),main_original!L20&lt;-10000)),main_original!L20/100000000,main_original!L20)</f>
        <v>1306.24</v>
      </c>
      <c r="M20" s="3">
        <f>IF(OR(AND(ISNUMBER(main_original!M20),main_original!M20&gt;10000),AND(ISNUMBER(main_original!M20),main_original!M20&lt;-10000)),main_original!M20/100000000,main_original!M20)</f>
        <v>1293.0999999999999</v>
      </c>
      <c r="N20" s="3">
        <f>IF(OR(AND(ISNUMBER(main_original!N20),main_original!N20&gt;10000),AND(ISNUMBER(main_original!N20),main_original!N20&lt;-10000)),main_original!N20/100000000,main_original!N20)</f>
        <v>1310.68</v>
      </c>
      <c r="O20" s="3">
        <f>IF(OR(AND(ISNUMBER(main_original!O20),main_original!O20&gt;10000),AND(ISNUMBER(main_original!O20),main_original!O20&lt;-10000)),main_original!O20/100000000,main_original!O20)</f>
        <v>1486.37</v>
      </c>
      <c r="P20" s="3">
        <f>IF(OR(AND(ISNUMBER(main_original!P20),main_original!P20&gt;10000),AND(ISNUMBER(main_original!P20),main_original!P20&lt;-10000)),main_original!P20/100000000,main_original!P20)</f>
        <v>1581.72</v>
      </c>
      <c r="Q20" s="3">
        <f>IF(OR(AND(ISNUMBER(main_original!Q20),main_original!Q20&gt;10000),AND(ISNUMBER(main_original!Q20),main_original!Q20&lt;-10000)),main_original!Q20/100000000,main_original!Q20)</f>
        <v>2039.66</v>
      </c>
      <c r="R20" s="3">
        <f>IF(OR(AND(ISNUMBER(main_original!R20),main_original!R20&gt;10000),AND(ISNUMBER(main_original!R20),main_original!R20&lt;-10000)),main_original!R20/100000000,main_original!R20)</f>
        <v>2231.41</v>
      </c>
      <c r="S20" s="3">
        <f>IF(OR(AND(ISNUMBER(main_original!S20),main_original!S20&gt;10000),AND(ISNUMBER(main_original!S20),main_original!S20&lt;-10000)),main_original!S20/100000000,main_original!S20)</f>
        <v>2224.9699999999998</v>
      </c>
      <c r="T20" s="3">
        <f>IF(OR(AND(ISNUMBER(main_original!T20),main_original!T20&gt;10000),AND(ISNUMBER(main_original!T20),main_original!T20&lt;-10000)),main_original!T20/100000000,main_original!T20)</f>
        <v>2147.9699999999998</v>
      </c>
      <c r="U20" s="3">
        <f>IF(OR(AND(ISNUMBER(main_original!U20),main_original!U20&gt;10000),AND(ISNUMBER(main_original!U20),main_original!U20&lt;-10000)),main_original!U20/100000000,main_original!U20)</f>
        <v>2339.1799999999998</v>
      </c>
      <c r="V20" s="3">
        <f>IF(OR(AND(ISNUMBER(main_original!V20),main_original!V20&gt;10000),AND(ISNUMBER(main_original!V20),main_original!V20&lt;-10000)),main_original!V20/100000000,main_original!V20)</f>
        <v>2423.6999999999998</v>
      </c>
      <c r="W20" s="3">
        <f>IF(OR(AND(ISNUMBER(main_original!W20),main_original!W20&gt;10000),AND(ISNUMBER(main_original!W20),main_original!W20&lt;-10000)),main_original!W20/100000000,main_original!W20)</f>
        <v>2412.87</v>
      </c>
      <c r="X20" s="3">
        <f>IF(OR(AND(ISNUMBER(main_original!X20),main_original!X20&gt;10000),AND(ISNUMBER(main_original!X20),main_original!X20&lt;-10000)),main_original!X20/100000000,main_original!X20)</f>
        <v>2374.67</v>
      </c>
      <c r="Y20" s="3">
        <f>IF(OR(AND(ISNUMBER(main_original!Y20),main_original!Y20&gt;10000),AND(ISNUMBER(main_original!Y20),main_original!Y20&lt;-10000)),main_original!Y20/100000000,main_original!Y20)</f>
        <v>2064.2199999999998</v>
      </c>
      <c r="Z20" s="3">
        <f>IF(OR(AND(ISNUMBER(main_original!Z20),main_original!Z20&gt;10000),AND(ISNUMBER(main_original!Z20),main_original!Z20&lt;-10000)),main_original!Z20/100000000,main_original!Z20)</f>
        <v>2142.86</v>
      </c>
      <c r="AA20" s="3">
        <f>IF(OR(AND(ISNUMBER(main_original!AA20),main_original!AA20&gt;10000),AND(ISNUMBER(main_original!AA20),main_original!AA20&lt;-10000)),main_original!AA20/100000000,main_original!AA20)</f>
        <v>2284.2600000000002</v>
      </c>
      <c r="AB20" s="3">
        <f>IF(OR(AND(ISNUMBER(main_original!AB20),main_original!AB20&gt;10000),AND(ISNUMBER(main_original!AB20),main_original!AB20&lt;-10000)),main_original!AB20/100000000,main_original!AB20)</f>
        <v>2179.1799999999998</v>
      </c>
      <c r="AC20" s="3">
        <f>IF(OR(AND(ISNUMBER(main_original!AC20),main_original!AC20&gt;10000),AND(ISNUMBER(main_original!AC20),main_original!AC20&lt;-10000)),main_original!AC20/100000000,main_original!AC20)</f>
        <v>1763.84</v>
      </c>
      <c r="AD20" s="3">
        <f>IF(OR(AND(ISNUMBER(main_original!AD20),main_original!AD20&gt;10000),AND(ISNUMBER(main_original!AD20),main_original!AD20&lt;-10000)),main_original!AD20/100000000,main_original!AD20)</f>
        <v>1906.78</v>
      </c>
      <c r="AE20" s="3">
        <f>IF(OR(AND(ISNUMBER(main_original!AE20),main_original!AE20&gt;10000),AND(ISNUMBER(main_original!AE20),main_original!AE20&lt;-10000)),main_original!AE20/100000000,main_original!AE20)</f>
        <v>1931.33</v>
      </c>
      <c r="AF20" s="3">
        <f>IF(OR(AND(ISNUMBER(main_original!AF20),main_original!AF20&gt;10000),AND(ISNUMBER(main_original!AF20),main_original!AF20&lt;-10000)),main_original!AF20/100000000,main_original!AF20)</f>
        <v>1848.05</v>
      </c>
      <c r="AG20" s="3">
        <f>IF(OR(AND(ISNUMBER(main_original!AG20),main_original!AG20&gt;10000),AND(ISNUMBER(main_original!AG20),main_original!AG20&lt;-10000)),main_original!AG20/100000000,main_original!AG20)</f>
        <v>1483.92</v>
      </c>
      <c r="AH20" s="3">
        <f>IF(OR(AND(ISNUMBER(main_original!AH20),main_original!AH20&gt;10000),AND(ISNUMBER(main_original!AH20),main_original!AH20&lt;-10000)),main_original!AH20/100000000,main_original!AH20)</f>
        <v>1249.42</v>
      </c>
      <c r="AI20" s="3">
        <f>IF(OR(AND(ISNUMBER(main_original!AI20),main_original!AI20&gt;10000),AND(ISNUMBER(main_original!AI20),main_original!AI20&lt;-10000)),main_original!AI20/100000000,main_original!AI20)</f>
        <v>1270.29</v>
      </c>
      <c r="AJ20" s="3">
        <f>IF(OR(AND(ISNUMBER(main_original!AJ20),main_original!AJ20&gt;10000),AND(ISNUMBER(main_original!AJ20),main_original!AJ20&lt;-10000)),main_original!AJ20/100000000,main_original!AJ20)</f>
        <v>1378.25</v>
      </c>
      <c r="AK20" s="3">
        <f>IF(OR(AND(ISNUMBER(main_original!AK20),main_original!AK20&gt;10000),AND(ISNUMBER(main_original!AK20),main_original!AK20&lt;-10000)),main_original!AK20/100000000,main_original!AK20)</f>
        <v>1480.87</v>
      </c>
      <c r="AL20" s="3">
        <f>IF(OR(AND(ISNUMBER(main_original!AL20),main_original!AL20&gt;10000),AND(ISNUMBER(main_original!AL20),main_original!AL20&lt;-10000)),main_original!AL20/100000000,main_original!AL20)</f>
        <v>1378.96</v>
      </c>
      <c r="AM20" s="3">
        <f>IF(OR(AND(ISNUMBER(main_original!AM20),main_original!AM20&gt;10000),AND(ISNUMBER(main_original!AM20),main_original!AM20&lt;-10000)),main_original!AM20/100000000,main_original!AM20)</f>
        <v>1223.6600000000001</v>
      </c>
      <c r="AN20" s="3">
        <f>IF(OR(AND(ISNUMBER(main_original!AN20),main_original!AN20&gt;10000),AND(ISNUMBER(main_original!AN20),main_original!AN20&lt;-10000)),main_original!AN20/100000000,main_original!AN20)</f>
        <v>1310.04</v>
      </c>
      <c r="AO20" s="3">
        <f>IF(OR(AND(ISNUMBER(main_original!AO20),main_original!AO20&gt;10000),AND(ISNUMBER(main_original!AO20),main_original!AO20&lt;-10000)),main_original!AO20/100000000,main_original!AO20)</f>
        <v>1669.76</v>
      </c>
      <c r="AP20" s="3">
        <f>IF(OR(AND(ISNUMBER(main_original!AP20),main_original!AP20&gt;10000),AND(ISNUMBER(main_original!AP20),main_original!AP20&lt;-10000)),main_original!AP20/100000000,main_original!AP20)</f>
        <v>1477.02</v>
      </c>
      <c r="AQ20" s="3">
        <f>IF(OR(AND(ISNUMBER(main_original!AQ20),main_original!AQ20&gt;10000),AND(ISNUMBER(main_original!AQ20),main_original!AQ20&lt;-10000)),main_original!AQ20/100000000,main_original!AQ20)</f>
        <v>1374.05</v>
      </c>
      <c r="AR20" s="3">
        <f>IF(OR(AND(ISNUMBER(main_original!AR20),main_original!AR20&gt;10000),AND(ISNUMBER(main_original!AR20),main_original!AR20&lt;-10000)),main_original!AR20/100000000,main_original!AR20)</f>
        <v>1300.58</v>
      </c>
      <c r="AS20" s="3">
        <f>IF(OR(AND(ISNUMBER(main_original!AS20),main_original!AS20&gt;10000),AND(ISNUMBER(main_original!AS20),main_original!AS20&lt;-10000)),main_original!AS20/100000000,main_original!AS20)</f>
        <v>1383.55</v>
      </c>
      <c r="AT20" s="3">
        <f>IF(OR(AND(ISNUMBER(main_original!AT20),main_original!AT20&gt;10000),AND(ISNUMBER(main_original!AT20),main_original!AT20&lt;-10000)),main_original!AT20/100000000,main_original!AT20)</f>
        <v>1184.21</v>
      </c>
      <c r="AU20" s="3">
        <v>1078.49</v>
      </c>
      <c r="AV20" s="3">
        <v>1133.5</v>
      </c>
      <c r="AW20" s="3">
        <v>1219.93</v>
      </c>
      <c r="AX20" s="3">
        <v>1073.99</v>
      </c>
      <c r="AY20" s="3">
        <v>966.7</v>
      </c>
      <c r="AZ20" s="3">
        <v>1051.4000000000001</v>
      </c>
      <c r="BA20" s="3">
        <v>884.96</v>
      </c>
      <c r="BB20" s="3">
        <v>831.54</v>
      </c>
      <c r="BC20" s="3">
        <v>948.37</v>
      </c>
      <c r="BD20" s="3">
        <v>755.03</v>
      </c>
      <c r="BE20" s="3">
        <v>879.12</v>
      </c>
      <c r="BF20" s="3">
        <v>944.72</v>
      </c>
      <c r="BG20" s="3">
        <v>998.89</v>
      </c>
      <c r="BH20" s="3">
        <v>732.3</v>
      </c>
      <c r="BI20" s="3">
        <v>931.2</v>
      </c>
      <c r="BJ20" s="3">
        <v>1012.37</v>
      </c>
      <c r="BK20" s="3">
        <v>1028.57</v>
      </c>
      <c r="BL20" s="3">
        <v>762.71</v>
      </c>
      <c r="BM20" s="3">
        <v>978.53</v>
      </c>
      <c r="BN20" s="3">
        <v>1002.23</v>
      </c>
      <c r="BO20" s="3">
        <v>991.74</v>
      </c>
      <c r="BP20" s="3">
        <v>741.96</v>
      </c>
      <c r="BQ20" s="3">
        <v>864.14</v>
      </c>
      <c r="BR20" s="3">
        <v>1022.34</v>
      </c>
      <c r="BS20" s="3">
        <v>1041.67</v>
      </c>
      <c r="BT20" s="3">
        <v>702.03</v>
      </c>
      <c r="BU20" s="3">
        <v>984.68</v>
      </c>
      <c r="BV20" s="3">
        <v>1057.17</v>
      </c>
      <c r="BW20" s="3">
        <v>1021.57</v>
      </c>
      <c r="BX20" s="3">
        <v>625.42999999999995</v>
      </c>
      <c r="BY20" s="3">
        <v>813.01</v>
      </c>
      <c r="BZ20" s="3">
        <v>668.4</v>
      </c>
      <c r="CA20" s="3">
        <v>855.51</v>
      </c>
      <c r="CB20" s="3">
        <v>1031.52</v>
      </c>
      <c r="CC20" s="3">
        <v>1485.76</v>
      </c>
    </row>
    <row r="21" spans="1:81" x14ac:dyDescent="0.25">
      <c r="A21" s="3" t="s">
        <v>765</v>
      </c>
      <c r="B21" s="3" t="str">
        <f>IF(OR(AND(ISNUMBER(main_original!B21),main_original!B21&gt;10000),AND(ISNUMBER(main_original!B21),main_original!B21&lt;-10000)),main_original!B21/100000000,main_original!B21)</f>
        <v>--</v>
      </c>
      <c r="C21" s="3" t="str">
        <f>IF(OR(AND(ISNUMBER(main_original!C21),main_original!C21&gt;10000),AND(ISNUMBER(main_original!C21),main_original!C21&lt;-10000)),main_original!C21/100000000,main_original!C21)</f>
        <v>--</v>
      </c>
      <c r="D21" s="3" t="str">
        <f>IF(OR(AND(ISNUMBER(main_original!D21),main_original!D21&gt;10000),AND(ISNUMBER(main_original!D21),main_original!D21&lt;-10000)),main_original!D21/100000000,main_original!D21)</f>
        <v>--</v>
      </c>
      <c r="E21" s="3" t="str">
        <f>IF(OR(AND(ISNUMBER(main_original!E21),main_original!E21&gt;10000),AND(ISNUMBER(main_original!E21),main_original!E21&lt;-10000)),main_original!E21/100000000,main_original!E21)</f>
        <v>--</v>
      </c>
      <c r="F21" s="3" t="str">
        <f>IF(OR(AND(ISNUMBER(main_original!F21),main_original!F21&gt;10000),AND(ISNUMBER(main_original!F21),main_original!F21&lt;-10000)),main_original!F21/100000000,main_original!F21)</f>
        <v>--</v>
      </c>
      <c r="G21" s="3" t="str">
        <f>IF(OR(AND(ISNUMBER(main_original!G21),main_original!G21&gt;10000),AND(ISNUMBER(main_original!G21),main_original!G21&lt;-10000)),main_original!G21/100000000,main_original!G21)</f>
        <v>--</v>
      </c>
      <c r="H21" s="3" t="str">
        <f>IF(OR(AND(ISNUMBER(main_original!H21),main_original!H21&gt;10000),AND(ISNUMBER(main_original!H21),main_original!H21&lt;-10000)),main_original!H21/100000000,main_original!H21)</f>
        <v>--</v>
      </c>
      <c r="I21" s="3" t="str">
        <f>IF(OR(AND(ISNUMBER(main_original!I21),main_original!I21&gt;10000),AND(ISNUMBER(main_original!I21),main_original!I21&lt;-10000)),main_original!I21/100000000,main_original!I21)</f>
        <v>--</v>
      </c>
      <c r="J21" s="3" t="str">
        <f>IF(OR(AND(ISNUMBER(main_original!J21),main_original!J21&gt;10000),AND(ISNUMBER(main_original!J21),main_original!J21&lt;-10000)),main_original!J21/100000000,main_original!J21)</f>
        <v>--</v>
      </c>
      <c r="K21" s="3" t="str">
        <f>IF(OR(AND(ISNUMBER(main_original!K21),main_original!K21&gt;10000),AND(ISNUMBER(main_original!K21),main_original!K21&lt;-10000)),main_original!K21/100000000,main_original!K21)</f>
        <v>--</v>
      </c>
      <c r="L21" s="3" t="str">
        <f>IF(OR(AND(ISNUMBER(main_original!L21),main_original!L21&gt;10000),AND(ISNUMBER(main_original!L21),main_original!L21&lt;-10000)),main_original!L21/100000000,main_original!L21)</f>
        <v>--</v>
      </c>
      <c r="M21" s="3" t="str">
        <f>IF(OR(AND(ISNUMBER(main_original!M21),main_original!M21&gt;10000),AND(ISNUMBER(main_original!M21),main_original!M21&lt;-10000)),main_original!M21/100000000,main_original!M21)</f>
        <v>--</v>
      </c>
      <c r="N21" s="3" t="str">
        <f>IF(OR(AND(ISNUMBER(main_original!N21),main_original!N21&gt;10000),AND(ISNUMBER(main_original!N21),main_original!N21&lt;-10000)),main_original!N21/100000000,main_original!N21)</f>
        <v>--</v>
      </c>
      <c r="O21" s="3" t="str">
        <f>IF(OR(AND(ISNUMBER(main_original!O21),main_original!O21&gt;10000),AND(ISNUMBER(main_original!O21),main_original!O21&lt;-10000)),main_original!O21/100000000,main_original!O21)</f>
        <v>--</v>
      </c>
      <c r="P21" s="3" t="str">
        <f>IF(OR(AND(ISNUMBER(main_original!P21),main_original!P21&gt;10000),AND(ISNUMBER(main_original!P21),main_original!P21&lt;-10000)),main_original!P21/100000000,main_original!P21)</f>
        <v>--</v>
      </c>
      <c r="Q21" s="3" t="str">
        <f>IF(OR(AND(ISNUMBER(main_original!Q21),main_original!Q21&gt;10000),AND(ISNUMBER(main_original!Q21),main_original!Q21&lt;-10000)),main_original!Q21/100000000,main_original!Q21)</f>
        <v>--</v>
      </c>
      <c r="R21" s="3">
        <f>IF(OR(AND(ISNUMBER(main_original!R21),main_original!R21&gt;10000),AND(ISNUMBER(main_original!R21),main_original!R21&lt;-10000)),main_original!R21/100000000,main_original!R21)</f>
        <v>0.04</v>
      </c>
      <c r="S21" s="3">
        <f>IF(OR(AND(ISNUMBER(main_original!S21),main_original!S21&gt;10000),AND(ISNUMBER(main_original!S21),main_original!S21&lt;-10000)),main_original!S21/100000000,main_original!S21)</f>
        <v>6.3E-3</v>
      </c>
      <c r="T21" s="3">
        <f>IF(OR(AND(ISNUMBER(main_original!T21),main_original!T21&gt;10000),AND(ISNUMBER(main_original!T21),main_original!T21&lt;-10000)),main_original!T21/100000000,main_original!T21)</f>
        <v>2.0999999999999999E-3</v>
      </c>
      <c r="U21" s="3">
        <f>IF(OR(AND(ISNUMBER(main_original!U21),main_original!U21&gt;10000),AND(ISNUMBER(main_original!U21),main_original!U21&lt;-10000)),main_original!U21/100000000,main_original!U21)</f>
        <v>0.03</v>
      </c>
      <c r="V21" s="3">
        <f>IF(OR(AND(ISNUMBER(main_original!V21),main_original!V21&gt;10000),AND(ISNUMBER(main_original!V21),main_original!V21&lt;-10000)),main_original!V21/100000000,main_original!V21)</f>
        <v>0.05</v>
      </c>
      <c r="W21" s="3">
        <f>IF(OR(AND(ISNUMBER(main_original!W21),main_original!W21&gt;10000),AND(ISNUMBER(main_original!W21),main_original!W21&lt;-10000)),main_original!W21/100000000,main_original!W21)</f>
        <v>0.03</v>
      </c>
      <c r="X21" s="3">
        <f>IF(OR(AND(ISNUMBER(main_original!X21),main_original!X21&gt;10000),AND(ISNUMBER(main_original!X21),main_original!X21&lt;-10000)),main_original!X21/100000000,main_original!X21)</f>
        <v>0.03</v>
      </c>
      <c r="Y21" s="3">
        <f>IF(OR(AND(ISNUMBER(main_original!Y21),main_original!Y21&gt;10000),AND(ISNUMBER(main_original!Y21),main_original!Y21&lt;-10000)),main_original!Y21/100000000,main_original!Y21)</f>
        <v>0.03</v>
      </c>
      <c r="Z21" s="3">
        <f>IF(OR(AND(ISNUMBER(main_original!Z21),main_original!Z21&gt;10000),AND(ISNUMBER(main_original!Z21),main_original!Z21&lt;-10000)),main_original!Z21/100000000,main_original!Z21)</f>
        <v>0.02</v>
      </c>
      <c r="AA21" s="3">
        <f>IF(OR(AND(ISNUMBER(main_original!AA21),main_original!AA21&gt;10000),AND(ISNUMBER(main_original!AA21),main_original!AA21&lt;-10000)),main_original!AA21/100000000,main_original!AA21)</f>
        <v>0.02</v>
      </c>
      <c r="AB21" s="3">
        <f>IF(OR(AND(ISNUMBER(main_original!AB21),main_original!AB21&gt;10000),AND(ISNUMBER(main_original!AB21),main_original!AB21&lt;-10000)),main_original!AB21/100000000,main_original!AB21)</f>
        <v>0.02</v>
      </c>
      <c r="AC21" s="3">
        <f>IF(OR(AND(ISNUMBER(main_original!AC21),main_original!AC21&gt;10000),AND(ISNUMBER(main_original!AC21),main_original!AC21&lt;-10000)),main_original!AC21/100000000,main_original!AC21)</f>
        <v>0.11</v>
      </c>
      <c r="AD21" s="3">
        <f>IF(OR(AND(ISNUMBER(main_original!AD21),main_original!AD21&gt;10000),AND(ISNUMBER(main_original!AD21),main_original!AD21&lt;-10000)),main_original!AD21/100000000,main_original!AD21)</f>
        <v>0.12</v>
      </c>
      <c r="AE21" s="3">
        <f>IF(OR(AND(ISNUMBER(main_original!AE21),main_original!AE21&gt;10000),AND(ISNUMBER(main_original!AE21),main_original!AE21&lt;-10000)),main_original!AE21/100000000,main_original!AE21)</f>
        <v>0.12</v>
      </c>
      <c r="AF21" s="3">
        <f>IF(OR(AND(ISNUMBER(main_original!AF21),main_original!AF21&gt;10000),AND(ISNUMBER(main_original!AF21),main_original!AF21&lt;-10000)),main_original!AF21/100000000,main_original!AF21)</f>
        <v>0.12</v>
      </c>
      <c r="AG21" s="3">
        <f>IF(OR(AND(ISNUMBER(main_original!AG21),main_original!AG21&gt;10000),AND(ISNUMBER(main_original!AG21),main_original!AG21&lt;-10000)),main_original!AG21/100000000,main_original!AG21)</f>
        <v>0.14000000000000001</v>
      </c>
      <c r="AH21" s="3">
        <f>IF(OR(AND(ISNUMBER(main_original!AH21),main_original!AH21&gt;10000),AND(ISNUMBER(main_original!AH21),main_original!AH21&lt;-10000)),main_original!AH21/100000000,main_original!AH21)</f>
        <v>0.03</v>
      </c>
      <c r="AI21" s="3">
        <f>IF(OR(AND(ISNUMBER(main_original!AI21),main_original!AI21&gt;10000),AND(ISNUMBER(main_original!AI21),main_original!AI21&lt;-10000)),main_original!AI21/100000000,main_original!AI21)</f>
        <v>0.03</v>
      </c>
      <c r="AJ21" s="3">
        <f>IF(OR(AND(ISNUMBER(main_original!AJ21),main_original!AJ21&gt;10000),AND(ISNUMBER(main_original!AJ21),main_original!AJ21&lt;-10000)),main_original!AJ21/100000000,main_original!AJ21)</f>
        <v>0.03</v>
      </c>
      <c r="AK21" s="3">
        <f>IF(OR(AND(ISNUMBER(main_original!AK21),main_original!AK21&gt;10000),AND(ISNUMBER(main_original!AK21),main_original!AK21&lt;-10000)),main_original!AK21/100000000,main_original!AK21)</f>
        <v>0.03</v>
      </c>
      <c r="AL21" s="3">
        <f>IF(OR(AND(ISNUMBER(main_original!AL21),main_original!AL21&gt;10000),AND(ISNUMBER(main_original!AL21),main_original!AL21&lt;-10000)),main_original!AL21/100000000,main_original!AL21)</f>
        <v>0.03</v>
      </c>
      <c r="AM21" s="3">
        <f>IF(OR(AND(ISNUMBER(main_original!AM21),main_original!AM21&gt;10000),AND(ISNUMBER(main_original!AM21),main_original!AM21&lt;-10000)),main_original!AM21/100000000,main_original!AM21)</f>
        <v>0.03</v>
      </c>
      <c r="AN21" s="3">
        <f>IF(OR(AND(ISNUMBER(main_original!AN21),main_original!AN21&gt;10000),AND(ISNUMBER(main_original!AN21),main_original!AN21&lt;-10000)),main_original!AN21/100000000,main_original!AN21)</f>
        <v>0.02</v>
      </c>
      <c r="AO21" s="3">
        <f>IF(OR(AND(ISNUMBER(main_original!AO21),main_original!AO21&gt;10000),AND(ISNUMBER(main_original!AO21),main_original!AO21&lt;-10000)),main_original!AO21/100000000,main_original!AO21)</f>
        <v>0.35</v>
      </c>
      <c r="AP21" s="3">
        <f>IF(OR(AND(ISNUMBER(main_original!AP21),main_original!AP21&gt;10000),AND(ISNUMBER(main_original!AP21),main_original!AP21&lt;-10000)),main_original!AP21/100000000,main_original!AP21)</f>
        <v>0.71</v>
      </c>
      <c r="AQ21" s="3">
        <f>IF(OR(AND(ISNUMBER(main_original!AQ21),main_original!AQ21&gt;10000),AND(ISNUMBER(main_original!AQ21),main_original!AQ21&lt;-10000)),main_original!AQ21/100000000,main_original!AQ21)</f>
        <v>0.69</v>
      </c>
      <c r="AR21" s="3">
        <f>IF(OR(AND(ISNUMBER(main_original!AR21),main_original!AR21&gt;10000),AND(ISNUMBER(main_original!AR21),main_original!AR21&lt;-10000)),main_original!AR21/100000000,main_original!AR21)</f>
        <v>0.78</v>
      </c>
      <c r="AS21" s="3">
        <f>IF(OR(AND(ISNUMBER(main_original!AS21),main_original!AS21&gt;10000),AND(ISNUMBER(main_original!AS21),main_original!AS21&lt;-10000)),main_original!AS21/100000000,main_original!AS21)</f>
        <v>1.05</v>
      </c>
      <c r="AT21" s="3">
        <f>IF(OR(AND(ISNUMBER(main_original!AT21),main_original!AT21&gt;10000),AND(ISNUMBER(main_original!AT21),main_original!AT21&lt;-10000)),main_original!AT21/100000000,main_original!AT21)</f>
        <v>1.32</v>
      </c>
      <c r="AU21" s="3">
        <v>1.21</v>
      </c>
      <c r="AV21" s="3">
        <v>1.63</v>
      </c>
      <c r="AW21" s="3">
        <v>1.77</v>
      </c>
      <c r="AX21" s="3">
        <v>1.95</v>
      </c>
      <c r="AY21" s="3">
        <v>1.84</v>
      </c>
      <c r="AZ21" s="3">
        <v>2.8</v>
      </c>
      <c r="BA21" s="3">
        <v>2.85</v>
      </c>
      <c r="BB21" s="3">
        <v>4.1500000000000004</v>
      </c>
      <c r="BC21" s="3">
        <v>4.57</v>
      </c>
      <c r="BD21" s="3">
        <v>4.88</v>
      </c>
      <c r="BE21" s="3">
        <v>4.1100000000000003</v>
      </c>
      <c r="BF21" s="3">
        <v>5.08</v>
      </c>
      <c r="BG21" s="3">
        <v>5.03</v>
      </c>
      <c r="BH21" s="3">
        <v>3.49</v>
      </c>
      <c r="BI21" s="3">
        <v>3.43</v>
      </c>
      <c r="BJ21" s="3">
        <v>3.76</v>
      </c>
      <c r="BK21" s="3">
        <v>4.08</v>
      </c>
      <c r="BL21" s="3">
        <v>2.36</v>
      </c>
      <c r="BM21" s="3">
        <v>3.51</v>
      </c>
      <c r="BN21" s="3">
        <v>4.59</v>
      </c>
      <c r="BO21" s="3">
        <v>3.87</v>
      </c>
      <c r="BP21" s="3">
        <v>2.66</v>
      </c>
      <c r="BQ21" s="3">
        <v>5.26</v>
      </c>
      <c r="BR21" s="3">
        <v>6.33</v>
      </c>
      <c r="BS21" s="3">
        <v>6.74</v>
      </c>
      <c r="BT21" s="3">
        <v>6.28</v>
      </c>
      <c r="BU21" s="3">
        <v>8.77</v>
      </c>
      <c r="BV21" s="3">
        <v>11.48</v>
      </c>
      <c r="BW21" s="3">
        <v>8.35</v>
      </c>
      <c r="BX21" s="3">
        <v>7.18</v>
      </c>
      <c r="BY21" s="3">
        <v>10.39</v>
      </c>
      <c r="BZ21" s="3">
        <v>8.6300000000000008</v>
      </c>
      <c r="CA21" s="3" t="s">
        <v>133</v>
      </c>
      <c r="CB21" s="3" t="s">
        <v>133</v>
      </c>
      <c r="CC21" s="3" t="s">
        <v>133</v>
      </c>
    </row>
    <row r="22" spans="1:81" x14ac:dyDescent="0.25">
      <c r="A22" s="3" t="s">
        <v>45</v>
      </c>
      <c r="B22" s="3">
        <f>IF(OR(AND(ISNUMBER(main_original!B22),main_original!B22&gt;10000),AND(ISNUMBER(main_original!B22),main_original!B22&lt;-10000)),main_original!B22/100000000,main_original!B22)</f>
        <v>5.18</v>
      </c>
      <c r="C22" s="3">
        <f>IF(OR(AND(ISNUMBER(main_original!C22),main_original!C22&gt;10000),AND(ISNUMBER(main_original!C22),main_original!C22&lt;-10000)),main_original!C22/100000000,main_original!C22)</f>
        <v>4.8899999999999997</v>
      </c>
      <c r="D22" s="3">
        <f>IF(OR(AND(ISNUMBER(main_original!D22),main_original!D22&gt;10000),AND(ISNUMBER(main_original!D22),main_original!D22&lt;-10000)),main_original!D22/100000000,main_original!D22)</f>
        <v>6.12</v>
      </c>
      <c r="E22" s="3">
        <f>IF(OR(AND(ISNUMBER(main_original!E22),main_original!E22&gt;10000),AND(ISNUMBER(main_original!E22),main_original!E22&lt;-10000)),main_original!E22/100000000,main_original!E22)</f>
        <v>3.87</v>
      </c>
      <c r="F22" s="3">
        <f>IF(OR(AND(ISNUMBER(main_original!F22),main_original!F22&gt;10000),AND(ISNUMBER(main_original!F22),main_original!F22&lt;-10000)),main_original!F22/100000000,main_original!F22)</f>
        <v>4.42</v>
      </c>
      <c r="G22" s="3">
        <f>IF(OR(AND(ISNUMBER(main_original!G22),main_original!G22&gt;10000),AND(ISNUMBER(main_original!G22),main_original!G22&lt;-10000)),main_original!G22/100000000,main_original!G22)</f>
        <v>3.14</v>
      </c>
      <c r="H22" s="3">
        <f>IF(OR(AND(ISNUMBER(main_original!H22),main_original!H22&gt;10000),AND(ISNUMBER(main_original!H22),main_original!H22&lt;-10000)),main_original!H22/100000000,main_original!H22)</f>
        <v>4.51</v>
      </c>
      <c r="I22" s="3">
        <f>IF(OR(AND(ISNUMBER(main_original!I22),main_original!I22&gt;10000),AND(ISNUMBER(main_original!I22),main_original!I22&lt;-10000)),main_original!I22/100000000,main_original!I22)</f>
        <v>3.25</v>
      </c>
      <c r="J22" s="3">
        <f>IF(OR(AND(ISNUMBER(main_original!J22),main_original!J22&gt;10000),AND(ISNUMBER(main_original!J22),main_original!J22&lt;-10000)),main_original!J22/100000000,main_original!J22)</f>
        <v>3.05</v>
      </c>
      <c r="K22" s="3">
        <f>IF(OR(AND(ISNUMBER(main_original!K22),main_original!K22&gt;10000),AND(ISNUMBER(main_original!K22),main_original!K22&lt;-10000)),main_original!K22/100000000,main_original!K22)</f>
        <v>3.23</v>
      </c>
      <c r="L22" s="3">
        <f>IF(OR(AND(ISNUMBER(main_original!L22),main_original!L22&gt;10000),AND(ISNUMBER(main_original!L22),main_original!L22&lt;-10000)),main_original!L22/100000000,main_original!L22)</f>
        <v>3.82</v>
      </c>
      <c r="M22" s="3">
        <f>IF(OR(AND(ISNUMBER(main_original!M22),main_original!M22&gt;10000),AND(ISNUMBER(main_original!M22),main_original!M22&lt;-10000)),main_original!M22/100000000,main_original!M22)</f>
        <v>2.91</v>
      </c>
      <c r="N22" s="3">
        <f>IF(OR(AND(ISNUMBER(main_original!N22),main_original!N22&gt;10000),AND(ISNUMBER(main_original!N22),main_original!N22&lt;-10000)),main_original!N22/100000000,main_original!N22)</f>
        <v>2.66</v>
      </c>
      <c r="O22" s="3">
        <f>IF(OR(AND(ISNUMBER(main_original!O22),main_original!O22&gt;10000),AND(ISNUMBER(main_original!O22),main_original!O22&lt;-10000)),main_original!O22/100000000,main_original!O22)</f>
        <v>2.36</v>
      </c>
      <c r="P22" s="3">
        <f>IF(OR(AND(ISNUMBER(main_original!P22),main_original!P22&gt;10000),AND(ISNUMBER(main_original!P22),main_original!P22&lt;-10000)),main_original!P22/100000000,main_original!P22)</f>
        <v>2.63</v>
      </c>
      <c r="Q22" s="3">
        <f>IF(OR(AND(ISNUMBER(main_original!Q22),main_original!Q22&gt;10000),AND(ISNUMBER(main_original!Q22),main_original!Q22&lt;-10000)),main_original!Q22/100000000,main_original!Q22)</f>
        <v>2.44</v>
      </c>
      <c r="R22" s="3">
        <f>IF(OR(AND(ISNUMBER(main_original!R22),main_original!R22&gt;10000),AND(ISNUMBER(main_original!R22),main_original!R22&lt;-10000)),main_original!R22/100000000,main_original!R22)</f>
        <v>2.4700000000000002</v>
      </c>
      <c r="S22" s="3">
        <f>IF(OR(AND(ISNUMBER(main_original!S22),main_original!S22&gt;10000),AND(ISNUMBER(main_original!S22),main_original!S22&lt;-10000)),main_original!S22/100000000,main_original!S22)</f>
        <v>2.62</v>
      </c>
      <c r="T22" s="3">
        <f>IF(OR(AND(ISNUMBER(main_original!T22),main_original!T22&gt;10000),AND(ISNUMBER(main_original!T22),main_original!T22&lt;-10000)),main_original!T22/100000000,main_original!T22)</f>
        <v>3.5</v>
      </c>
      <c r="U22" s="3">
        <f>IF(OR(AND(ISNUMBER(main_original!U22),main_original!U22&gt;10000),AND(ISNUMBER(main_original!U22),main_original!U22&lt;-10000)),main_original!U22/100000000,main_original!U22)</f>
        <v>3.24</v>
      </c>
      <c r="V22" s="3">
        <f>IF(OR(AND(ISNUMBER(main_original!V22),main_original!V22&gt;10000),AND(ISNUMBER(main_original!V22),main_original!V22&lt;-10000)),main_original!V22/100000000,main_original!V22)</f>
        <v>3.67</v>
      </c>
      <c r="W22" s="3">
        <f>IF(OR(AND(ISNUMBER(main_original!W22),main_original!W22&gt;10000),AND(ISNUMBER(main_original!W22),main_original!W22&lt;-10000)),main_original!W22/100000000,main_original!W22)</f>
        <v>6.15</v>
      </c>
      <c r="X22" s="3">
        <f>IF(OR(AND(ISNUMBER(main_original!X22),main_original!X22&gt;10000),AND(ISNUMBER(main_original!X22),main_original!X22&lt;-10000)),main_original!X22/100000000,main_original!X22)</f>
        <v>5.72</v>
      </c>
      <c r="Y22" s="3">
        <f>IF(OR(AND(ISNUMBER(main_original!Y22),main_original!Y22&gt;10000),AND(ISNUMBER(main_original!Y22),main_original!Y22&lt;-10000)),main_original!Y22/100000000,main_original!Y22)</f>
        <v>4.51</v>
      </c>
      <c r="Z22" s="3">
        <f>IF(OR(AND(ISNUMBER(main_original!Z22),main_original!Z22&gt;10000),AND(ISNUMBER(main_original!Z22),main_original!Z22&lt;-10000)),main_original!Z22/100000000,main_original!Z22)</f>
        <v>5.0599999999999996</v>
      </c>
      <c r="AA22" s="3">
        <f>IF(OR(AND(ISNUMBER(main_original!AA22),main_original!AA22&gt;10000),AND(ISNUMBER(main_original!AA22),main_original!AA22&lt;-10000)),main_original!AA22/100000000,main_original!AA22)</f>
        <v>4.51</v>
      </c>
      <c r="AB22" s="3">
        <f>IF(OR(AND(ISNUMBER(main_original!AB22),main_original!AB22&gt;10000),AND(ISNUMBER(main_original!AB22),main_original!AB22&lt;-10000)),main_original!AB22/100000000,main_original!AB22)</f>
        <v>4.7300000000000004</v>
      </c>
      <c r="AC22" s="3">
        <f>IF(OR(AND(ISNUMBER(main_original!AC22),main_original!AC22&gt;10000),AND(ISNUMBER(main_original!AC22),main_original!AC22&lt;-10000)),main_original!AC22/100000000,main_original!AC22)</f>
        <v>3.71</v>
      </c>
      <c r="AD22" s="3">
        <f>IF(OR(AND(ISNUMBER(main_original!AD22),main_original!AD22&gt;10000),AND(ISNUMBER(main_original!AD22),main_original!AD22&lt;-10000)),main_original!AD22/100000000,main_original!AD22)</f>
        <v>4.22</v>
      </c>
      <c r="AE22" s="3">
        <f>IF(OR(AND(ISNUMBER(main_original!AE22),main_original!AE22&gt;10000),AND(ISNUMBER(main_original!AE22),main_original!AE22&lt;-10000)),main_original!AE22/100000000,main_original!AE22)</f>
        <v>4.43</v>
      </c>
      <c r="AF22" s="3">
        <f>IF(OR(AND(ISNUMBER(main_original!AF22),main_original!AF22&gt;10000),AND(ISNUMBER(main_original!AF22),main_original!AF22&lt;-10000)),main_original!AF22/100000000,main_original!AF22)</f>
        <v>5.0599999999999996</v>
      </c>
      <c r="AG22" s="3">
        <f>IF(OR(AND(ISNUMBER(main_original!AG22),main_original!AG22&gt;10000),AND(ISNUMBER(main_original!AG22),main_original!AG22&lt;-10000)),main_original!AG22/100000000,main_original!AG22)</f>
        <v>3.8</v>
      </c>
      <c r="AH22" s="3">
        <f>IF(OR(AND(ISNUMBER(main_original!AH22),main_original!AH22&gt;10000),AND(ISNUMBER(main_original!AH22),main_original!AH22&lt;-10000)),main_original!AH22/100000000,main_original!AH22)</f>
        <v>4.6100000000000003</v>
      </c>
      <c r="AI22" s="3">
        <f>IF(OR(AND(ISNUMBER(main_original!AI22),main_original!AI22&gt;10000),AND(ISNUMBER(main_original!AI22),main_original!AI22&lt;-10000)),main_original!AI22/100000000,main_original!AI22)</f>
        <v>2.87</v>
      </c>
      <c r="AJ22" s="3">
        <f>IF(OR(AND(ISNUMBER(main_original!AJ22),main_original!AJ22&gt;10000),AND(ISNUMBER(main_original!AJ22),main_original!AJ22&lt;-10000)),main_original!AJ22/100000000,main_original!AJ22)</f>
        <v>3.72</v>
      </c>
      <c r="AK22" s="3">
        <f>IF(OR(AND(ISNUMBER(main_original!AK22),main_original!AK22&gt;10000),AND(ISNUMBER(main_original!AK22),main_original!AK22&lt;-10000)),main_original!AK22/100000000,main_original!AK22)</f>
        <v>2.94</v>
      </c>
      <c r="AL22" s="3">
        <f>IF(OR(AND(ISNUMBER(main_original!AL22),main_original!AL22&gt;10000),AND(ISNUMBER(main_original!AL22),main_original!AL22&lt;-10000)),main_original!AL22/100000000,main_original!AL22)</f>
        <v>2.76</v>
      </c>
      <c r="AM22" s="3">
        <f>IF(OR(AND(ISNUMBER(main_original!AM22),main_original!AM22&gt;10000),AND(ISNUMBER(main_original!AM22),main_original!AM22&lt;-10000)),main_original!AM22/100000000,main_original!AM22)</f>
        <v>2.72</v>
      </c>
      <c r="AN22" s="3">
        <f>IF(OR(AND(ISNUMBER(main_original!AN22),main_original!AN22&gt;10000),AND(ISNUMBER(main_original!AN22),main_original!AN22&lt;-10000)),main_original!AN22/100000000,main_original!AN22)</f>
        <v>2.76</v>
      </c>
      <c r="AO22" s="3">
        <f>IF(OR(AND(ISNUMBER(main_original!AO22),main_original!AO22&gt;10000),AND(ISNUMBER(main_original!AO22),main_original!AO22&lt;-10000)),main_original!AO22/100000000,main_original!AO22)</f>
        <v>2.89</v>
      </c>
      <c r="AP22" s="3">
        <f>IF(OR(AND(ISNUMBER(main_original!AP22),main_original!AP22&gt;10000),AND(ISNUMBER(main_original!AP22),main_original!AP22&lt;-10000)),main_original!AP22/100000000,main_original!AP22)</f>
        <v>3.54</v>
      </c>
      <c r="AQ22" s="3">
        <f>IF(OR(AND(ISNUMBER(main_original!AQ22),main_original!AQ22&gt;10000),AND(ISNUMBER(main_original!AQ22),main_original!AQ22&lt;-10000)),main_original!AQ22/100000000,main_original!AQ22)</f>
        <v>3.62</v>
      </c>
      <c r="AR22" s="3">
        <f>IF(OR(AND(ISNUMBER(main_original!AR22),main_original!AR22&gt;10000),AND(ISNUMBER(main_original!AR22),main_original!AR22&lt;-10000)),main_original!AR22/100000000,main_original!AR22)</f>
        <v>3.66</v>
      </c>
      <c r="AS22" s="3">
        <f>IF(OR(AND(ISNUMBER(main_original!AS22),main_original!AS22&gt;10000),AND(ISNUMBER(main_original!AS22),main_original!AS22&lt;-10000)),main_original!AS22/100000000,main_original!AS22)</f>
        <v>3.06</v>
      </c>
      <c r="AT22" s="3">
        <f>IF(OR(AND(ISNUMBER(main_original!AT22),main_original!AT22&gt;10000),AND(ISNUMBER(main_original!AT22),main_original!AT22&lt;-10000)),main_original!AT22/100000000,main_original!AT22)</f>
        <v>5.1100000000000003</v>
      </c>
      <c r="AU22" s="3">
        <v>4.37</v>
      </c>
      <c r="AV22" s="3">
        <v>3.96</v>
      </c>
      <c r="AW22" s="3">
        <v>2.88</v>
      </c>
      <c r="AX22" s="3">
        <v>4.24</v>
      </c>
      <c r="AY22" s="3">
        <v>5.45</v>
      </c>
      <c r="AZ22" s="3">
        <v>3.62</v>
      </c>
      <c r="BA22" s="3">
        <v>3.44</v>
      </c>
      <c r="BB22" s="3">
        <v>2.19</v>
      </c>
      <c r="BC22" s="3">
        <v>1.82</v>
      </c>
      <c r="BD22" s="3">
        <v>1.76</v>
      </c>
      <c r="BE22" s="3">
        <v>1.99</v>
      </c>
      <c r="BF22" s="3">
        <v>1.87</v>
      </c>
      <c r="BG22" s="3">
        <v>2.02</v>
      </c>
      <c r="BH22" s="3">
        <v>2.38</v>
      </c>
      <c r="BI22" s="3">
        <v>2.08</v>
      </c>
      <c r="BJ22" s="3">
        <v>2.2400000000000002</v>
      </c>
      <c r="BK22" s="3">
        <v>2.4300000000000002</v>
      </c>
      <c r="BL22" s="3">
        <v>2.48</v>
      </c>
      <c r="BM22" s="3">
        <v>2.21</v>
      </c>
      <c r="BN22" s="3">
        <v>2.41</v>
      </c>
      <c r="BO22" s="3">
        <v>2.98</v>
      </c>
      <c r="BP22" s="3">
        <v>3.13</v>
      </c>
      <c r="BQ22" s="3">
        <v>2.5299999999999998</v>
      </c>
      <c r="BR22" s="3">
        <v>2.67</v>
      </c>
      <c r="BS22" s="3">
        <v>3.49</v>
      </c>
      <c r="BT22" s="3">
        <v>3.59</v>
      </c>
      <c r="BU22" s="3">
        <v>2.83</v>
      </c>
      <c r="BV22" s="3">
        <v>3.38</v>
      </c>
      <c r="BW22" s="3">
        <v>4.1900000000000004</v>
      </c>
      <c r="BX22" s="3">
        <v>4.07</v>
      </c>
      <c r="BY22" s="3">
        <v>3.1</v>
      </c>
      <c r="BZ22" s="3">
        <v>1.57</v>
      </c>
      <c r="CA22" s="3">
        <v>1.3</v>
      </c>
      <c r="CB22" s="3">
        <v>1.1399999999999999</v>
      </c>
      <c r="CC22" s="3">
        <v>1.1599999999999999</v>
      </c>
    </row>
    <row r="23" spans="1:81" x14ac:dyDescent="0.25">
      <c r="A23" s="3" t="s">
        <v>46</v>
      </c>
      <c r="B23" s="3">
        <f>IF(OR(AND(ISNUMBER(main_original!B23),main_original!B23&gt;10000),AND(ISNUMBER(main_original!B23),main_original!B23&lt;-10000)),main_original!B23/100000000,main_original!B23)</f>
        <v>4.25</v>
      </c>
      <c r="C23" s="3">
        <f>IF(OR(AND(ISNUMBER(main_original!C23),main_original!C23&gt;10000),AND(ISNUMBER(main_original!C23),main_original!C23&lt;-10000)),main_original!C23/100000000,main_original!C23)</f>
        <v>3.97</v>
      </c>
      <c r="D23" s="3">
        <f>IF(OR(AND(ISNUMBER(main_original!D23),main_original!D23&gt;10000),AND(ISNUMBER(main_original!D23),main_original!D23&lt;-10000)),main_original!D23/100000000,main_original!D23)</f>
        <v>5.08</v>
      </c>
      <c r="E23" s="3">
        <f>IF(OR(AND(ISNUMBER(main_original!E23),main_original!E23&gt;10000),AND(ISNUMBER(main_original!E23),main_original!E23&lt;-10000)),main_original!E23/100000000,main_original!E23)</f>
        <v>3.22</v>
      </c>
      <c r="F23" s="3">
        <f>IF(OR(AND(ISNUMBER(main_original!F23),main_original!F23&gt;10000),AND(ISNUMBER(main_original!F23),main_original!F23&lt;-10000)),main_original!F23/100000000,main_original!F23)</f>
        <v>3.6</v>
      </c>
      <c r="G23" s="3">
        <f>IF(OR(AND(ISNUMBER(main_original!G23),main_original!G23&gt;10000),AND(ISNUMBER(main_original!G23),main_original!G23&lt;-10000)),main_original!G23/100000000,main_original!G23)</f>
        <v>2.58</v>
      </c>
      <c r="H23" s="3">
        <f>IF(OR(AND(ISNUMBER(main_original!H23),main_original!H23&gt;10000),AND(ISNUMBER(main_original!H23),main_original!H23&lt;-10000)),main_original!H23/100000000,main_original!H23)</f>
        <v>3.69</v>
      </c>
      <c r="I23" s="3">
        <f>IF(OR(AND(ISNUMBER(main_original!I23),main_original!I23&gt;10000),AND(ISNUMBER(main_original!I23),main_original!I23&lt;-10000)),main_original!I23/100000000,main_original!I23)</f>
        <v>2.66</v>
      </c>
      <c r="J23" s="3">
        <f>IF(OR(AND(ISNUMBER(main_original!J23),main_original!J23&gt;10000),AND(ISNUMBER(main_original!J23),main_original!J23&lt;-10000)),main_original!J23/100000000,main_original!J23)</f>
        <v>2.4900000000000002</v>
      </c>
      <c r="K23" s="3">
        <f>IF(OR(AND(ISNUMBER(main_original!K23),main_original!K23&gt;10000),AND(ISNUMBER(main_original!K23),main_original!K23&lt;-10000)),main_original!K23/100000000,main_original!K23)</f>
        <v>2.54</v>
      </c>
      <c r="L23" s="3">
        <f>IF(OR(AND(ISNUMBER(main_original!L23),main_original!L23&gt;10000),AND(ISNUMBER(main_original!L23),main_original!L23&lt;-10000)),main_original!L23/100000000,main_original!L23)</f>
        <v>3.04</v>
      </c>
      <c r="M23" s="3">
        <f>IF(OR(AND(ISNUMBER(main_original!M23),main_original!M23&gt;10000),AND(ISNUMBER(main_original!M23),main_original!M23&lt;-10000)),main_original!M23/100000000,main_original!M23)</f>
        <v>2.3199999999999998</v>
      </c>
      <c r="N23" s="3">
        <f>IF(OR(AND(ISNUMBER(main_original!N23),main_original!N23&gt;10000),AND(ISNUMBER(main_original!N23),main_original!N23&lt;-10000)),main_original!N23/100000000,main_original!N23)</f>
        <v>2.11</v>
      </c>
      <c r="O23" s="3">
        <f>IF(OR(AND(ISNUMBER(main_original!O23),main_original!O23&gt;10000),AND(ISNUMBER(main_original!O23),main_original!O23&lt;-10000)),main_original!O23/100000000,main_original!O23)</f>
        <v>1.83</v>
      </c>
      <c r="P23" s="3">
        <f>IF(OR(AND(ISNUMBER(main_original!P23),main_original!P23&gt;10000),AND(ISNUMBER(main_original!P23),main_original!P23&lt;-10000)),main_original!P23/100000000,main_original!P23)</f>
        <v>2.0299999999999998</v>
      </c>
      <c r="Q23" s="3">
        <f>IF(OR(AND(ISNUMBER(main_original!Q23),main_original!Q23&gt;10000),AND(ISNUMBER(main_original!Q23),main_original!Q23&lt;-10000)),main_original!Q23/100000000,main_original!Q23)</f>
        <v>1.84</v>
      </c>
      <c r="R23" s="3">
        <f>IF(OR(AND(ISNUMBER(main_original!R23),main_original!R23&gt;10000),AND(ISNUMBER(main_original!R23),main_original!R23&lt;-10000)),main_original!R23/100000000,main_original!R23)</f>
        <v>1.87</v>
      </c>
      <c r="S23" s="3">
        <f>IF(OR(AND(ISNUMBER(main_original!S23),main_original!S23&gt;10000),AND(ISNUMBER(main_original!S23),main_original!S23&lt;-10000)),main_original!S23/100000000,main_original!S23)</f>
        <v>1.92</v>
      </c>
      <c r="T23" s="3">
        <f>IF(OR(AND(ISNUMBER(main_original!T23),main_original!T23&gt;10000),AND(ISNUMBER(main_original!T23),main_original!T23&lt;-10000)),main_original!T23/100000000,main_original!T23)</f>
        <v>2.4900000000000002</v>
      </c>
      <c r="U23" s="3">
        <f>IF(OR(AND(ISNUMBER(main_original!U23),main_original!U23&gt;10000),AND(ISNUMBER(main_original!U23),main_original!U23&lt;-10000)),main_original!U23/100000000,main_original!U23)</f>
        <v>2.27</v>
      </c>
      <c r="V23" s="3">
        <f>IF(OR(AND(ISNUMBER(main_original!V23),main_original!V23&gt;10000),AND(ISNUMBER(main_original!V23),main_original!V23&lt;-10000)),main_original!V23/100000000,main_original!V23)</f>
        <v>2.5</v>
      </c>
      <c r="W23" s="3">
        <f>IF(OR(AND(ISNUMBER(main_original!W23),main_original!W23&gt;10000),AND(ISNUMBER(main_original!W23),main_original!W23&lt;-10000)),main_original!W23/100000000,main_original!W23)</f>
        <v>3.97</v>
      </c>
      <c r="X23" s="3">
        <f>IF(OR(AND(ISNUMBER(main_original!X23),main_original!X23&gt;10000),AND(ISNUMBER(main_original!X23),main_original!X23&lt;-10000)),main_original!X23/100000000,main_original!X23)</f>
        <v>3.56</v>
      </c>
      <c r="Y23" s="3">
        <f>IF(OR(AND(ISNUMBER(main_original!Y23),main_original!Y23&gt;10000),AND(ISNUMBER(main_original!Y23),main_original!Y23&lt;-10000)),main_original!Y23/100000000,main_original!Y23)</f>
        <v>2.82</v>
      </c>
      <c r="Z23" s="3">
        <f>IF(OR(AND(ISNUMBER(main_original!Z23),main_original!Z23&gt;10000),AND(ISNUMBER(main_original!Z23),main_original!Z23&lt;-10000)),main_original!Z23/100000000,main_original!Z23)</f>
        <v>2.91</v>
      </c>
      <c r="AA23" s="3">
        <f>IF(OR(AND(ISNUMBER(main_original!AA23),main_original!AA23&gt;10000),AND(ISNUMBER(main_original!AA23),main_original!AA23&lt;-10000)),main_original!AA23/100000000,main_original!AA23)</f>
        <v>2.5099999999999998</v>
      </c>
      <c r="AB23" s="3">
        <f>IF(OR(AND(ISNUMBER(main_original!AB23),main_original!AB23&gt;10000),AND(ISNUMBER(main_original!AB23),main_original!AB23&lt;-10000)),main_original!AB23/100000000,main_original!AB23)</f>
        <v>2.79</v>
      </c>
      <c r="AC23" s="3">
        <f>IF(OR(AND(ISNUMBER(main_original!AC23),main_original!AC23&gt;10000),AND(ISNUMBER(main_original!AC23),main_original!AC23&lt;-10000)),main_original!AC23/100000000,main_original!AC23)</f>
        <v>2.2799999999999998</v>
      </c>
      <c r="AD23" s="3">
        <f>IF(OR(AND(ISNUMBER(main_original!AD23),main_original!AD23&gt;10000),AND(ISNUMBER(main_original!AD23),main_original!AD23&lt;-10000)),main_original!AD23/100000000,main_original!AD23)</f>
        <v>2.4</v>
      </c>
      <c r="AE23" s="3">
        <f>IF(OR(AND(ISNUMBER(main_original!AE23),main_original!AE23&gt;10000),AND(ISNUMBER(main_original!AE23),main_original!AE23&lt;-10000)),main_original!AE23/100000000,main_original!AE23)</f>
        <v>2.4</v>
      </c>
      <c r="AF23" s="3">
        <f>IF(OR(AND(ISNUMBER(main_original!AF23),main_original!AF23&gt;10000),AND(ISNUMBER(main_original!AF23),main_original!AF23&lt;-10000)),main_original!AF23/100000000,main_original!AF23)</f>
        <v>3.03</v>
      </c>
      <c r="AG23" s="3">
        <f>IF(OR(AND(ISNUMBER(main_original!AG23),main_original!AG23&gt;10000),AND(ISNUMBER(main_original!AG23),main_original!AG23&lt;-10000)),main_original!AG23/100000000,main_original!AG23)</f>
        <v>2.38</v>
      </c>
      <c r="AH23" s="3">
        <f>IF(OR(AND(ISNUMBER(main_original!AH23),main_original!AH23&gt;10000),AND(ISNUMBER(main_original!AH23),main_original!AH23&lt;-10000)),main_original!AH23/100000000,main_original!AH23)</f>
        <v>2.88</v>
      </c>
      <c r="AI23" s="3">
        <f>IF(OR(AND(ISNUMBER(main_original!AI23),main_original!AI23&gt;10000),AND(ISNUMBER(main_original!AI23),main_original!AI23&lt;-10000)),main_original!AI23/100000000,main_original!AI23)</f>
        <v>1.92</v>
      </c>
      <c r="AJ23" s="3">
        <f>IF(OR(AND(ISNUMBER(main_original!AJ23),main_original!AJ23&gt;10000),AND(ISNUMBER(main_original!AJ23),main_original!AJ23&lt;-10000)),main_original!AJ23/100000000,main_original!AJ23)</f>
        <v>2.46</v>
      </c>
      <c r="AK23" s="3">
        <f>IF(OR(AND(ISNUMBER(main_original!AK23),main_original!AK23&gt;10000),AND(ISNUMBER(main_original!AK23),main_original!AK23&lt;-10000)),main_original!AK23/100000000,main_original!AK23)</f>
        <v>1.98</v>
      </c>
      <c r="AL23" s="3">
        <f>IF(OR(AND(ISNUMBER(main_original!AL23),main_original!AL23&gt;10000),AND(ISNUMBER(main_original!AL23),main_original!AL23&lt;-10000)),main_original!AL23/100000000,main_original!AL23)</f>
        <v>1.92</v>
      </c>
      <c r="AM23" s="3">
        <f>IF(OR(AND(ISNUMBER(main_original!AM23),main_original!AM23&gt;10000),AND(ISNUMBER(main_original!AM23),main_original!AM23&lt;-10000)),main_original!AM23/100000000,main_original!AM23)</f>
        <v>1.89</v>
      </c>
      <c r="AN23" s="3">
        <f>IF(OR(AND(ISNUMBER(main_original!AN23),main_original!AN23&gt;10000),AND(ISNUMBER(main_original!AN23),main_original!AN23&lt;-10000)),main_original!AN23/100000000,main_original!AN23)</f>
        <v>1.89</v>
      </c>
      <c r="AO23" s="3">
        <f>IF(OR(AND(ISNUMBER(main_original!AO23),main_original!AO23&gt;10000),AND(ISNUMBER(main_original!AO23),main_original!AO23&lt;-10000)),main_original!AO23/100000000,main_original!AO23)</f>
        <v>1.88</v>
      </c>
      <c r="AP23" s="3">
        <f>IF(OR(AND(ISNUMBER(main_original!AP23),main_original!AP23&gt;10000),AND(ISNUMBER(main_original!AP23),main_original!AP23&lt;-10000)),main_original!AP23/100000000,main_original!AP23)</f>
        <v>2.2599999999999998</v>
      </c>
      <c r="AQ23" s="3">
        <f>IF(OR(AND(ISNUMBER(main_original!AQ23),main_original!AQ23&gt;10000),AND(ISNUMBER(main_original!AQ23),main_original!AQ23&lt;-10000)),main_original!AQ23/100000000,main_original!AQ23)</f>
        <v>2.31</v>
      </c>
      <c r="AR23" s="3">
        <f>IF(OR(AND(ISNUMBER(main_original!AR23),main_original!AR23&gt;10000),AND(ISNUMBER(main_original!AR23),main_original!AR23&lt;-10000)),main_original!AR23/100000000,main_original!AR23)</f>
        <v>2.35</v>
      </c>
      <c r="AS23" s="3">
        <f>IF(OR(AND(ISNUMBER(main_original!AS23),main_original!AS23&gt;10000),AND(ISNUMBER(main_original!AS23),main_original!AS23&lt;-10000)),main_original!AS23/100000000,main_original!AS23)</f>
        <v>2.0099999999999998</v>
      </c>
      <c r="AT23" s="3">
        <f>IF(OR(AND(ISNUMBER(main_original!AT23),main_original!AT23&gt;10000),AND(ISNUMBER(main_original!AT23),main_original!AT23&lt;-10000)),main_original!AT23/100000000,main_original!AT23)</f>
        <v>3.3</v>
      </c>
      <c r="AU23" s="3">
        <v>2.88</v>
      </c>
      <c r="AV23" s="3">
        <v>2.65</v>
      </c>
      <c r="AW23" s="3">
        <v>1.97</v>
      </c>
      <c r="AX23" s="3">
        <v>3.04</v>
      </c>
      <c r="AY23" s="3">
        <v>3.73</v>
      </c>
      <c r="AZ23" s="3">
        <v>2.57</v>
      </c>
      <c r="BA23" s="3">
        <v>2.35</v>
      </c>
      <c r="BB23" s="3">
        <v>1.54</v>
      </c>
      <c r="BC23" s="3">
        <v>1.29</v>
      </c>
      <c r="BD23" s="3">
        <v>1.26</v>
      </c>
      <c r="BE23" s="3">
        <v>1.41</v>
      </c>
      <c r="BF23" s="3">
        <v>1.31</v>
      </c>
      <c r="BG23" s="3">
        <v>1.34</v>
      </c>
      <c r="BH23" s="3">
        <v>1.66</v>
      </c>
      <c r="BI23" s="3">
        <v>1.43</v>
      </c>
      <c r="BJ23" s="3">
        <v>1.51</v>
      </c>
      <c r="BK23" s="3">
        <v>1.61</v>
      </c>
      <c r="BL23" s="3">
        <v>1.64</v>
      </c>
      <c r="BM23" s="3">
        <v>1.43</v>
      </c>
      <c r="BN23" s="3">
        <v>1.53</v>
      </c>
      <c r="BO23" s="3">
        <v>1.89</v>
      </c>
      <c r="BP23" s="3">
        <v>1.98</v>
      </c>
      <c r="BQ23" s="3">
        <v>1.71</v>
      </c>
      <c r="BR23" s="3">
        <v>1.68</v>
      </c>
      <c r="BS23" s="3">
        <v>2.0099999999999998</v>
      </c>
      <c r="BT23" s="3">
        <v>2.25</v>
      </c>
      <c r="BU23" s="3">
        <v>1.81</v>
      </c>
      <c r="BV23" s="3">
        <v>2.16</v>
      </c>
      <c r="BW23" s="3">
        <v>2.6</v>
      </c>
      <c r="BX23" s="3">
        <v>2.88</v>
      </c>
      <c r="BY23" s="3">
        <v>2.25</v>
      </c>
      <c r="BZ23" s="3">
        <v>0.67</v>
      </c>
      <c r="CA23" s="3">
        <v>0.66</v>
      </c>
      <c r="CB23" s="3">
        <v>0.46</v>
      </c>
      <c r="CC23" s="3">
        <v>0.43</v>
      </c>
    </row>
    <row r="24" spans="1:81" x14ac:dyDescent="0.25">
      <c r="A24" s="3" t="s">
        <v>766</v>
      </c>
      <c r="B24" s="3">
        <f>IF(OR(AND(ISNUMBER(main_original!B24),main_original!B24&gt;10000),AND(ISNUMBER(main_original!B24),main_original!B24&lt;-10000)),main_original!B24/100000000,main_original!B24)</f>
        <v>0.96</v>
      </c>
      <c r="C24" s="3">
        <f>IF(OR(AND(ISNUMBER(main_original!C24),main_original!C24&gt;10000),AND(ISNUMBER(main_original!C24),main_original!C24&lt;-10000)),main_original!C24/100000000,main_original!C24)</f>
        <v>0.9</v>
      </c>
      <c r="D24" s="3">
        <f>IF(OR(AND(ISNUMBER(main_original!D24),main_original!D24&gt;10000),AND(ISNUMBER(main_original!D24),main_original!D24&lt;-10000)),main_original!D24/100000000,main_original!D24)</f>
        <v>0.82</v>
      </c>
      <c r="E24" s="3">
        <f>IF(OR(AND(ISNUMBER(main_original!E24),main_original!E24&gt;10000),AND(ISNUMBER(main_original!E24),main_original!E24&lt;-10000)),main_original!E24/100000000,main_original!E24)</f>
        <v>0.36</v>
      </c>
      <c r="F24" s="3">
        <f>IF(OR(AND(ISNUMBER(main_original!F24),main_original!F24&gt;10000),AND(ISNUMBER(main_original!F24),main_original!F24&lt;-10000)),main_original!F24/100000000,main_original!F24)</f>
        <v>3.59</v>
      </c>
      <c r="G24" s="3">
        <f>IF(OR(AND(ISNUMBER(main_original!G24),main_original!G24&gt;10000),AND(ISNUMBER(main_original!G24),main_original!G24&lt;-10000)),main_original!G24/100000000,main_original!G24)</f>
        <v>2.57</v>
      </c>
      <c r="H24" s="3">
        <f>IF(OR(AND(ISNUMBER(main_original!H24),main_original!H24&gt;10000),AND(ISNUMBER(main_original!H24),main_original!H24&lt;-10000)),main_original!H24/100000000,main_original!H24)</f>
        <v>3.69</v>
      </c>
      <c r="I24" s="3">
        <f>IF(OR(AND(ISNUMBER(main_original!I24),main_original!I24&gt;10000),AND(ISNUMBER(main_original!I24),main_original!I24&lt;-10000)),main_original!I24/100000000,main_original!I24)</f>
        <v>2.66</v>
      </c>
      <c r="J24" s="3">
        <f>IF(OR(AND(ISNUMBER(main_original!J24),main_original!J24&gt;10000),AND(ISNUMBER(main_original!J24),main_original!J24&lt;-10000)),main_original!J24/100000000,main_original!J24)</f>
        <v>2.4900000000000002</v>
      </c>
      <c r="K24" s="3">
        <f>IF(OR(AND(ISNUMBER(main_original!K24),main_original!K24&gt;10000),AND(ISNUMBER(main_original!K24),main_original!K24&lt;-10000)),main_original!K24/100000000,main_original!K24)</f>
        <v>2.54</v>
      </c>
      <c r="L24" s="3">
        <f>IF(OR(AND(ISNUMBER(main_original!L24),main_original!L24&gt;10000),AND(ISNUMBER(main_original!L24),main_original!L24&lt;-10000)),main_original!L24/100000000,main_original!L24)</f>
        <v>3.04</v>
      </c>
      <c r="M24" s="3">
        <f>IF(OR(AND(ISNUMBER(main_original!M24),main_original!M24&gt;10000),AND(ISNUMBER(main_original!M24),main_original!M24&lt;-10000)),main_original!M24/100000000,main_original!M24)</f>
        <v>2.3199999999999998</v>
      </c>
      <c r="N24" s="3">
        <f>IF(OR(AND(ISNUMBER(main_original!N24),main_original!N24&gt;10000),AND(ISNUMBER(main_original!N24),main_original!N24&lt;-10000)),main_original!N24/100000000,main_original!N24)</f>
        <v>2.11</v>
      </c>
      <c r="O24" s="3">
        <f>IF(OR(AND(ISNUMBER(main_original!O24),main_original!O24&gt;10000),AND(ISNUMBER(main_original!O24),main_original!O24&lt;-10000)),main_original!O24/100000000,main_original!O24)</f>
        <v>1.83</v>
      </c>
      <c r="P24" s="3">
        <f>IF(OR(AND(ISNUMBER(main_original!P24),main_original!P24&gt;10000),AND(ISNUMBER(main_original!P24),main_original!P24&lt;-10000)),main_original!P24/100000000,main_original!P24)</f>
        <v>2.0299999999999998</v>
      </c>
      <c r="Q24" s="3">
        <f>IF(OR(AND(ISNUMBER(main_original!Q24),main_original!Q24&gt;10000),AND(ISNUMBER(main_original!Q24),main_original!Q24&lt;-10000)),main_original!Q24/100000000,main_original!Q24)</f>
        <v>1.83</v>
      </c>
      <c r="R24" s="3">
        <f>IF(OR(AND(ISNUMBER(main_original!R24),main_original!R24&gt;10000),AND(ISNUMBER(main_original!R24),main_original!R24&lt;-10000)),main_original!R24/100000000,main_original!R24)</f>
        <v>1.87</v>
      </c>
      <c r="S24" s="3">
        <f>IF(OR(AND(ISNUMBER(main_original!S24),main_original!S24&gt;10000),AND(ISNUMBER(main_original!S24),main_original!S24&lt;-10000)),main_original!S24/100000000,main_original!S24)</f>
        <v>1.92</v>
      </c>
      <c r="T24" s="3">
        <f>IF(OR(AND(ISNUMBER(main_original!T24),main_original!T24&gt;10000),AND(ISNUMBER(main_original!T24),main_original!T24&lt;-10000)),main_original!T24/100000000,main_original!T24)</f>
        <v>2.4700000000000002</v>
      </c>
      <c r="U24" s="3">
        <f>IF(OR(AND(ISNUMBER(main_original!U24),main_original!U24&gt;10000),AND(ISNUMBER(main_original!U24),main_original!U24&lt;-10000)),main_original!U24/100000000,main_original!U24)</f>
        <v>2.27</v>
      </c>
      <c r="V24" s="3">
        <f>IF(OR(AND(ISNUMBER(main_original!V24),main_original!V24&gt;10000),AND(ISNUMBER(main_original!V24),main_original!V24&lt;-10000)),main_original!V24/100000000,main_original!V24)</f>
        <v>2.5</v>
      </c>
      <c r="W24" s="3">
        <f>IF(OR(AND(ISNUMBER(main_original!W24),main_original!W24&gt;10000),AND(ISNUMBER(main_original!W24),main_original!W24&lt;-10000)),main_original!W24/100000000,main_original!W24)</f>
        <v>3.97</v>
      </c>
      <c r="X24" s="3">
        <f>IF(OR(AND(ISNUMBER(main_original!X24),main_original!X24&gt;10000),AND(ISNUMBER(main_original!X24),main_original!X24&lt;-10000)),main_original!X24/100000000,main_original!X24)</f>
        <v>3.56</v>
      </c>
      <c r="Y24" s="3">
        <f>IF(OR(AND(ISNUMBER(main_original!Y24),main_original!Y24&gt;10000),AND(ISNUMBER(main_original!Y24),main_original!Y24&lt;-10000)),main_original!Y24/100000000,main_original!Y24)</f>
        <v>2.82</v>
      </c>
      <c r="Z24" s="3">
        <f>IF(OR(AND(ISNUMBER(main_original!Z24),main_original!Z24&gt;10000),AND(ISNUMBER(main_original!Z24),main_original!Z24&lt;-10000)),main_original!Z24/100000000,main_original!Z24)</f>
        <v>2.91</v>
      </c>
      <c r="AA24" s="3">
        <f>IF(OR(AND(ISNUMBER(main_original!AA24),main_original!AA24&gt;10000),AND(ISNUMBER(main_original!AA24),main_original!AA24&lt;-10000)),main_original!AA24/100000000,main_original!AA24)</f>
        <v>2.5099999999999998</v>
      </c>
      <c r="AB24" s="3">
        <f>IF(OR(AND(ISNUMBER(main_original!AB24),main_original!AB24&gt;10000),AND(ISNUMBER(main_original!AB24),main_original!AB24&lt;-10000)),main_original!AB24/100000000,main_original!AB24)</f>
        <v>2.79</v>
      </c>
      <c r="AC24" s="3">
        <f>IF(OR(AND(ISNUMBER(main_original!AC24),main_original!AC24&gt;10000),AND(ISNUMBER(main_original!AC24),main_original!AC24&lt;-10000)),main_original!AC24/100000000,main_original!AC24)</f>
        <v>2.2799999999999998</v>
      </c>
      <c r="AD24" s="3">
        <f>IF(OR(AND(ISNUMBER(main_original!AD24),main_original!AD24&gt;10000),AND(ISNUMBER(main_original!AD24),main_original!AD24&lt;-10000)),main_original!AD24/100000000,main_original!AD24)</f>
        <v>2.4</v>
      </c>
      <c r="AE24" s="3">
        <f>IF(OR(AND(ISNUMBER(main_original!AE24),main_original!AE24&gt;10000),AND(ISNUMBER(main_original!AE24),main_original!AE24&lt;-10000)),main_original!AE24/100000000,main_original!AE24)</f>
        <v>2.4</v>
      </c>
      <c r="AF24" s="3">
        <f>IF(OR(AND(ISNUMBER(main_original!AF24),main_original!AF24&gt;10000),AND(ISNUMBER(main_original!AF24),main_original!AF24&lt;-10000)),main_original!AF24/100000000,main_original!AF24)</f>
        <v>3.03</v>
      </c>
      <c r="AG24" s="3">
        <f>IF(OR(AND(ISNUMBER(main_original!AG24),main_original!AG24&gt;10000),AND(ISNUMBER(main_original!AG24),main_original!AG24&lt;-10000)),main_original!AG24/100000000,main_original!AG24)</f>
        <v>2.38</v>
      </c>
      <c r="AH24" s="3">
        <f>IF(OR(AND(ISNUMBER(main_original!AH24),main_original!AH24&gt;10000),AND(ISNUMBER(main_original!AH24),main_original!AH24&lt;-10000)),main_original!AH24/100000000,main_original!AH24)</f>
        <v>2.88</v>
      </c>
      <c r="AI24" s="3">
        <f>IF(OR(AND(ISNUMBER(main_original!AI24),main_original!AI24&gt;10000),AND(ISNUMBER(main_original!AI24),main_original!AI24&lt;-10000)),main_original!AI24/100000000,main_original!AI24)</f>
        <v>1.92</v>
      </c>
      <c r="AJ24" s="3">
        <f>IF(OR(AND(ISNUMBER(main_original!AJ24),main_original!AJ24&gt;10000),AND(ISNUMBER(main_original!AJ24),main_original!AJ24&lt;-10000)),main_original!AJ24/100000000,main_original!AJ24)</f>
        <v>2.46</v>
      </c>
      <c r="AK24" s="3">
        <f>IF(OR(AND(ISNUMBER(main_original!AK24),main_original!AK24&gt;10000),AND(ISNUMBER(main_original!AK24),main_original!AK24&lt;-10000)),main_original!AK24/100000000,main_original!AK24)</f>
        <v>1.98</v>
      </c>
      <c r="AL24" s="3">
        <f>IF(OR(AND(ISNUMBER(main_original!AL24),main_original!AL24&gt;10000),AND(ISNUMBER(main_original!AL24),main_original!AL24&lt;-10000)),main_original!AL24/100000000,main_original!AL24)</f>
        <v>1.92</v>
      </c>
      <c r="AM24" s="3">
        <f>IF(OR(AND(ISNUMBER(main_original!AM24),main_original!AM24&gt;10000),AND(ISNUMBER(main_original!AM24),main_original!AM24&lt;-10000)),main_original!AM24/100000000,main_original!AM24)</f>
        <v>1.89</v>
      </c>
      <c r="AN24" s="3">
        <f>IF(OR(AND(ISNUMBER(main_original!AN24),main_original!AN24&gt;10000),AND(ISNUMBER(main_original!AN24),main_original!AN24&lt;-10000)),main_original!AN24/100000000,main_original!AN24)</f>
        <v>1.89</v>
      </c>
      <c r="AO24" s="3">
        <f>IF(OR(AND(ISNUMBER(main_original!AO24),main_original!AO24&gt;10000),AND(ISNUMBER(main_original!AO24),main_original!AO24&lt;-10000)),main_original!AO24/100000000,main_original!AO24)</f>
        <v>1.88</v>
      </c>
      <c r="AP24" s="3">
        <f>IF(OR(AND(ISNUMBER(main_original!AP24),main_original!AP24&gt;10000),AND(ISNUMBER(main_original!AP24),main_original!AP24&lt;-10000)),main_original!AP24/100000000,main_original!AP24)</f>
        <v>2.2599999999999998</v>
      </c>
      <c r="AQ24" s="3">
        <f>IF(OR(AND(ISNUMBER(main_original!AQ24),main_original!AQ24&gt;10000),AND(ISNUMBER(main_original!AQ24),main_original!AQ24&lt;-10000)),main_original!AQ24/100000000,main_original!AQ24)</f>
        <v>2.31</v>
      </c>
      <c r="AR24" s="3">
        <f>IF(OR(AND(ISNUMBER(main_original!AR24),main_original!AR24&gt;10000),AND(ISNUMBER(main_original!AR24),main_original!AR24&lt;-10000)),main_original!AR24/100000000,main_original!AR24)</f>
        <v>2.35</v>
      </c>
      <c r="AS24" s="3">
        <f>IF(OR(AND(ISNUMBER(main_original!AS24),main_original!AS24&gt;10000),AND(ISNUMBER(main_original!AS24),main_original!AS24&lt;-10000)),main_original!AS24/100000000,main_original!AS24)</f>
        <v>2.0099999999999998</v>
      </c>
      <c r="AT24" s="3">
        <f>IF(OR(AND(ISNUMBER(main_original!AT24),main_original!AT24&gt;10000),AND(ISNUMBER(main_original!AT24),main_original!AT24&lt;-10000)),main_original!AT24/100000000,main_original!AT24)</f>
        <v>3.3</v>
      </c>
      <c r="AU24" s="3">
        <v>2.88</v>
      </c>
      <c r="AV24" s="3">
        <v>2.65</v>
      </c>
      <c r="AW24" s="3">
        <v>1.97</v>
      </c>
      <c r="AX24" s="3">
        <v>3.04</v>
      </c>
      <c r="AY24" s="3">
        <v>3.73</v>
      </c>
      <c r="AZ24" s="3">
        <v>2.57</v>
      </c>
      <c r="BA24" s="3">
        <v>2.35</v>
      </c>
      <c r="BB24" s="3">
        <v>1.54</v>
      </c>
      <c r="BC24" s="3">
        <v>1.29</v>
      </c>
      <c r="BD24" s="3">
        <v>1.26</v>
      </c>
      <c r="BE24" s="3">
        <v>1.41</v>
      </c>
      <c r="BF24" s="3">
        <v>1.4</v>
      </c>
      <c r="BG24" s="3">
        <v>1.4</v>
      </c>
      <c r="BH24" s="3">
        <v>1.71</v>
      </c>
      <c r="BI24" s="3">
        <v>1.5</v>
      </c>
      <c r="BJ24" s="3">
        <v>1.58</v>
      </c>
      <c r="BK24" s="3">
        <v>1.67</v>
      </c>
      <c r="BL24" s="3">
        <v>1.72</v>
      </c>
      <c r="BM24" s="3">
        <v>1.49</v>
      </c>
      <c r="BN24" s="3">
        <v>1.63</v>
      </c>
      <c r="BO24" s="3">
        <v>1.96</v>
      </c>
      <c r="BP24" s="3">
        <v>2.04</v>
      </c>
      <c r="BQ24" s="3">
        <v>1.76</v>
      </c>
      <c r="BR24" s="3">
        <v>1.76</v>
      </c>
      <c r="BS24" s="3">
        <v>2.06</v>
      </c>
      <c r="BT24" s="3">
        <v>2.31</v>
      </c>
      <c r="BU24" s="3">
        <v>1.88</v>
      </c>
      <c r="BV24" s="3">
        <v>2.2400000000000002</v>
      </c>
      <c r="BW24" s="3">
        <v>2.72</v>
      </c>
      <c r="BX24" s="3">
        <v>2.97</v>
      </c>
      <c r="BY24" s="3">
        <v>2.2799999999999998</v>
      </c>
      <c r="BZ24" s="3">
        <v>0.77</v>
      </c>
      <c r="CA24" s="3">
        <v>0.64</v>
      </c>
      <c r="CB24" s="3">
        <v>0.47</v>
      </c>
      <c r="CC24" s="3">
        <v>0.43</v>
      </c>
    </row>
    <row r="25" spans="1:81" x14ac:dyDescent="0.25">
      <c r="A25" s="3" t="s">
        <v>767</v>
      </c>
      <c r="B25" s="3">
        <f>IF(OR(AND(ISNUMBER(main_original!B25),main_original!B25&gt;10000),AND(ISNUMBER(main_original!B25),main_original!B25&lt;-10000)),main_original!B25/100000000,main_original!B25)</f>
        <v>0.2</v>
      </c>
      <c r="C25" s="3">
        <f>IF(OR(AND(ISNUMBER(main_original!C25),main_original!C25&gt;10000),AND(ISNUMBER(main_original!C25),main_original!C25&lt;-10000)),main_original!C25/100000000,main_original!C25)</f>
        <v>0.22</v>
      </c>
      <c r="D25" s="3">
        <f>IF(OR(AND(ISNUMBER(main_original!D25),main_original!D25&gt;10000),AND(ISNUMBER(main_original!D25),main_original!D25&lt;-10000)),main_original!D25/100000000,main_original!D25)</f>
        <v>0.17</v>
      </c>
      <c r="E25" s="3">
        <f>IF(OR(AND(ISNUMBER(main_original!E25),main_original!E25&gt;10000),AND(ISNUMBER(main_original!E25),main_original!E25&lt;-10000)),main_original!E25/100000000,main_original!E25)</f>
        <v>0.3</v>
      </c>
      <c r="F25" s="3">
        <f>IF(OR(AND(ISNUMBER(main_original!F25),main_original!F25&gt;10000),AND(ISNUMBER(main_original!F25),main_original!F25&lt;-10000)),main_original!F25/100000000,main_original!F25)</f>
        <v>0.25</v>
      </c>
      <c r="G25" s="3">
        <f>IF(OR(AND(ISNUMBER(main_original!G25),main_original!G25&gt;10000),AND(ISNUMBER(main_original!G25),main_original!G25&lt;-10000)),main_original!G25/100000000,main_original!G25)</f>
        <v>0.4</v>
      </c>
      <c r="H25" s="3">
        <f>IF(OR(AND(ISNUMBER(main_original!H25),main_original!H25&gt;10000),AND(ISNUMBER(main_original!H25),main_original!H25&lt;-10000)),main_original!H25/100000000,main_original!H25)</f>
        <v>0.25</v>
      </c>
      <c r="I25" s="3">
        <f>IF(OR(AND(ISNUMBER(main_original!I25),main_original!I25&gt;10000),AND(ISNUMBER(main_original!I25),main_original!I25&lt;-10000)),main_original!I25/100000000,main_original!I25)</f>
        <v>0.38</v>
      </c>
      <c r="J25" s="3">
        <f>IF(OR(AND(ISNUMBER(main_original!J25),main_original!J25&gt;10000),AND(ISNUMBER(main_original!J25),main_original!J25&lt;-10000)),main_original!J25/100000000,main_original!J25)</f>
        <v>0.4</v>
      </c>
      <c r="K25" s="3">
        <f>IF(OR(AND(ISNUMBER(main_original!K25),main_original!K25&gt;10000),AND(ISNUMBER(main_original!K25),main_original!K25&lt;-10000)),main_original!K25/100000000,main_original!K25)</f>
        <v>0.36</v>
      </c>
      <c r="L25" s="3">
        <f>IF(OR(AND(ISNUMBER(main_original!L25),main_original!L25&gt;10000),AND(ISNUMBER(main_original!L25),main_original!L25&lt;-10000)),main_original!L25/100000000,main_original!L25)</f>
        <v>0.28999999999999998</v>
      </c>
      <c r="M25" s="3">
        <f>IF(OR(AND(ISNUMBER(main_original!M25),main_original!M25&gt;10000),AND(ISNUMBER(main_original!M25),main_original!M25&lt;-10000)),main_original!M25/100000000,main_original!M25)</f>
        <v>0.42</v>
      </c>
      <c r="N25" s="3">
        <f>IF(OR(AND(ISNUMBER(main_original!N25),main_original!N25&gt;10000),AND(ISNUMBER(main_original!N25),main_original!N25&lt;-10000)),main_original!N25/100000000,main_original!N25)</f>
        <v>0.47</v>
      </c>
      <c r="O25" s="3">
        <f>IF(OR(AND(ISNUMBER(main_original!O25),main_original!O25&gt;10000),AND(ISNUMBER(main_original!O25),main_original!O25&lt;-10000)),main_original!O25/100000000,main_original!O25)</f>
        <v>0.55000000000000004</v>
      </c>
      <c r="P25" s="3">
        <f>IF(OR(AND(ISNUMBER(main_original!P25),main_original!P25&gt;10000),AND(ISNUMBER(main_original!P25),main_original!P25&lt;-10000)),main_original!P25/100000000,main_original!P25)</f>
        <v>0.46</v>
      </c>
      <c r="Q25" s="3">
        <f>IF(OR(AND(ISNUMBER(main_original!Q25),main_original!Q25&gt;10000),AND(ISNUMBER(main_original!Q25),main_original!Q25&lt;-10000)),main_original!Q25/100000000,main_original!Q25)</f>
        <v>0.51</v>
      </c>
      <c r="R25" s="3">
        <f>IF(OR(AND(ISNUMBER(main_original!R25),main_original!R25&gt;10000),AND(ISNUMBER(main_original!R25),main_original!R25&lt;-10000)),main_original!R25/100000000,main_original!R25)</f>
        <v>0.49</v>
      </c>
      <c r="S25" s="3">
        <f>IF(OR(AND(ISNUMBER(main_original!S25),main_original!S25&gt;10000),AND(ISNUMBER(main_original!S25),main_original!S25&lt;-10000)),main_original!S25/100000000,main_original!S25)</f>
        <v>0.43</v>
      </c>
      <c r="T25" s="3">
        <f>IF(OR(AND(ISNUMBER(main_original!T25),main_original!T25&gt;10000),AND(ISNUMBER(main_original!T25),main_original!T25&lt;-10000)),main_original!T25/100000000,main_original!T25)</f>
        <v>0.28999999999999998</v>
      </c>
      <c r="U25" s="3">
        <f>IF(OR(AND(ISNUMBER(main_original!U25),main_original!U25&gt;10000),AND(ISNUMBER(main_original!U25),main_original!U25&lt;-10000)),main_original!U25/100000000,main_original!U25)</f>
        <v>0.31</v>
      </c>
      <c r="V25" s="3">
        <f>IF(OR(AND(ISNUMBER(main_original!V25),main_original!V25&gt;10000),AND(ISNUMBER(main_original!V25),main_original!V25&lt;-10000)),main_original!V25/100000000,main_original!V25)</f>
        <v>0.26</v>
      </c>
      <c r="W25" s="3">
        <f>IF(OR(AND(ISNUMBER(main_original!W25),main_original!W25&gt;10000),AND(ISNUMBER(main_original!W25),main_original!W25&lt;-10000)),main_original!W25/100000000,main_original!W25)</f>
        <v>0.14000000000000001</v>
      </c>
      <c r="X25" s="3">
        <f>IF(OR(AND(ISNUMBER(main_original!X25),main_original!X25&gt;10000),AND(ISNUMBER(main_original!X25),main_original!X25&lt;-10000)),main_original!X25/100000000,main_original!X25)</f>
        <v>0.15</v>
      </c>
      <c r="Y25" s="3">
        <f>IF(OR(AND(ISNUMBER(main_original!Y25),main_original!Y25&gt;10000),AND(ISNUMBER(main_original!Y25),main_original!Y25&lt;-10000)),main_original!Y25/100000000,main_original!Y25)</f>
        <v>0.2</v>
      </c>
      <c r="Z25" s="3">
        <f>IF(OR(AND(ISNUMBER(main_original!Z25),main_original!Z25&gt;10000),AND(ISNUMBER(main_original!Z25),main_original!Z25&lt;-10000)),main_original!Z25/100000000,main_original!Z25)</f>
        <v>0.17</v>
      </c>
      <c r="AA25" s="3">
        <f>IF(OR(AND(ISNUMBER(main_original!AA25),main_original!AA25&gt;10000),AND(ISNUMBER(main_original!AA25),main_original!AA25&lt;-10000)),main_original!AA25/100000000,main_original!AA25)</f>
        <v>0.19</v>
      </c>
      <c r="AB25" s="3">
        <f>IF(OR(AND(ISNUMBER(main_original!AB25),main_original!AB25&gt;10000),AND(ISNUMBER(main_original!AB25),main_original!AB25&lt;-10000)),main_original!AB25/100000000,main_original!AB25)</f>
        <v>0.19</v>
      </c>
      <c r="AC25" s="3">
        <f>IF(OR(AND(ISNUMBER(main_original!AC25),main_original!AC25&gt;10000),AND(ISNUMBER(main_original!AC25),main_original!AC25&lt;-10000)),main_original!AC25/100000000,main_original!AC25)</f>
        <v>0.27</v>
      </c>
      <c r="AD25" s="3">
        <f>IF(OR(AND(ISNUMBER(main_original!AD25),main_original!AD25&gt;10000),AND(ISNUMBER(main_original!AD25),main_original!AD25&lt;-10000)),main_original!AD25/100000000,main_original!AD25)</f>
        <v>0.25</v>
      </c>
      <c r="AE25" s="3">
        <f>IF(OR(AND(ISNUMBER(main_original!AE25),main_original!AE25&gt;10000),AND(ISNUMBER(main_original!AE25),main_original!AE25&lt;-10000)),main_original!AE25/100000000,main_original!AE25)</f>
        <v>0.23</v>
      </c>
      <c r="AF25" s="3">
        <f>IF(OR(AND(ISNUMBER(main_original!AF25),main_original!AF25&gt;10000),AND(ISNUMBER(main_original!AF25),main_original!AF25&lt;-10000)),main_original!AF25/100000000,main_original!AF25)</f>
        <v>0.19</v>
      </c>
      <c r="AG25" s="3">
        <f>IF(OR(AND(ISNUMBER(main_original!AG25),main_original!AG25&gt;10000),AND(ISNUMBER(main_original!AG25),main_original!AG25&lt;-10000)),main_original!AG25/100000000,main_original!AG25)</f>
        <v>0.28000000000000003</v>
      </c>
      <c r="AH25" s="3">
        <f>IF(OR(AND(ISNUMBER(main_original!AH25),main_original!AH25&gt;10000),AND(ISNUMBER(main_original!AH25),main_original!AH25&lt;-10000)),main_original!AH25/100000000,main_original!AH25)</f>
        <v>0.22</v>
      </c>
      <c r="AI25" s="3">
        <f>IF(OR(AND(ISNUMBER(main_original!AI25),main_original!AI25&gt;10000),AND(ISNUMBER(main_original!AI25),main_original!AI25&lt;-10000)),main_original!AI25/100000000,main_original!AI25)</f>
        <v>0.41</v>
      </c>
      <c r="AJ25" s="3">
        <f>IF(OR(AND(ISNUMBER(main_original!AJ25),main_original!AJ25&gt;10000),AND(ISNUMBER(main_original!AJ25),main_original!AJ25&lt;-10000)),main_original!AJ25/100000000,main_original!AJ25)</f>
        <v>0.28000000000000003</v>
      </c>
      <c r="AK25" s="3">
        <f>IF(OR(AND(ISNUMBER(main_original!AK25),main_original!AK25&gt;10000),AND(ISNUMBER(main_original!AK25),main_original!AK25&lt;-10000)),main_original!AK25/100000000,main_original!AK25)</f>
        <v>0.38</v>
      </c>
      <c r="AL25" s="3">
        <f>IF(OR(AND(ISNUMBER(main_original!AL25),main_original!AL25&gt;10000),AND(ISNUMBER(main_original!AL25),main_original!AL25&lt;-10000)),main_original!AL25/100000000,main_original!AL25)</f>
        <v>0.43</v>
      </c>
      <c r="AM25" s="3">
        <f>IF(OR(AND(ISNUMBER(main_original!AM25),main_original!AM25&gt;10000),AND(ISNUMBER(main_original!AM25),main_original!AM25&lt;-10000)),main_original!AM25/100000000,main_original!AM25)</f>
        <v>0.44</v>
      </c>
      <c r="AN25" s="3">
        <f>IF(OR(AND(ISNUMBER(main_original!AN25),main_original!AN25&gt;10000),AND(ISNUMBER(main_original!AN25),main_original!AN25&lt;-10000)),main_original!AN25/100000000,main_original!AN25)</f>
        <v>0.43</v>
      </c>
      <c r="AO25" s="3">
        <f>IF(OR(AND(ISNUMBER(main_original!AO25),main_original!AO25&gt;10000),AND(ISNUMBER(main_original!AO25),main_original!AO25&lt;-10000)),main_original!AO25/100000000,main_original!AO25)</f>
        <v>0.38</v>
      </c>
      <c r="AP25" s="3">
        <f>IF(OR(AND(ISNUMBER(main_original!AP25),main_original!AP25&gt;10000),AND(ISNUMBER(main_original!AP25),main_original!AP25&lt;-10000)),main_original!AP25/100000000,main_original!AP25)</f>
        <v>0.28999999999999998</v>
      </c>
      <c r="AQ25" s="3">
        <f>IF(OR(AND(ISNUMBER(main_original!AQ25),main_original!AQ25&gt;10000),AND(ISNUMBER(main_original!AQ25),main_original!AQ25&lt;-10000)),main_original!AQ25/100000000,main_original!AQ25)</f>
        <v>0.28000000000000003</v>
      </c>
      <c r="AR25" s="3">
        <f>IF(OR(AND(ISNUMBER(main_original!AR25),main_original!AR25&gt;10000),AND(ISNUMBER(main_original!AR25),main_original!AR25&lt;-10000)),main_original!AR25/100000000,main_original!AR25)</f>
        <v>0.28000000000000003</v>
      </c>
      <c r="AS25" s="3">
        <f>IF(OR(AND(ISNUMBER(main_original!AS25),main_original!AS25&gt;10000),AND(ISNUMBER(main_original!AS25),main_original!AS25&lt;-10000)),main_original!AS25/100000000,main_original!AS25)</f>
        <v>0.35</v>
      </c>
      <c r="AT25" s="3">
        <f>IF(OR(AND(ISNUMBER(main_original!AT25),main_original!AT25&gt;10000),AND(ISNUMBER(main_original!AT25),main_original!AT25&lt;-10000)),main_original!AT25/100000000,main_original!AT25)</f>
        <v>0.18</v>
      </c>
      <c r="AU25" s="3">
        <v>0.22</v>
      </c>
      <c r="AV25" s="3">
        <v>0.24</v>
      </c>
      <c r="AW25" s="3">
        <v>0.38</v>
      </c>
      <c r="AX25" s="3">
        <v>0.21</v>
      </c>
      <c r="AY25" s="3">
        <v>0.15</v>
      </c>
      <c r="AZ25" s="3">
        <v>0.25</v>
      </c>
      <c r="BA25" s="3">
        <v>0.26</v>
      </c>
      <c r="BB25" s="3">
        <v>0.47</v>
      </c>
      <c r="BC25" s="3">
        <v>0.65</v>
      </c>
      <c r="BD25" s="3">
        <v>0.69</v>
      </c>
      <c r="BE25" s="3">
        <v>0.56000000000000005</v>
      </c>
      <c r="BF25" s="3">
        <v>0.63</v>
      </c>
      <c r="BG25" s="3">
        <v>0.55000000000000004</v>
      </c>
      <c r="BH25" s="3">
        <v>0.45</v>
      </c>
      <c r="BI25" s="3">
        <v>0.56999999999999995</v>
      </c>
      <c r="BJ25" s="3">
        <v>0.49</v>
      </c>
      <c r="BK25" s="3">
        <v>0.44</v>
      </c>
      <c r="BL25" s="3">
        <v>0.43</v>
      </c>
      <c r="BM25" s="3">
        <v>0.52</v>
      </c>
      <c r="BN25" s="3">
        <v>0.45</v>
      </c>
      <c r="BO25" s="3">
        <v>0.32</v>
      </c>
      <c r="BP25" s="3">
        <v>0.3</v>
      </c>
      <c r="BQ25" s="3">
        <v>0.43</v>
      </c>
      <c r="BR25" s="3">
        <v>0.39</v>
      </c>
      <c r="BS25" s="3">
        <v>0.26</v>
      </c>
      <c r="BT25" s="3">
        <v>0.26</v>
      </c>
      <c r="BU25" s="3">
        <v>0.37</v>
      </c>
      <c r="BV25" s="3">
        <v>0.3</v>
      </c>
      <c r="BW25" s="3">
        <v>0.23</v>
      </c>
      <c r="BX25" s="3">
        <v>0.26</v>
      </c>
      <c r="BY25" s="3">
        <v>0.37</v>
      </c>
      <c r="BZ25" s="3">
        <v>1.1399999999999999</v>
      </c>
      <c r="CA25" s="3">
        <v>1.85</v>
      </c>
      <c r="CB25" s="3">
        <v>2.21</v>
      </c>
      <c r="CC25" s="3">
        <v>2.17</v>
      </c>
    </row>
    <row r="26" spans="1:81" x14ac:dyDescent="0.25">
      <c r="A26" s="3" t="s">
        <v>47</v>
      </c>
      <c r="B26" s="3" t="str">
        <f>IF(OR(AND(ISNUMBER(main_original!B26),main_original!B26&gt;10000),AND(ISNUMBER(main_original!B26),main_original!B26&lt;-10000)),main_original!B26/100000000,main_original!B26)</f>
        <v>16.47%</v>
      </c>
      <c r="C26" s="3" t="str">
        <f>IF(OR(AND(ISNUMBER(main_original!C26),main_original!C26&gt;10000),AND(ISNUMBER(main_original!C26),main_original!C26&lt;-10000)),main_original!C26/100000000,main_original!C26)</f>
        <v>17.24%</v>
      </c>
      <c r="D26" s="3" t="str">
        <f>IF(OR(AND(ISNUMBER(main_original!D26),main_original!D26&gt;10000),AND(ISNUMBER(main_original!D26),main_original!D26&lt;-10000)),main_original!D26/100000000,main_original!D26)</f>
        <v>14.25%</v>
      </c>
      <c r="E26" s="3" t="str">
        <f>IF(OR(AND(ISNUMBER(main_original!E26),main_original!E26&gt;10000),AND(ISNUMBER(main_original!E26),main_original!E26&lt;-10000)),main_original!E26/100000000,main_original!E26)</f>
        <v>22.49%</v>
      </c>
      <c r="F26" s="3" t="str">
        <f>IF(OR(AND(ISNUMBER(main_original!F26),main_original!F26&gt;10000),AND(ISNUMBER(main_original!F26),main_original!F26&lt;-10000)),main_original!F26/100000000,main_original!F26)</f>
        <v>19.52%</v>
      </c>
      <c r="G26" s="3" t="str">
        <f>IF(OR(AND(ISNUMBER(main_original!G26),main_original!G26&gt;10000),AND(ISNUMBER(main_original!G26),main_original!G26&lt;-10000)),main_original!G26/100000000,main_original!G26)</f>
        <v>27.56%</v>
      </c>
      <c r="H26" s="3" t="str">
        <f>IF(OR(AND(ISNUMBER(main_original!H26),main_original!H26&gt;10000),AND(ISNUMBER(main_original!H26),main_original!H26&lt;-10000)),main_original!H26/100000000,main_original!H26)</f>
        <v>19.12%</v>
      </c>
      <c r="I26" s="3" t="str">
        <f>IF(OR(AND(ISNUMBER(main_original!I26),main_original!I26&gt;10000),AND(ISNUMBER(main_original!I26),main_original!I26&lt;-10000)),main_original!I26/100000000,main_original!I26)</f>
        <v>26.55%</v>
      </c>
      <c r="J26" s="3" t="str">
        <f>IF(OR(AND(ISNUMBER(main_original!J26),main_original!J26&gt;10000),AND(ISNUMBER(main_original!J26),main_original!J26&lt;-10000)),main_original!J26/100000000,main_original!J26)</f>
        <v>27.86%</v>
      </c>
      <c r="K26" s="3" t="str">
        <f>IF(OR(AND(ISNUMBER(main_original!K26),main_original!K26&gt;10000),AND(ISNUMBER(main_original!K26),main_original!K26&lt;-10000)),main_original!K26/100000000,main_original!K26)</f>
        <v>25.72%</v>
      </c>
      <c r="L26" s="3" t="str">
        <f>IF(OR(AND(ISNUMBER(main_original!L26),main_original!L26&gt;10000),AND(ISNUMBER(main_original!L26),main_original!L26&lt;-10000)),main_original!L26/100000000,main_original!L26)</f>
        <v>21.77%</v>
      </c>
      <c r="M26" s="3" t="str">
        <f>IF(OR(AND(ISNUMBER(main_original!M26),main_original!M26&gt;10000),AND(ISNUMBER(main_original!M26),main_original!M26&lt;-10000)),main_original!M26/100000000,main_original!M26)</f>
        <v>28.67%</v>
      </c>
      <c r="N26" s="3" t="str">
        <f>IF(OR(AND(ISNUMBER(main_original!N26),main_original!N26&gt;10000),AND(ISNUMBER(main_original!N26),main_original!N26&lt;-10000)),main_original!N26/100000000,main_original!N26)</f>
        <v>30.83%</v>
      </c>
      <c r="O26" s="3" t="str">
        <f>IF(OR(AND(ISNUMBER(main_original!O26),main_original!O26&gt;10000),AND(ISNUMBER(main_original!O26),main_original!O26&lt;-10000)),main_original!O26/100000000,main_original!O26)</f>
        <v>34.32%</v>
      </c>
      <c r="P26" s="3" t="str">
        <f>IF(OR(AND(ISNUMBER(main_original!P26),main_original!P26&gt;10000),AND(ISNUMBER(main_original!P26),main_original!P26&lt;-10000)),main_original!P26/100000000,main_original!P26)</f>
        <v>30.70%</v>
      </c>
      <c r="Q26" s="3" t="str">
        <f>IF(OR(AND(ISNUMBER(main_original!Q26),main_original!Q26&gt;10000),AND(ISNUMBER(main_original!Q26),main_original!Q26&lt;-10000)),main_original!Q26/100000000,main_original!Q26)</f>
        <v>32.79%</v>
      </c>
      <c r="R26" s="3" t="str">
        <f>IF(OR(AND(ISNUMBER(main_original!R26),main_original!R26&gt;10000),AND(ISNUMBER(main_original!R26),main_original!R26&lt;-10000)),main_original!R26/100000000,main_original!R26)</f>
        <v>32.21%</v>
      </c>
      <c r="S26" s="3" t="str">
        <f>IF(OR(AND(ISNUMBER(main_original!S26),main_original!S26&gt;10000),AND(ISNUMBER(main_original!S26),main_original!S26&lt;-10000)),main_original!S26/100000000,main_original!S26)</f>
        <v>29.51%</v>
      </c>
      <c r="T26" s="3" t="str">
        <f>IF(OR(AND(ISNUMBER(main_original!T26),main_original!T26&gt;10000),AND(ISNUMBER(main_original!T26),main_original!T26&lt;-10000)),main_original!T26/100000000,main_original!T26)</f>
        <v>21.78%</v>
      </c>
      <c r="U26" s="3" t="str">
        <f>IF(OR(AND(ISNUMBER(main_original!U26),main_original!U26&gt;10000),AND(ISNUMBER(main_original!U26),main_original!U26&lt;-10000)),main_original!U26/100000000,main_original!U26)</f>
        <v>23.25%</v>
      </c>
      <c r="V26" s="3" t="str">
        <f>IF(OR(AND(ISNUMBER(main_original!V26),main_original!V26&gt;10000),AND(ISNUMBER(main_original!V26),main_original!V26&lt;-10000)),main_original!V26/100000000,main_original!V26)</f>
        <v>20.17%</v>
      </c>
      <c r="W26" s="3" t="str">
        <f>IF(OR(AND(ISNUMBER(main_original!W26),main_original!W26&gt;10000),AND(ISNUMBER(main_original!W26),main_original!W26&lt;-10000)),main_original!W26/100000000,main_original!W26)</f>
        <v>11.99%</v>
      </c>
      <c r="X26" s="3" t="str">
        <f>IF(OR(AND(ISNUMBER(main_original!X26),main_original!X26&gt;10000),AND(ISNUMBER(main_original!X26),main_original!X26&lt;-10000)),main_original!X26/100000000,main_original!X26)</f>
        <v>12.85%</v>
      </c>
      <c r="Y26" s="3" t="str">
        <f>IF(OR(AND(ISNUMBER(main_original!Y26),main_original!Y26&gt;10000),AND(ISNUMBER(main_original!Y26),main_original!Y26&lt;-10000)),main_original!Y26/100000000,main_original!Y26)</f>
        <v>16.03%</v>
      </c>
      <c r="Z26" s="3" t="str">
        <f>IF(OR(AND(ISNUMBER(main_original!Z26),main_original!Z26&gt;10000),AND(ISNUMBER(main_original!Z26),main_original!Z26&lt;-10000)),main_original!Z26/100000000,main_original!Z26)</f>
        <v>14.17%</v>
      </c>
      <c r="AA26" s="3" t="str">
        <f>IF(OR(AND(ISNUMBER(main_original!AA26),main_original!AA26&gt;10000),AND(ISNUMBER(main_original!AA26),main_original!AA26&lt;-10000)),main_original!AA26/100000000,main_original!AA26)</f>
        <v>15.56%</v>
      </c>
      <c r="AB26" s="3" t="str">
        <f>IF(OR(AND(ISNUMBER(main_original!AB26),main_original!AB26&gt;10000),AND(ISNUMBER(main_original!AB26),main_original!AB26&lt;-10000)),main_original!AB26/100000000,main_original!AB26)</f>
        <v>15.31%</v>
      </c>
      <c r="AC26" s="3" t="str">
        <f>IF(OR(AND(ISNUMBER(main_original!AC26),main_original!AC26&gt;10000),AND(ISNUMBER(main_original!AC26),main_original!AC26&lt;-10000)),main_original!AC26/100000000,main_original!AC26)</f>
        <v>20.42%</v>
      </c>
      <c r="AD26" s="3" t="str">
        <f>IF(OR(AND(ISNUMBER(main_original!AD26),main_original!AD26&gt;10000),AND(ISNUMBER(main_original!AD26),main_original!AD26&lt;-10000)),main_original!AD26/100000000,main_original!AD26)</f>
        <v>19.19%</v>
      </c>
      <c r="AE26" s="3" t="str">
        <f>IF(OR(AND(ISNUMBER(main_original!AE26),main_original!AE26&gt;10000),AND(ISNUMBER(main_original!AE26),main_original!AE26&lt;-10000)),main_original!AE26/100000000,main_original!AE26)</f>
        <v>17.98%</v>
      </c>
      <c r="AF26" s="3" t="str">
        <f>IF(OR(AND(ISNUMBER(main_original!AF26),main_original!AF26&gt;10000),AND(ISNUMBER(main_original!AF26),main_original!AF26&lt;-10000)),main_original!AF26/100000000,main_original!AF26)</f>
        <v>15.92%</v>
      </c>
      <c r="AG26" s="3" t="str">
        <f>IF(OR(AND(ISNUMBER(main_original!AG26),main_original!AG26&gt;10000),AND(ISNUMBER(main_original!AG26),main_original!AG26&lt;-10000)),main_original!AG26/100000000,main_original!AG26)</f>
        <v>21.21%</v>
      </c>
      <c r="AH26" s="3" t="str">
        <f>IF(OR(AND(ISNUMBER(main_original!AH26),main_original!AH26&gt;10000),AND(ISNUMBER(main_original!AH26),main_original!AH26&lt;-10000)),main_original!AH26/100000000,main_original!AH26)</f>
        <v>17.62%</v>
      </c>
      <c r="AI26" s="3" t="str">
        <f>IF(OR(AND(ISNUMBER(main_original!AI26),main_original!AI26&gt;10000),AND(ISNUMBER(main_original!AI26),main_original!AI26&lt;-10000)),main_original!AI26/100000000,main_original!AI26)</f>
        <v>28.47%</v>
      </c>
      <c r="AJ26" s="3" t="str">
        <f>IF(OR(AND(ISNUMBER(main_original!AJ26),main_original!AJ26&gt;10000),AND(ISNUMBER(main_original!AJ26),main_original!AJ26&lt;-10000)),main_original!AJ26/100000000,main_original!AJ26)</f>
        <v>21.64%</v>
      </c>
      <c r="AK26" s="3" t="str">
        <f>IF(OR(AND(ISNUMBER(main_original!AK26),main_original!AK26&gt;10000),AND(ISNUMBER(main_original!AK26),main_original!AK26&lt;-10000)),main_original!AK26/100000000,main_original!AK26)</f>
        <v>27.21%</v>
      </c>
      <c r="AL26" s="3" t="str">
        <f>IF(OR(AND(ISNUMBER(main_original!AL26),main_original!AL26&gt;10000),AND(ISNUMBER(main_original!AL26),main_original!AL26&lt;-10000)),main_original!AL26/100000000,main_original!AL26)</f>
        <v>29.82%</v>
      </c>
      <c r="AM26" s="3" t="str">
        <f>IF(OR(AND(ISNUMBER(main_original!AM26),main_original!AM26&gt;10000),AND(ISNUMBER(main_original!AM26),main_original!AM26&lt;-10000)),main_original!AM26/100000000,main_original!AM26)</f>
        <v>30.32%</v>
      </c>
      <c r="AN26" s="3" t="str">
        <f>IF(OR(AND(ISNUMBER(main_original!AN26),main_original!AN26&gt;10000),AND(ISNUMBER(main_original!AN26),main_original!AN26&lt;-10000)),main_original!AN26/100000000,main_original!AN26)</f>
        <v>29.56%</v>
      </c>
      <c r="AO26" s="3" t="str">
        <f>IF(OR(AND(ISNUMBER(main_original!AO26),main_original!AO26&gt;10000),AND(ISNUMBER(main_original!AO26),main_original!AO26&lt;-10000)),main_original!AO26/100000000,main_original!AO26)</f>
        <v>27.51%</v>
      </c>
      <c r="AP26" s="3" t="str">
        <f>IF(OR(AND(ISNUMBER(main_original!AP26),main_original!AP26&gt;10000),AND(ISNUMBER(main_original!AP26),main_original!AP26&lt;-10000)),main_original!AP26/100000000,main_original!AP26)</f>
        <v>22.31%</v>
      </c>
      <c r="AQ26" s="3" t="str">
        <f>IF(OR(AND(ISNUMBER(main_original!AQ26),main_original!AQ26&gt;10000),AND(ISNUMBER(main_original!AQ26),main_original!AQ26&lt;-10000)),main_original!AQ26/100000000,main_original!AQ26)</f>
        <v>21.55%</v>
      </c>
      <c r="AR26" s="3" t="str">
        <f>IF(OR(AND(ISNUMBER(main_original!AR26),main_original!AR26&gt;10000),AND(ISNUMBER(main_original!AR26),main_original!AR26&lt;-10000)),main_original!AR26/100000000,main_original!AR26)</f>
        <v>21.70%</v>
      </c>
      <c r="AS26" s="3" t="str">
        <f>IF(OR(AND(ISNUMBER(main_original!AS26),main_original!AS26&gt;10000),AND(ISNUMBER(main_original!AS26),main_original!AS26&lt;-10000)),main_original!AS26/100000000,main_original!AS26)</f>
        <v>25.89%</v>
      </c>
      <c r="AT26" s="3" t="str">
        <f>IF(OR(AND(ISNUMBER(main_original!AT26),main_original!AT26&gt;10000),AND(ISNUMBER(main_original!AT26),main_original!AT26&lt;-10000)),main_original!AT26/100000000,main_original!AT26)</f>
        <v>15.07%</v>
      </c>
      <c r="AU26" s="3" t="s">
        <v>809</v>
      </c>
      <c r="AV26" s="3" t="s">
        <v>810</v>
      </c>
      <c r="AW26" s="3" t="s">
        <v>811</v>
      </c>
      <c r="AX26" s="3" t="s">
        <v>812</v>
      </c>
      <c r="AY26" s="3" t="s">
        <v>813</v>
      </c>
      <c r="AZ26" s="3" t="s">
        <v>814</v>
      </c>
      <c r="BA26" s="3" t="s">
        <v>815</v>
      </c>
      <c r="BB26" s="3" t="s">
        <v>816</v>
      </c>
      <c r="BC26" s="3" t="s">
        <v>817</v>
      </c>
      <c r="BD26" s="3" t="s">
        <v>818</v>
      </c>
      <c r="BE26" s="3" t="s">
        <v>819</v>
      </c>
      <c r="BF26" s="3" t="s">
        <v>820</v>
      </c>
      <c r="BG26" s="3" t="s">
        <v>821</v>
      </c>
      <c r="BH26" s="3" t="s">
        <v>291</v>
      </c>
      <c r="BI26" s="3" t="s">
        <v>822</v>
      </c>
      <c r="BJ26" s="3" t="s">
        <v>823</v>
      </c>
      <c r="BK26" s="3" t="s">
        <v>824</v>
      </c>
      <c r="BL26" s="3" t="s">
        <v>825</v>
      </c>
      <c r="BM26" s="3" t="s">
        <v>826</v>
      </c>
      <c r="BN26" s="3" t="s">
        <v>782</v>
      </c>
      <c r="BO26" s="3" t="s">
        <v>827</v>
      </c>
      <c r="BP26" s="3" t="s">
        <v>828</v>
      </c>
      <c r="BQ26" s="3" t="s">
        <v>829</v>
      </c>
      <c r="BR26" s="3" t="s">
        <v>830</v>
      </c>
      <c r="BS26" s="3" t="s">
        <v>831</v>
      </c>
      <c r="BT26" s="3" t="s">
        <v>832</v>
      </c>
      <c r="BU26" s="3" t="s">
        <v>335</v>
      </c>
      <c r="BV26" s="3" t="s">
        <v>833</v>
      </c>
      <c r="BW26" s="3" t="s">
        <v>834</v>
      </c>
      <c r="BX26" s="3" t="s">
        <v>835</v>
      </c>
      <c r="BY26" s="3" t="s">
        <v>836</v>
      </c>
      <c r="BZ26" s="3" t="s">
        <v>837</v>
      </c>
      <c r="CA26" s="3" t="s">
        <v>838</v>
      </c>
      <c r="CB26" s="3" t="s">
        <v>839</v>
      </c>
      <c r="CC26" s="3" t="s">
        <v>840</v>
      </c>
    </row>
    <row r="27" spans="1:81" x14ac:dyDescent="0.25">
      <c r="B27" s="3">
        <f>IF(OR(AND(ISNUMBER(main_original!B27),main_original!B27&gt;10000),AND(ISNUMBER(main_original!B27),main_original!B27&lt;-10000)),main_original!B27/100000000,main_original!B27)</f>
        <v>0</v>
      </c>
      <c r="C27" s="3">
        <f>IF(OR(AND(ISNUMBER(main_original!C27),main_original!C27&gt;10000),AND(ISNUMBER(main_original!C27),main_original!C27&lt;-10000)),main_original!C27/100000000,main_original!C27)</f>
        <v>0</v>
      </c>
      <c r="D27" s="3">
        <f>IF(OR(AND(ISNUMBER(main_original!D27),main_original!D27&gt;10000),AND(ISNUMBER(main_original!D27),main_original!D27&lt;-10000)),main_original!D27/100000000,main_original!D27)</f>
        <v>0</v>
      </c>
      <c r="E27" s="3">
        <f>IF(OR(AND(ISNUMBER(main_original!E27),main_original!E27&gt;10000),AND(ISNUMBER(main_original!E27),main_original!E27&lt;-10000)),main_original!E27/100000000,main_original!E27)</f>
        <v>0</v>
      </c>
      <c r="F27" s="3">
        <f>IF(OR(AND(ISNUMBER(main_original!F27),main_original!F27&gt;10000),AND(ISNUMBER(main_original!F27),main_original!F27&lt;-10000)),main_original!F27/100000000,main_original!F27)</f>
        <v>0</v>
      </c>
      <c r="G27" s="3">
        <f>IF(OR(AND(ISNUMBER(main_original!G27),main_original!G27&gt;10000),AND(ISNUMBER(main_original!G27),main_original!G27&lt;-10000)),main_original!G27/100000000,main_original!G27)</f>
        <v>0</v>
      </c>
      <c r="H27" s="3">
        <f>IF(OR(AND(ISNUMBER(main_original!H27),main_original!H27&gt;10000),AND(ISNUMBER(main_original!H27),main_original!H27&lt;-10000)),main_original!H27/100000000,main_original!H27)</f>
        <v>0</v>
      </c>
      <c r="I27" s="3">
        <f>IF(OR(AND(ISNUMBER(main_original!I27),main_original!I27&gt;10000),AND(ISNUMBER(main_original!I27),main_original!I27&lt;-10000)),main_original!I27/100000000,main_original!I27)</f>
        <v>0</v>
      </c>
      <c r="J27" s="3">
        <f>IF(OR(AND(ISNUMBER(main_original!J27),main_original!J27&gt;10000),AND(ISNUMBER(main_original!J27),main_original!J27&lt;-10000)),main_original!J27/100000000,main_original!J27)</f>
        <v>0</v>
      </c>
      <c r="K27" s="3">
        <f>IF(OR(AND(ISNUMBER(main_original!K27),main_original!K27&gt;10000),AND(ISNUMBER(main_original!K27),main_original!K27&lt;-10000)),main_original!K27/100000000,main_original!K27)</f>
        <v>0</v>
      </c>
      <c r="L27" s="3">
        <f>IF(OR(AND(ISNUMBER(main_original!L27),main_original!L27&gt;10000),AND(ISNUMBER(main_original!L27),main_original!L27&lt;-10000)),main_original!L27/100000000,main_original!L27)</f>
        <v>0</v>
      </c>
      <c r="M27" s="3">
        <f>IF(OR(AND(ISNUMBER(main_original!M27),main_original!M27&gt;10000),AND(ISNUMBER(main_original!M27),main_original!M27&lt;-10000)),main_original!M27/100000000,main_original!M27)</f>
        <v>0</v>
      </c>
      <c r="N27" s="3">
        <f>IF(OR(AND(ISNUMBER(main_original!N27),main_original!N27&gt;10000),AND(ISNUMBER(main_original!N27),main_original!N27&lt;-10000)),main_original!N27/100000000,main_original!N27)</f>
        <v>0</v>
      </c>
      <c r="O27" s="3">
        <f>IF(OR(AND(ISNUMBER(main_original!O27),main_original!O27&gt;10000),AND(ISNUMBER(main_original!O27),main_original!O27&lt;-10000)),main_original!O27/100000000,main_original!O27)</f>
        <v>0</v>
      </c>
      <c r="P27" s="3">
        <f>IF(OR(AND(ISNUMBER(main_original!P27),main_original!P27&gt;10000),AND(ISNUMBER(main_original!P27),main_original!P27&lt;-10000)),main_original!P27/100000000,main_original!P27)</f>
        <v>0</v>
      </c>
      <c r="Q27" s="3">
        <f>IF(OR(AND(ISNUMBER(main_original!Q27),main_original!Q27&gt;10000),AND(ISNUMBER(main_original!Q27),main_original!Q27&lt;-10000)),main_original!Q27/100000000,main_original!Q27)</f>
        <v>0</v>
      </c>
      <c r="R27" s="3">
        <f>IF(OR(AND(ISNUMBER(main_original!R27),main_original!R27&gt;10000),AND(ISNUMBER(main_original!R27),main_original!R27&lt;-10000)),main_original!R27/100000000,main_original!R27)</f>
        <v>0</v>
      </c>
      <c r="S27" s="3">
        <f>IF(OR(AND(ISNUMBER(main_original!S27),main_original!S27&gt;10000),AND(ISNUMBER(main_original!S27),main_original!S27&lt;-10000)),main_original!S27/100000000,main_original!S27)</f>
        <v>0</v>
      </c>
      <c r="T27" s="3">
        <f>IF(OR(AND(ISNUMBER(main_original!T27),main_original!T27&gt;10000),AND(ISNUMBER(main_original!T27),main_original!T27&lt;-10000)),main_original!T27/100000000,main_original!T27)</f>
        <v>0</v>
      </c>
      <c r="U27" s="3">
        <f>IF(OR(AND(ISNUMBER(main_original!U27),main_original!U27&gt;10000),AND(ISNUMBER(main_original!U27),main_original!U27&lt;-10000)),main_original!U27/100000000,main_original!U27)</f>
        <v>0</v>
      </c>
      <c r="V27" s="3">
        <f>IF(OR(AND(ISNUMBER(main_original!V27),main_original!V27&gt;10000),AND(ISNUMBER(main_original!V27),main_original!V27&lt;-10000)),main_original!V27/100000000,main_original!V27)</f>
        <v>0</v>
      </c>
      <c r="W27" s="3">
        <f>IF(OR(AND(ISNUMBER(main_original!W27),main_original!W27&gt;10000),AND(ISNUMBER(main_original!W27),main_original!W27&lt;-10000)),main_original!W27/100000000,main_original!W27)</f>
        <v>0</v>
      </c>
      <c r="X27" s="3">
        <f>IF(OR(AND(ISNUMBER(main_original!X27),main_original!X27&gt;10000),AND(ISNUMBER(main_original!X27),main_original!X27&lt;-10000)),main_original!X27/100000000,main_original!X27)</f>
        <v>0</v>
      </c>
      <c r="Y27" s="3">
        <f>IF(OR(AND(ISNUMBER(main_original!Y27),main_original!Y27&gt;10000),AND(ISNUMBER(main_original!Y27),main_original!Y27&lt;-10000)),main_original!Y27/100000000,main_original!Y27)</f>
        <v>0</v>
      </c>
      <c r="Z27" s="3">
        <f>IF(OR(AND(ISNUMBER(main_original!Z27),main_original!Z27&gt;10000),AND(ISNUMBER(main_original!Z27),main_original!Z27&lt;-10000)),main_original!Z27/100000000,main_original!Z27)</f>
        <v>0</v>
      </c>
      <c r="AA27" s="3">
        <f>IF(OR(AND(ISNUMBER(main_original!AA27),main_original!AA27&gt;10000),AND(ISNUMBER(main_original!AA27),main_original!AA27&lt;-10000)),main_original!AA27/100000000,main_original!AA27)</f>
        <v>0</v>
      </c>
      <c r="AB27" s="3">
        <f>IF(OR(AND(ISNUMBER(main_original!AB27),main_original!AB27&gt;10000),AND(ISNUMBER(main_original!AB27),main_original!AB27&lt;-10000)),main_original!AB27/100000000,main_original!AB27)</f>
        <v>0</v>
      </c>
      <c r="AC27" s="3">
        <f>IF(OR(AND(ISNUMBER(main_original!AC27),main_original!AC27&gt;10000),AND(ISNUMBER(main_original!AC27),main_original!AC27&lt;-10000)),main_original!AC27/100000000,main_original!AC27)</f>
        <v>0</v>
      </c>
      <c r="AD27" s="3">
        <f>IF(OR(AND(ISNUMBER(main_original!AD27),main_original!AD27&gt;10000),AND(ISNUMBER(main_original!AD27),main_original!AD27&lt;-10000)),main_original!AD27/100000000,main_original!AD27)</f>
        <v>0</v>
      </c>
      <c r="AE27" s="3">
        <f>IF(OR(AND(ISNUMBER(main_original!AE27),main_original!AE27&gt;10000),AND(ISNUMBER(main_original!AE27),main_original!AE27&lt;-10000)),main_original!AE27/100000000,main_original!AE27)</f>
        <v>0</v>
      </c>
      <c r="AF27" s="3">
        <f>IF(OR(AND(ISNUMBER(main_original!AF27),main_original!AF27&gt;10000),AND(ISNUMBER(main_original!AF27),main_original!AF27&lt;-10000)),main_original!AF27/100000000,main_original!AF27)</f>
        <v>0</v>
      </c>
      <c r="AG27" s="3">
        <f>IF(OR(AND(ISNUMBER(main_original!AG27),main_original!AG27&gt;10000),AND(ISNUMBER(main_original!AG27),main_original!AG27&lt;-10000)),main_original!AG27/100000000,main_original!AG27)</f>
        <v>0</v>
      </c>
      <c r="AH27" s="3">
        <f>IF(OR(AND(ISNUMBER(main_original!AH27),main_original!AH27&gt;10000),AND(ISNUMBER(main_original!AH27),main_original!AH27&lt;-10000)),main_original!AH27/100000000,main_original!AH27)</f>
        <v>0</v>
      </c>
      <c r="AI27" s="3">
        <f>IF(OR(AND(ISNUMBER(main_original!AI27),main_original!AI27&gt;10000),AND(ISNUMBER(main_original!AI27),main_original!AI27&lt;-10000)),main_original!AI27/100000000,main_original!AI27)</f>
        <v>0</v>
      </c>
      <c r="AJ27" s="3">
        <f>IF(OR(AND(ISNUMBER(main_original!AJ27),main_original!AJ27&gt;10000),AND(ISNUMBER(main_original!AJ27),main_original!AJ27&lt;-10000)),main_original!AJ27/100000000,main_original!AJ27)</f>
        <v>0</v>
      </c>
      <c r="AK27" s="3">
        <f>IF(OR(AND(ISNUMBER(main_original!AK27),main_original!AK27&gt;10000),AND(ISNUMBER(main_original!AK27),main_original!AK27&lt;-10000)),main_original!AK27/100000000,main_original!AK27)</f>
        <v>0</v>
      </c>
      <c r="AL27" s="3">
        <f>IF(OR(AND(ISNUMBER(main_original!AL27),main_original!AL27&gt;10000),AND(ISNUMBER(main_original!AL27),main_original!AL27&lt;-10000)),main_original!AL27/100000000,main_original!AL27)</f>
        <v>0</v>
      </c>
      <c r="AM27" s="3">
        <f>IF(OR(AND(ISNUMBER(main_original!AM27),main_original!AM27&gt;10000),AND(ISNUMBER(main_original!AM27),main_original!AM27&lt;-10000)),main_original!AM27/100000000,main_original!AM27)</f>
        <v>0</v>
      </c>
      <c r="AN27" s="3">
        <f>IF(OR(AND(ISNUMBER(main_original!AN27),main_original!AN27&gt;10000),AND(ISNUMBER(main_original!AN27),main_original!AN27&lt;-10000)),main_original!AN27/100000000,main_original!AN27)</f>
        <v>0</v>
      </c>
      <c r="AO27" s="3">
        <f>IF(OR(AND(ISNUMBER(main_original!AO27),main_original!AO27&gt;10000),AND(ISNUMBER(main_original!AO27),main_original!AO27&lt;-10000)),main_original!AO27/100000000,main_original!AO27)</f>
        <v>0</v>
      </c>
      <c r="AP27" s="3">
        <f>IF(OR(AND(ISNUMBER(main_original!AP27),main_original!AP27&gt;10000),AND(ISNUMBER(main_original!AP27),main_original!AP27&lt;-10000)),main_original!AP27/100000000,main_original!AP27)</f>
        <v>0</v>
      </c>
      <c r="AQ27" s="3">
        <f>IF(OR(AND(ISNUMBER(main_original!AQ27),main_original!AQ27&gt;10000),AND(ISNUMBER(main_original!AQ27),main_original!AQ27&lt;-10000)),main_original!AQ27/100000000,main_original!AQ27)</f>
        <v>0</v>
      </c>
      <c r="AR27" s="3">
        <f>IF(OR(AND(ISNUMBER(main_original!AR27),main_original!AR27&gt;10000),AND(ISNUMBER(main_original!AR27),main_original!AR27&lt;-10000)),main_original!AR27/100000000,main_original!AR27)</f>
        <v>0</v>
      </c>
      <c r="AS27" s="3">
        <f>IF(OR(AND(ISNUMBER(main_original!AS27),main_original!AS27&gt;10000),AND(ISNUMBER(main_original!AS27),main_original!AS27&lt;-10000)),main_original!AS27/100000000,main_original!AS27)</f>
        <v>0</v>
      </c>
      <c r="AT27" s="3">
        <f>IF(OR(AND(ISNUMBER(main_original!AT27),main_original!AT27&gt;10000),AND(ISNUMBER(main_original!AT27),main_original!AT27&lt;-10000)),main_original!AT27/100000000,main_original!AT27)</f>
        <v>0</v>
      </c>
    </row>
    <row r="28" spans="1:81" x14ac:dyDescent="0.25">
      <c r="B28" s="3">
        <f>IF(OR(AND(ISNUMBER(main_original!B28),main_original!B28&gt;10000),AND(ISNUMBER(main_original!B28),main_original!B28&lt;-10000)),main_original!B28/100000000,main_original!B28)</f>
        <v>0</v>
      </c>
      <c r="C28" s="3">
        <f>IF(OR(AND(ISNUMBER(main_original!C28),main_original!C28&gt;10000),AND(ISNUMBER(main_original!C28),main_original!C28&lt;-10000)),main_original!C28/100000000,main_original!C28)</f>
        <v>0</v>
      </c>
      <c r="D28" s="3">
        <f>IF(OR(AND(ISNUMBER(main_original!D28),main_original!D28&gt;10000),AND(ISNUMBER(main_original!D28),main_original!D28&lt;-10000)),main_original!D28/100000000,main_original!D28)</f>
        <v>0</v>
      </c>
      <c r="E28" s="3">
        <f>IF(OR(AND(ISNUMBER(main_original!E28),main_original!E28&gt;10000),AND(ISNUMBER(main_original!E28),main_original!E28&lt;-10000)),main_original!E28/100000000,main_original!E28)</f>
        <v>0</v>
      </c>
      <c r="F28" s="3">
        <f>IF(OR(AND(ISNUMBER(main_original!F28),main_original!F28&gt;10000),AND(ISNUMBER(main_original!F28),main_original!F28&lt;-10000)),main_original!F28/100000000,main_original!F28)</f>
        <v>0</v>
      </c>
      <c r="G28" s="3">
        <f>IF(OR(AND(ISNUMBER(main_original!G28),main_original!G28&gt;10000),AND(ISNUMBER(main_original!G28),main_original!G28&lt;-10000)),main_original!G28/100000000,main_original!G28)</f>
        <v>0</v>
      </c>
      <c r="H28" s="3">
        <f>IF(OR(AND(ISNUMBER(main_original!H28),main_original!H28&gt;10000),AND(ISNUMBER(main_original!H28),main_original!H28&lt;-10000)),main_original!H28/100000000,main_original!H28)</f>
        <v>0</v>
      </c>
      <c r="I28" s="3">
        <f>IF(OR(AND(ISNUMBER(main_original!I28),main_original!I28&gt;10000),AND(ISNUMBER(main_original!I28),main_original!I28&lt;-10000)),main_original!I28/100000000,main_original!I28)</f>
        <v>0</v>
      </c>
      <c r="J28" s="3">
        <f>IF(OR(AND(ISNUMBER(main_original!J28),main_original!J28&gt;10000),AND(ISNUMBER(main_original!J28),main_original!J28&lt;-10000)),main_original!J28/100000000,main_original!J28)</f>
        <v>0</v>
      </c>
      <c r="K28" s="3">
        <f>IF(OR(AND(ISNUMBER(main_original!K28),main_original!K28&gt;10000),AND(ISNUMBER(main_original!K28),main_original!K28&lt;-10000)),main_original!K28/100000000,main_original!K28)</f>
        <v>0</v>
      </c>
      <c r="L28" s="3">
        <f>IF(OR(AND(ISNUMBER(main_original!L28),main_original!L28&gt;10000),AND(ISNUMBER(main_original!L28),main_original!L28&lt;-10000)),main_original!L28/100000000,main_original!L28)</f>
        <v>0</v>
      </c>
      <c r="M28" s="3">
        <f>IF(OR(AND(ISNUMBER(main_original!M28),main_original!M28&gt;10000),AND(ISNUMBER(main_original!M28),main_original!M28&lt;-10000)),main_original!M28/100000000,main_original!M28)</f>
        <v>0</v>
      </c>
      <c r="N28" s="3">
        <f>IF(OR(AND(ISNUMBER(main_original!N28),main_original!N28&gt;10000),AND(ISNUMBER(main_original!N28),main_original!N28&lt;-10000)),main_original!N28/100000000,main_original!N28)</f>
        <v>0</v>
      </c>
      <c r="O28" s="3">
        <f>IF(OR(AND(ISNUMBER(main_original!O28),main_original!O28&gt;10000),AND(ISNUMBER(main_original!O28),main_original!O28&lt;-10000)),main_original!O28/100000000,main_original!O28)</f>
        <v>0</v>
      </c>
      <c r="P28" s="3">
        <f>IF(OR(AND(ISNUMBER(main_original!P28),main_original!P28&gt;10000),AND(ISNUMBER(main_original!P28),main_original!P28&lt;-10000)),main_original!P28/100000000,main_original!P28)</f>
        <v>0</v>
      </c>
      <c r="Q28" s="3">
        <f>IF(OR(AND(ISNUMBER(main_original!Q28),main_original!Q28&gt;10000),AND(ISNUMBER(main_original!Q28),main_original!Q28&lt;-10000)),main_original!Q28/100000000,main_original!Q28)</f>
        <v>0</v>
      </c>
      <c r="R28" s="3">
        <f>IF(OR(AND(ISNUMBER(main_original!R28),main_original!R28&gt;10000),AND(ISNUMBER(main_original!R28),main_original!R28&lt;-10000)),main_original!R28/100000000,main_original!R28)</f>
        <v>0</v>
      </c>
      <c r="S28" s="3">
        <f>IF(OR(AND(ISNUMBER(main_original!S28),main_original!S28&gt;10000),AND(ISNUMBER(main_original!S28),main_original!S28&lt;-10000)),main_original!S28/100000000,main_original!S28)</f>
        <v>0</v>
      </c>
      <c r="T28" s="3">
        <f>IF(OR(AND(ISNUMBER(main_original!T28),main_original!T28&gt;10000),AND(ISNUMBER(main_original!T28),main_original!T28&lt;-10000)),main_original!T28/100000000,main_original!T28)</f>
        <v>0</v>
      </c>
      <c r="U28" s="3">
        <f>IF(OR(AND(ISNUMBER(main_original!U28),main_original!U28&gt;10000),AND(ISNUMBER(main_original!U28),main_original!U28&lt;-10000)),main_original!U28/100000000,main_original!U28)</f>
        <v>0</v>
      </c>
      <c r="V28" s="3">
        <f>IF(OR(AND(ISNUMBER(main_original!V28),main_original!V28&gt;10000),AND(ISNUMBER(main_original!V28),main_original!V28&lt;-10000)),main_original!V28/100000000,main_original!V28)</f>
        <v>0</v>
      </c>
      <c r="W28" s="3">
        <f>IF(OR(AND(ISNUMBER(main_original!W28),main_original!W28&gt;10000),AND(ISNUMBER(main_original!W28),main_original!W28&lt;-10000)),main_original!W28/100000000,main_original!W28)</f>
        <v>0</v>
      </c>
      <c r="X28" s="3">
        <f>IF(OR(AND(ISNUMBER(main_original!X28),main_original!X28&gt;10000),AND(ISNUMBER(main_original!X28),main_original!X28&lt;-10000)),main_original!X28/100000000,main_original!X28)</f>
        <v>0</v>
      </c>
      <c r="Y28" s="3">
        <f>IF(OR(AND(ISNUMBER(main_original!Y28),main_original!Y28&gt;10000),AND(ISNUMBER(main_original!Y28),main_original!Y28&lt;-10000)),main_original!Y28/100000000,main_original!Y28)</f>
        <v>0</v>
      </c>
      <c r="Z28" s="3">
        <f>IF(OR(AND(ISNUMBER(main_original!Z28),main_original!Z28&gt;10000),AND(ISNUMBER(main_original!Z28),main_original!Z28&lt;-10000)),main_original!Z28/100000000,main_original!Z28)</f>
        <v>0</v>
      </c>
      <c r="AA28" s="3">
        <f>IF(OR(AND(ISNUMBER(main_original!AA28),main_original!AA28&gt;10000),AND(ISNUMBER(main_original!AA28),main_original!AA28&lt;-10000)),main_original!AA28/100000000,main_original!AA28)</f>
        <v>0</v>
      </c>
      <c r="AB28" s="3">
        <f>IF(OR(AND(ISNUMBER(main_original!AB28),main_original!AB28&gt;10000),AND(ISNUMBER(main_original!AB28),main_original!AB28&lt;-10000)),main_original!AB28/100000000,main_original!AB28)</f>
        <v>0</v>
      </c>
      <c r="AC28" s="3">
        <f>IF(OR(AND(ISNUMBER(main_original!AC28),main_original!AC28&gt;10000),AND(ISNUMBER(main_original!AC28),main_original!AC28&lt;-10000)),main_original!AC28/100000000,main_original!AC28)</f>
        <v>0</v>
      </c>
      <c r="AD28" s="3">
        <f>IF(OR(AND(ISNUMBER(main_original!AD28),main_original!AD28&gt;10000),AND(ISNUMBER(main_original!AD28),main_original!AD28&lt;-10000)),main_original!AD28/100000000,main_original!AD28)</f>
        <v>0</v>
      </c>
      <c r="AE28" s="3">
        <f>IF(OR(AND(ISNUMBER(main_original!AE28),main_original!AE28&gt;10000),AND(ISNUMBER(main_original!AE28),main_original!AE28&lt;-10000)),main_original!AE28/100000000,main_original!AE28)</f>
        <v>0</v>
      </c>
      <c r="AF28" s="3">
        <f>IF(OR(AND(ISNUMBER(main_original!AF28),main_original!AF28&gt;10000),AND(ISNUMBER(main_original!AF28),main_original!AF28&lt;-10000)),main_original!AF28/100000000,main_original!AF28)</f>
        <v>0</v>
      </c>
      <c r="AG28" s="3">
        <f>IF(OR(AND(ISNUMBER(main_original!AG28),main_original!AG28&gt;10000),AND(ISNUMBER(main_original!AG28),main_original!AG28&lt;-10000)),main_original!AG28/100000000,main_original!AG28)</f>
        <v>0</v>
      </c>
      <c r="AH28" s="3">
        <f>IF(OR(AND(ISNUMBER(main_original!AH28),main_original!AH28&gt;10000),AND(ISNUMBER(main_original!AH28),main_original!AH28&lt;-10000)),main_original!AH28/100000000,main_original!AH28)</f>
        <v>0</v>
      </c>
      <c r="AI28" s="3">
        <f>IF(OR(AND(ISNUMBER(main_original!AI28),main_original!AI28&gt;10000),AND(ISNUMBER(main_original!AI28),main_original!AI28&lt;-10000)),main_original!AI28/100000000,main_original!AI28)</f>
        <v>0</v>
      </c>
      <c r="AJ28" s="3">
        <f>IF(OR(AND(ISNUMBER(main_original!AJ28),main_original!AJ28&gt;10000),AND(ISNUMBER(main_original!AJ28),main_original!AJ28&lt;-10000)),main_original!AJ28/100000000,main_original!AJ28)</f>
        <v>0</v>
      </c>
      <c r="AK28" s="3">
        <f>IF(OR(AND(ISNUMBER(main_original!AK28),main_original!AK28&gt;10000),AND(ISNUMBER(main_original!AK28),main_original!AK28&lt;-10000)),main_original!AK28/100000000,main_original!AK28)</f>
        <v>0</v>
      </c>
      <c r="AL28" s="3">
        <f>IF(OR(AND(ISNUMBER(main_original!AL28),main_original!AL28&gt;10000),AND(ISNUMBER(main_original!AL28),main_original!AL28&lt;-10000)),main_original!AL28/100000000,main_original!AL28)</f>
        <v>0</v>
      </c>
      <c r="AM28" s="3">
        <f>IF(OR(AND(ISNUMBER(main_original!AM28),main_original!AM28&gt;10000),AND(ISNUMBER(main_original!AM28),main_original!AM28&lt;-10000)),main_original!AM28/100000000,main_original!AM28)</f>
        <v>0</v>
      </c>
      <c r="AN28" s="3">
        <f>IF(OR(AND(ISNUMBER(main_original!AN28),main_original!AN28&gt;10000),AND(ISNUMBER(main_original!AN28),main_original!AN28&lt;-10000)),main_original!AN28/100000000,main_original!AN28)</f>
        <v>0</v>
      </c>
      <c r="AO28" s="3">
        <f>IF(OR(AND(ISNUMBER(main_original!AO28),main_original!AO28&gt;10000),AND(ISNUMBER(main_original!AO28),main_original!AO28&lt;-10000)),main_original!AO28/100000000,main_original!AO28)</f>
        <v>0</v>
      </c>
      <c r="AP28" s="3">
        <f>IF(OR(AND(ISNUMBER(main_original!AP28),main_original!AP28&gt;10000),AND(ISNUMBER(main_original!AP28),main_original!AP28&lt;-10000)),main_original!AP28/100000000,main_original!AP28)</f>
        <v>0</v>
      </c>
      <c r="AQ28" s="3">
        <f>IF(OR(AND(ISNUMBER(main_original!AQ28),main_original!AQ28&gt;10000),AND(ISNUMBER(main_original!AQ28),main_original!AQ28&lt;-10000)),main_original!AQ28/100000000,main_original!AQ28)</f>
        <v>0</v>
      </c>
      <c r="AR28" s="3">
        <f>IF(OR(AND(ISNUMBER(main_original!AR28),main_original!AR28&gt;10000),AND(ISNUMBER(main_original!AR28),main_original!AR28&lt;-10000)),main_original!AR28/100000000,main_original!AR28)</f>
        <v>0</v>
      </c>
      <c r="AS28" s="3">
        <f>IF(OR(AND(ISNUMBER(main_original!AS28),main_original!AS28&gt;10000),AND(ISNUMBER(main_original!AS28),main_original!AS28&lt;-10000)),main_original!AS28/100000000,main_original!AS28)</f>
        <v>0</v>
      </c>
      <c r="AT28" s="3">
        <f>IF(OR(AND(ISNUMBER(main_original!AT28),main_original!AT28&gt;10000),AND(ISNUMBER(main_original!AT28),main_original!AT28&lt;-10000)),main_original!AT28/100000000,main_original!AT28)</f>
        <v>0</v>
      </c>
    </row>
    <row r="29" spans="1:81" x14ac:dyDescent="0.25">
      <c r="B29" s="3">
        <f>IF(OR(AND(ISNUMBER(main_original!B29),main_original!B29&gt;10000),AND(ISNUMBER(main_original!B29),main_original!B29&lt;-10000)),main_original!B29/100000000,main_original!B29)</f>
        <v>0</v>
      </c>
      <c r="C29" s="3">
        <f>IF(OR(AND(ISNUMBER(main_original!C29),main_original!C29&gt;10000),AND(ISNUMBER(main_original!C29),main_original!C29&lt;-10000)),main_original!C29/100000000,main_original!C29)</f>
        <v>0</v>
      </c>
      <c r="D29" s="3">
        <f>IF(OR(AND(ISNUMBER(main_original!D29),main_original!D29&gt;10000),AND(ISNUMBER(main_original!D29),main_original!D29&lt;-10000)),main_original!D29/100000000,main_original!D29)</f>
        <v>0</v>
      </c>
      <c r="E29" s="3">
        <f>IF(OR(AND(ISNUMBER(main_original!E29),main_original!E29&gt;10000),AND(ISNUMBER(main_original!E29),main_original!E29&lt;-10000)),main_original!E29/100000000,main_original!E29)</f>
        <v>0</v>
      </c>
      <c r="F29" s="3">
        <f>IF(OR(AND(ISNUMBER(main_original!F29),main_original!F29&gt;10000),AND(ISNUMBER(main_original!F29),main_original!F29&lt;-10000)),main_original!F29/100000000,main_original!F29)</f>
        <v>0</v>
      </c>
      <c r="G29" s="3">
        <f>IF(OR(AND(ISNUMBER(main_original!G29),main_original!G29&gt;10000),AND(ISNUMBER(main_original!G29),main_original!G29&lt;-10000)),main_original!G29/100000000,main_original!G29)</f>
        <v>0</v>
      </c>
      <c r="H29" s="3">
        <f>IF(OR(AND(ISNUMBER(main_original!H29),main_original!H29&gt;10000),AND(ISNUMBER(main_original!H29),main_original!H29&lt;-10000)),main_original!H29/100000000,main_original!H29)</f>
        <v>0</v>
      </c>
      <c r="I29" s="3">
        <f>IF(OR(AND(ISNUMBER(main_original!I29),main_original!I29&gt;10000),AND(ISNUMBER(main_original!I29),main_original!I29&lt;-10000)),main_original!I29/100000000,main_original!I29)</f>
        <v>0</v>
      </c>
      <c r="J29" s="3">
        <f>IF(OR(AND(ISNUMBER(main_original!J29),main_original!J29&gt;10000),AND(ISNUMBER(main_original!J29),main_original!J29&lt;-10000)),main_original!J29/100000000,main_original!J29)</f>
        <v>0</v>
      </c>
      <c r="K29" s="3">
        <f>IF(OR(AND(ISNUMBER(main_original!K29),main_original!K29&gt;10000),AND(ISNUMBER(main_original!K29),main_original!K29&lt;-10000)),main_original!K29/100000000,main_original!K29)</f>
        <v>0</v>
      </c>
      <c r="L29" s="3">
        <f>IF(OR(AND(ISNUMBER(main_original!L29),main_original!L29&gt;10000),AND(ISNUMBER(main_original!L29),main_original!L29&lt;-10000)),main_original!L29/100000000,main_original!L29)</f>
        <v>0</v>
      </c>
      <c r="M29" s="3">
        <f>IF(OR(AND(ISNUMBER(main_original!M29),main_original!M29&gt;10000),AND(ISNUMBER(main_original!M29),main_original!M29&lt;-10000)),main_original!M29/100000000,main_original!M29)</f>
        <v>0</v>
      </c>
      <c r="N29" s="3">
        <f>IF(OR(AND(ISNUMBER(main_original!N29),main_original!N29&gt;10000),AND(ISNUMBER(main_original!N29),main_original!N29&lt;-10000)),main_original!N29/100000000,main_original!N29)</f>
        <v>0</v>
      </c>
      <c r="O29" s="3">
        <f>IF(OR(AND(ISNUMBER(main_original!O29),main_original!O29&gt;10000),AND(ISNUMBER(main_original!O29),main_original!O29&lt;-10000)),main_original!O29/100000000,main_original!O29)</f>
        <v>0</v>
      </c>
      <c r="P29" s="3">
        <f>IF(OR(AND(ISNUMBER(main_original!P29),main_original!P29&gt;10000),AND(ISNUMBER(main_original!P29),main_original!P29&lt;-10000)),main_original!P29/100000000,main_original!P29)</f>
        <v>0</v>
      </c>
      <c r="Q29" s="3">
        <f>IF(OR(AND(ISNUMBER(main_original!Q29),main_original!Q29&gt;10000),AND(ISNUMBER(main_original!Q29),main_original!Q29&lt;-10000)),main_original!Q29/100000000,main_original!Q29)</f>
        <v>0</v>
      </c>
      <c r="R29" s="3">
        <f>IF(OR(AND(ISNUMBER(main_original!R29),main_original!R29&gt;10000),AND(ISNUMBER(main_original!R29),main_original!R29&lt;-10000)),main_original!R29/100000000,main_original!R29)</f>
        <v>0</v>
      </c>
      <c r="S29" s="3">
        <f>IF(OR(AND(ISNUMBER(main_original!S29),main_original!S29&gt;10000),AND(ISNUMBER(main_original!S29),main_original!S29&lt;-10000)),main_original!S29/100000000,main_original!S29)</f>
        <v>0</v>
      </c>
      <c r="T29" s="3">
        <f>IF(OR(AND(ISNUMBER(main_original!T29),main_original!T29&gt;10000),AND(ISNUMBER(main_original!T29),main_original!T29&lt;-10000)),main_original!T29/100000000,main_original!T29)</f>
        <v>0</v>
      </c>
      <c r="U29" s="3">
        <f>IF(OR(AND(ISNUMBER(main_original!U29),main_original!U29&gt;10000),AND(ISNUMBER(main_original!U29),main_original!U29&lt;-10000)),main_original!U29/100000000,main_original!U29)</f>
        <v>0</v>
      </c>
      <c r="V29" s="3">
        <f>IF(OR(AND(ISNUMBER(main_original!V29),main_original!V29&gt;10000),AND(ISNUMBER(main_original!V29),main_original!V29&lt;-10000)),main_original!V29/100000000,main_original!V29)</f>
        <v>0</v>
      </c>
      <c r="W29" s="3">
        <f>IF(OR(AND(ISNUMBER(main_original!W29),main_original!W29&gt;10000),AND(ISNUMBER(main_original!W29),main_original!W29&lt;-10000)),main_original!W29/100000000,main_original!W29)</f>
        <v>0</v>
      </c>
      <c r="X29" s="3">
        <f>IF(OR(AND(ISNUMBER(main_original!X29),main_original!X29&gt;10000),AND(ISNUMBER(main_original!X29),main_original!X29&lt;-10000)),main_original!X29/100000000,main_original!X29)</f>
        <v>0</v>
      </c>
      <c r="Y29" s="3">
        <f>IF(OR(AND(ISNUMBER(main_original!Y29),main_original!Y29&gt;10000),AND(ISNUMBER(main_original!Y29),main_original!Y29&lt;-10000)),main_original!Y29/100000000,main_original!Y29)</f>
        <v>0</v>
      </c>
      <c r="Z29" s="3">
        <f>IF(OR(AND(ISNUMBER(main_original!Z29),main_original!Z29&gt;10000),AND(ISNUMBER(main_original!Z29),main_original!Z29&lt;-10000)),main_original!Z29/100000000,main_original!Z29)</f>
        <v>0</v>
      </c>
      <c r="AA29" s="3">
        <f>IF(OR(AND(ISNUMBER(main_original!AA29),main_original!AA29&gt;10000),AND(ISNUMBER(main_original!AA29),main_original!AA29&lt;-10000)),main_original!AA29/100000000,main_original!AA29)</f>
        <v>0</v>
      </c>
      <c r="AB29" s="3">
        <f>IF(OR(AND(ISNUMBER(main_original!AB29),main_original!AB29&gt;10000),AND(ISNUMBER(main_original!AB29),main_original!AB29&lt;-10000)),main_original!AB29/100000000,main_original!AB29)</f>
        <v>0</v>
      </c>
      <c r="AC29" s="3">
        <f>IF(OR(AND(ISNUMBER(main_original!AC29),main_original!AC29&gt;10000),AND(ISNUMBER(main_original!AC29),main_original!AC29&lt;-10000)),main_original!AC29/100000000,main_original!AC29)</f>
        <v>0</v>
      </c>
      <c r="AD29" s="3">
        <f>IF(OR(AND(ISNUMBER(main_original!AD29),main_original!AD29&gt;10000),AND(ISNUMBER(main_original!AD29),main_original!AD29&lt;-10000)),main_original!AD29/100000000,main_original!AD29)</f>
        <v>0</v>
      </c>
      <c r="AE29" s="3">
        <f>IF(OR(AND(ISNUMBER(main_original!AE29),main_original!AE29&gt;10000),AND(ISNUMBER(main_original!AE29),main_original!AE29&lt;-10000)),main_original!AE29/100000000,main_original!AE29)</f>
        <v>0</v>
      </c>
      <c r="AF29" s="3">
        <f>IF(OR(AND(ISNUMBER(main_original!AF29),main_original!AF29&gt;10000),AND(ISNUMBER(main_original!AF29),main_original!AF29&lt;-10000)),main_original!AF29/100000000,main_original!AF29)</f>
        <v>0</v>
      </c>
      <c r="AG29" s="3">
        <f>IF(OR(AND(ISNUMBER(main_original!AG29),main_original!AG29&gt;10000),AND(ISNUMBER(main_original!AG29),main_original!AG29&lt;-10000)),main_original!AG29/100000000,main_original!AG29)</f>
        <v>0</v>
      </c>
      <c r="AH29" s="3">
        <f>IF(OR(AND(ISNUMBER(main_original!AH29),main_original!AH29&gt;10000),AND(ISNUMBER(main_original!AH29),main_original!AH29&lt;-10000)),main_original!AH29/100000000,main_original!AH29)</f>
        <v>0</v>
      </c>
      <c r="AI29" s="3">
        <f>IF(OR(AND(ISNUMBER(main_original!AI29),main_original!AI29&gt;10000),AND(ISNUMBER(main_original!AI29),main_original!AI29&lt;-10000)),main_original!AI29/100000000,main_original!AI29)</f>
        <v>0</v>
      </c>
      <c r="AJ29" s="3">
        <f>IF(OR(AND(ISNUMBER(main_original!AJ29),main_original!AJ29&gt;10000),AND(ISNUMBER(main_original!AJ29),main_original!AJ29&lt;-10000)),main_original!AJ29/100000000,main_original!AJ29)</f>
        <v>0</v>
      </c>
      <c r="AK29" s="3">
        <f>IF(OR(AND(ISNUMBER(main_original!AK29),main_original!AK29&gt;10000),AND(ISNUMBER(main_original!AK29),main_original!AK29&lt;-10000)),main_original!AK29/100000000,main_original!AK29)</f>
        <v>0</v>
      </c>
      <c r="AL29" s="3">
        <f>IF(OR(AND(ISNUMBER(main_original!AL29),main_original!AL29&gt;10000),AND(ISNUMBER(main_original!AL29),main_original!AL29&lt;-10000)),main_original!AL29/100000000,main_original!AL29)</f>
        <v>0</v>
      </c>
      <c r="AM29" s="3">
        <f>IF(OR(AND(ISNUMBER(main_original!AM29),main_original!AM29&gt;10000),AND(ISNUMBER(main_original!AM29),main_original!AM29&lt;-10000)),main_original!AM29/100000000,main_original!AM29)</f>
        <v>0</v>
      </c>
      <c r="AN29" s="3">
        <f>IF(OR(AND(ISNUMBER(main_original!AN29),main_original!AN29&gt;10000),AND(ISNUMBER(main_original!AN29),main_original!AN29&lt;-10000)),main_original!AN29/100000000,main_original!AN29)</f>
        <v>0</v>
      </c>
      <c r="AO29" s="3">
        <f>IF(OR(AND(ISNUMBER(main_original!AO29),main_original!AO29&gt;10000),AND(ISNUMBER(main_original!AO29),main_original!AO29&lt;-10000)),main_original!AO29/100000000,main_original!AO29)</f>
        <v>0</v>
      </c>
      <c r="AP29" s="3">
        <f>IF(OR(AND(ISNUMBER(main_original!AP29),main_original!AP29&gt;10000),AND(ISNUMBER(main_original!AP29),main_original!AP29&lt;-10000)),main_original!AP29/100000000,main_original!AP29)</f>
        <v>0</v>
      </c>
      <c r="AQ29" s="3">
        <f>IF(OR(AND(ISNUMBER(main_original!AQ29),main_original!AQ29&gt;10000),AND(ISNUMBER(main_original!AQ29),main_original!AQ29&lt;-10000)),main_original!AQ29/100000000,main_original!AQ29)</f>
        <v>0</v>
      </c>
      <c r="AR29" s="3">
        <f>IF(OR(AND(ISNUMBER(main_original!AR29),main_original!AR29&gt;10000),AND(ISNUMBER(main_original!AR29),main_original!AR29&lt;-10000)),main_original!AR29/100000000,main_original!AR29)</f>
        <v>0</v>
      </c>
      <c r="AS29" s="3">
        <f>IF(OR(AND(ISNUMBER(main_original!AS29),main_original!AS29&gt;10000),AND(ISNUMBER(main_original!AS29),main_original!AS29&lt;-10000)),main_original!AS29/100000000,main_original!AS29)</f>
        <v>0</v>
      </c>
      <c r="AT29" s="3">
        <f>IF(OR(AND(ISNUMBER(main_original!AT29),main_original!AT29&gt;10000),AND(ISNUMBER(main_original!AT29),main_original!AT29&lt;-10000)),main_original!AT29/100000000,main_original!AT29)</f>
        <v>0</v>
      </c>
    </row>
    <row r="30" spans="1:81" x14ac:dyDescent="0.25">
      <c r="B30" s="3">
        <f>IF(OR(AND(ISNUMBER(main_original!B30),main_original!B30&gt;10000),AND(ISNUMBER(main_original!B30),main_original!B30&lt;-10000)),main_original!B30/100000000,main_original!B30)</f>
        <v>0</v>
      </c>
      <c r="C30" s="3">
        <f>IF(OR(AND(ISNUMBER(main_original!C30),main_original!C30&gt;10000),AND(ISNUMBER(main_original!C30),main_original!C30&lt;-10000)),main_original!C30/100000000,main_original!C30)</f>
        <v>0</v>
      </c>
      <c r="D30" s="3">
        <f>IF(OR(AND(ISNUMBER(main_original!D30),main_original!D30&gt;10000),AND(ISNUMBER(main_original!D30),main_original!D30&lt;-10000)),main_original!D30/100000000,main_original!D30)</f>
        <v>0</v>
      </c>
      <c r="E30" s="3">
        <f>IF(OR(AND(ISNUMBER(main_original!E30),main_original!E30&gt;10000),AND(ISNUMBER(main_original!E30),main_original!E30&lt;-10000)),main_original!E30/100000000,main_original!E30)</f>
        <v>0</v>
      </c>
      <c r="F30" s="3">
        <f>IF(OR(AND(ISNUMBER(main_original!F30),main_original!F30&gt;10000),AND(ISNUMBER(main_original!F30),main_original!F30&lt;-10000)),main_original!F30/100000000,main_original!F30)</f>
        <v>0</v>
      </c>
      <c r="G30" s="3">
        <f>IF(OR(AND(ISNUMBER(main_original!G30),main_original!G30&gt;10000),AND(ISNUMBER(main_original!G30),main_original!G30&lt;-10000)),main_original!G30/100000000,main_original!G30)</f>
        <v>0</v>
      </c>
      <c r="H30" s="3">
        <f>IF(OR(AND(ISNUMBER(main_original!H30),main_original!H30&gt;10000),AND(ISNUMBER(main_original!H30),main_original!H30&lt;-10000)),main_original!H30/100000000,main_original!H30)</f>
        <v>0</v>
      </c>
      <c r="I30" s="3">
        <f>IF(OR(AND(ISNUMBER(main_original!I30),main_original!I30&gt;10000),AND(ISNUMBER(main_original!I30),main_original!I30&lt;-10000)),main_original!I30/100000000,main_original!I30)</f>
        <v>0</v>
      </c>
      <c r="J30" s="3">
        <f>IF(OR(AND(ISNUMBER(main_original!J30),main_original!J30&gt;10000),AND(ISNUMBER(main_original!J30),main_original!J30&lt;-10000)),main_original!J30/100000000,main_original!J30)</f>
        <v>0</v>
      </c>
      <c r="K30" s="3">
        <f>IF(OR(AND(ISNUMBER(main_original!K30),main_original!K30&gt;10000),AND(ISNUMBER(main_original!K30),main_original!K30&lt;-10000)),main_original!K30/100000000,main_original!K30)</f>
        <v>0</v>
      </c>
      <c r="L30" s="3">
        <f>IF(OR(AND(ISNUMBER(main_original!L30),main_original!L30&gt;10000),AND(ISNUMBER(main_original!L30),main_original!L30&lt;-10000)),main_original!L30/100000000,main_original!L30)</f>
        <v>0</v>
      </c>
      <c r="M30" s="3">
        <f>IF(OR(AND(ISNUMBER(main_original!M30),main_original!M30&gt;10000),AND(ISNUMBER(main_original!M30),main_original!M30&lt;-10000)),main_original!M30/100000000,main_original!M30)</f>
        <v>0</v>
      </c>
      <c r="N30" s="3">
        <f>IF(OR(AND(ISNUMBER(main_original!N30),main_original!N30&gt;10000),AND(ISNUMBER(main_original!N30),main_original!N30&lt;-10000)),main_original!N30/100000000,main_original!N30)</f>
        <v>0</v>
      </c>
      <c r="O30" s="3">
        <f>IF(OR(AND(ISNUMBER(main_original!O30),main_original!O30&gt;10000),AND(ISNUMBER(main_original!O30),main_original!O30&lt;-10000)),main_original!O30/100000000,main_original!O30)</f>
        <v>0</v>
      </c>
      <c r="P30" s="3">
        <f>IF(OR(AND(ISNUMBER(main_original!P30),main_original!P30&gt;10000),AND(ISNUMBER(main_original!P30),main_original!P30&lt;-10000)),main_original!P30/100000000,main_original!P30)</f>
        <v>0</v>
      </c>
      <c r="Q30" s="3">
        <f>IF(OR(AND(ISNUMBER(main_original!Q30),main_original!Q30&gt;10000),AND(ISNUMBER(main_original!Q30),main_original!Q30&lt;-10000)),main_original!Q30/100000000,main_original!Q30)</f>
        <v>0</v>
      </c>
      <c r="R30" s="3">
        <f>IF(OR(AND(ISNUMBER(main_original!R30),main_original!R30&gt;10000),AND(ISNUMBER(main_original!R30),main_original!R30&lt;-10000)),main_original!R30/100000000,main_original!R30)</f>
        <v>0</v>
      </c>
      <c r="S30" s="3">
        <f>IF(OR(AND(ISNUMBER(main_original!S30),main_original!S30&gt;10000),AND(ISNUMBER(main_original!S30),main_original!S30&lt;-10000)),main_original!S30/100000000,main_original!S30)</f>
        <v>0</v>
      </c>
      <c r="T30" s="3">
        <f>IF(OR(AND(ISNUMBER(main_original!T30),main_original!T30&gt;10000),AND(ISNUMBER(main_original!T30),main_original!T30&lt;-10000)),main_original!T30/100000000,main_original!T30)</f>
        <v>0</v>
      </c>
      <c r="U30" s="3">
        <f>IF(OR(AND(ISNUMBER(main_original!U30),main_original!U30&gt;10000),AND(ISNUMBER(main_original!U30),main_original!U30&lt;-10000)),main_original!U30/100000000,main_original!U30)</f>
        <v>0</v>
      </c>
      <c r="V30" s="3">
        <f>IF(OR(AND(ISNUMBER(main_original!V30),main_original!V30&gt;10000),AND(ISNUMBER(main_original!V30),main_original!V30&lt;-10000)),main_original!V30/100000000,main_original!V30)</f>
        <v>0</v>
      </c>
      <c r="W30" s="3">
        <f>IF(OR(AND(ISNUMBER(main_original!W30),main_original!W30&gt;10000),AND(ISNUMBER(main_original!W30),main_original!W30&lt;-10000)),main_original!W30/100000000,main_original!W30)</f>
        <v>0</v>
      </c>
      <c r="X30" s="3">
        <f>IF(OR(AND(ISNUMBER(main_original!X30),main_original!X30&gt;10000),AND(ISNUMBER(main_original!X30),main_original!X30&lt;-10000)),main_original!X30/100000000,main_original!X30)</f>
        <v>0</v>
      </c>
      <c r="Y30" s="3">
        <f>IF(OR(AND(ISNUMBER(main_original!Y30),main_original!Y30&gt;10000),AND(ISNUMBER(main_original!Y30),main_original!Y30&lt;-10000)),main_original!Y30/100000000,main_original!Y30)</f>
        <v>0</v>
      </c>
      <c r="Z30" s="3">
        <f>IF(OR(AND(ISNUMBER(main_original!Z30),main_original!Z30&gt;10000),AND(ISNUMBER(main_original!Z30),main_original!Z30&lt;-10000)),main_original!Z30/100000000,main_original!Z30)</f>
        <v>0</v>
      </c>
      <c r="AA30" s="3">
        <f>IF(OR(AND(ISNUMBER(main_original!AA30),main_original!AA30&gt;10000),AND(ISNUMBER(main_original!AA30),main_original!AA30&lt;-10000)),main_original!AA30/100000000,main_original!AA30)</f>
        <v>0</v>
      </c>
      <c r="AB30" s="3">
        <f>IF(OR(AND(ISNUMBER(main_original!AB30),main_original!AB30&gt;10000),AND(ISNUMBER(main_original!AB30),main_original!AB30&lt;-10000)),main_original!AB30/100000000,main_original!AB30)</f>
        <v>0</v>
      </c>
      <c r="AC30" s="3">
        <f>IF(OR(AND(ISNUMBER(main_original!AC30),main_original!AC30&gt;10000),AND(ISNUMBER(main_original!AC30),main_original!AC30&lt;-10000)),main_original!AC30/100000000,main_original!AC30)</f>
        <v>0</v>
      </c>
      <c r="AD30" s="3">
        <f>IF(OR(AND(ISNUMBER(main_original!AD30),main_original!AD30&gt;10000),AND(ISNUMBER(main_original!AD30),main_original!AD30&lt;-10000)),main_original!AD30/100000000,main_original!AD30)</f>
        <v>0</v>
      </c>
      <c r="AE30" s="3">
        <f>IF(OR(AND(ISNUMBER(main_original!AE30),main_original!AE30&gt;10000),AND(ISNUMBER(main_original!AE30),main_original!AE30&lt;-10000)),main_original!AE30/100000000,main_original!AE30)</f>
        <v>0</v>
      </c>
      <c r="AF30" s="3">
        <f>IF(OR(AND(ISNUMBER(main_original!AF30),main_original!AF30&gt;10000),AND(ISNUMBER(main_original!AF30),main_original!AF30&lt;-10000)),main_original!AF30/100000000,main_original!AF30)</f>
        <v>0</v>
      </c>
      <c r="AG30" s="3">
        <f>IF(OR(AND(ISNUMBER(main_original!AG30),main_original!AG30&gt;10000),AND(ISNUMBER(main_original!AG30),main_original!AG30&lt;-10000)),main_original!AG30/100000000,main_original!AG30)</f>
        <v>0</v>
      </c>
      <c r="AH30" s="3">
        <f>IF(OR(AND(ISNUMBER(main_original!AH30),main_original!AH30&gt;10000),AND(ISNUMBER(main_original!AH30),main_original!AH30&lt;-10000)),main_original!AH30/100000000,main_original!AH30)</f>
        <v>0</v>
      </c>
      <c r="AI30" s="3">
        <f>IF(OR(AND(ISNUMBER(main_original!AI30),main_original!AI30&gt;10000),AND(ISNUMBER(main_original!AI30),main_original!AI30&lt;-10000)),main_original!AI30/100000000,main_original!AI30)</f>
        <v>0</v>
      </c>
      <c r="AJ30" s="3">
        <f>IF(OR(AND(ISNUMBER(main_original!AJ30),main_original!AJ30&gt;10000),AND(ISNUMBER(main_original!AJ30),main_original!AJ30&lt;-10000)),main_original!AJ30/100000000,main_original!AJ30)</f>
        <v>0</v>
      </c>
      <c r="AK30" s="3">
        <f>IF(OR(AND(ISNUMBER(main_original!AK30),main_original!AK30&gt;10000),AND(ISNUMBER(main_original!AK30),main_original!AK30&lt;-10000)),main_original!AK30/100000000,main_original!AK30)</f>
        <v>0</v>
      </c>
      <c r="AL30" s="3">
        <f>IF(OR(AND(ISNUMBER(main_original!AL30),main_original!AL30&gt;10000),AND(ISNUMBER(main_original!AL30),main_original!AL30&lt;-10000)),main_original!AL30/100000000,main_original!AL30)</f>
        <v>0</v>
      </c>
      <c r="AM30" s="3">
        <f>IF(OR(AND(ISNUMBER(main_original!AM30),main_original!AM30&gt;10000),AND(ISNUMBER(main_original!AM30),main_original!AM30&lt;-10000)),main_original!AM30/100000000,main_original!AM30)</f>
        <v>0</v>
      </c>
      <c r="AN30" s="3">
        <f>IF(OR(AND(ISNUMBER(main_original!AN30),main_original!AN30&gt;10000),AND(ISNUMBER(main_original!AN30),main_original!AN30&lt;-10000)),main_original!AN30/100000000,main_original!AN30)</f>
        <v>0</v>
      </c>
      <c r="AO30" s="3">
        <f>IF(OR(AND(ISNUMBER(main_original!AO30),main_original!AO30&gt;10000),AND(ISNUMBER(main_original!AO30),main_original!AO30&lt;-10000)),main_original!AO30/100000000,main_original!AO30)</f>
        <v>0</v>
      </c>
      <c r="AP30" s="3">
        <f>IF(OR(AND(ISNUMBER(main_original!AP30),main_original!AP30&gt;10000),AND(ISNUMBER(main_original!AP30),main_original!AP30&lt;-10000)),main_original!AP30/100000000,main_original!AP30)</f>
        <v>0</v>
      </c>
      <c r="AQ30" s="3">
        <f>IF(OR(AND(ISNUMBER(main_original!AQ30),main_original!AQ30&gt;10000),AND(ISNUMBER(main_original!AQ30),main_original!AQ30&lt;-10000)),main_original!AQ30/100000000,main_original!AQ30)</f>
        <v>0</v>
      </c>
      <c r="AR30" s="3">
        <f>IF(OR(AND(ISNUMBER(main_original!AR30),main_original!AR30&gt;10000),AND(ISNUMBER(main_original!AR30),main_original!AR30&lt;-10000)),main_original!AR30/100000000,main_original!AR30)</f>
        <v>0</v>
      </c>
      <c r="AS30" s="3">
        <f>IF(OR(AND(ISNUMBER(main_original!AS30),main_original!AS30&gt;10000),AND(ISNUMBER(main_original!AS30),main_original!AS30&lt;-10000)),main_original!AS30/100000000,main_original!AS30)</f>
        <v>0</v>
      </c>
      <c r="AT30" s="3">
        <f>IF(OR(AND(ISNUMBER(main_original!AT30),main_original!AT30&gt;10000),AND(ISNUMBER(main_original!AT30),main_original!AT30&lt;-10000)),main_original!AT30/100000000,main_original!AT30)</f>
        <v>0</v>
      </c>
    </row>
    <row r="31" spans="1:81" x14ac:dyDescent="0.25">
      <c r="B31" s="3">
        <f>IF(OR(AND(ISNUMBER(main_original!B31),main_original!B31&gt;10000),AND(ISNUMBER(main_original!B31),main_original!B31&lt;-10000)),main_original!B31/100000000,main_original!B31)</f>
        <v>0</v>
      </c>
      <c r="C31" s="3">
        <f>IF(OR(AND(ISNUMBER(main_original!C31),main_original!C31&gt;10000),AND(ISNUMBER(main_original!C31),main_original!C31&lt;-10000)),main_original!C31/100000000,main_original!C31)</f>
        <v>0</v>
      </c>
      <c r="D31" s="3">
        <f>IF(OR(AND(ISNUMBER(main_original!D31),main_original!D31&gt;10000),AND(ISNUMBER(main_original!D31),main_original!D31&lt;-10000)),main_original!D31/100000000,main_original!D31)</f>
        <v>0</v>
      </c>
      <c r="E31" s="3">
        <f>IF(OR(AND(ISNUMBER(main_original!E31),main_original!E31&gt;10000),AND(ISNUMBER(main_original!E31),main_original!E31&lt;-10000)),main_original!E31/100000000,main_original!E31)</f>
        <v>0</v>
      </c>
      <c r="F31" s="3">
        <f>IF(OR(AND(ISNUMBER(main_original!F31),main_original!F31&gt;10000),AND(ISNUMBER(main_original!F31),main_original!F31&lt;-10000)),main_original!F31/100000000,main_original!F31)</f>
        <v>0</v>
      </c>
      <c r="G31" s="3">
        <f>IF(OR(AND(ISNUMBER(main_original!G31),main_original!G31&gt;10000),AND(ISNUMBER(main_original!G31),main_original!G31&lt;-10000)),main_original!G31/100000000,main_original!G31)</f>
        <v>0</v>
      </c>
      <c r="H31" s="3">
        <f>IF(OR(AND(ISNUMBER(main_original!H31),main_original!H31&gt;10000),AND(ISNUMBER(main_original!H31),main_original!H31&lt;-10000)),main_original!H31/100000000,main_original!H31)</f>
        <v>0</v>
      </c>
      <c r="I31" s="3">
        <f>IF(OR(AND(ISNUMBER(main_original!I31),main_original!I31&gt;10000),AND(ISNUMBER(main_original!I31),main_original!I31&lt;-10000)),main_original!I31/100000000,main_original!I31)</f>
        <v>0</v>
      </c>
      <c r="J31" s="3">
        <f>IF(OR(AND(ISNUMBER(main_original!J31),main_original!J31&gt;10000),AND(ISNUMBER(main_original!J31),main_original!J31&lt;-10000)),main_original!J31/100000000,main_original!J31)</f>
        <v>0</v>
      </c>
      <c r="K31" s="3">
        <f>IF(OR(AND(ISNUMBER(main_original!K31),main_original!K31&gt;10000),AND(ISNUMBER(main_original!K31),main_original!K31&lt;-10000)),main_original!K31/100000000,main_original!K31)</f>
        <v>0</v>
      </c>
      <c r="L31" s="3">
        <f>IF(OR(AND(ISNUMBER(main_original!L31),main_original!L31&gt;10000),AND(ISNUMBER(main_original!L31),main_original!L31&lt;-10000)),main_original!L31/100000000,main_original!L31)</f>
        <v>0</v>
      </c>
      <c r="M31" s="3">
        <f>IF(OR(AND(ISNUMBER(main_original!M31),main_original!M31&gt;10000),AND(ISNUMBER(main_original!M31),main_original!M31&lt;-10000)),main_original!M31/100000000,main_original!M31)</f>
        <v>0</v>
      </c>
      <c r="N31" s="3">
        <f>IF(OR(AND(ISNUMBER(main_original!N31),main_original!N31&gt;10000),AND(ISNUMBER(main_original!N31),main_original!N31&lt;-10000)),main_original!N31/100000000,main_original!N31)</f>
        <v>0</v>
      </c>
      <c r="O31" s="3">
        <f>IF(OR(AND(ISNUMBER(main_original!O31),main_original!O31&gt;10000),AND(ISNUMBER(main_original!O31),main_original!O31&lt;-10000)),main_original!O31/100000000,main_original!O31)</f>
        <v>0</v>
      </c>
      <c r="P31" s="3">
        <f>IF(OR(AND(ISNUMBER(main_original!P31),main_original!P31&gt;10000),AND(ISNUMBER(main_original!P31),main_original!P31&lt;-10000)),main_original!P31/100000000,main_original!P31)</f>
        <v>0</v>
      </c>
      <c r="Q31" s="3">
        <f>IF(OR(AND(ISNUMBER(main_original!Q31),main_original!Q31&gt;10000),AND(ISNUMBER(main_original!Q31),main_original!Q31&lt;-10000)),main_original!Q31/100000000,main_original!Q31)</f>
        <v>0</v>
      </c>
      <c r="R31" s="3">
        <f>IF(OR(AND(ISNUMBER(main_original!R31),main_original!R31&gt;10000),AND(ISNUMBER(main_original!R31),main_original!R31&lt;-10000)),main_original!R31/100000000,main_original!R31)</f>
        <v>0</v>
      </c>
      <c r="S31" s="3">
        <f>IF(OR(AND(ISNUMBER(main_original!S31),main_original!S31&gt;10000),AND(ISNUMBER(main_original!S31),main_original!S31&lt;-10000)),main_original!S31/100000000,main_original!S31)</f>
        <v>0</v>
      </c>
      <c r="T31" s="3">
        <f>IF(OR(AND(ISNUMBER(main_original!T31),main_original!T31&gt;10000),AND(ISNUMBER(main_original!T31),main_original!T31&lt;-10000)),main_original!T31/100000000,main_original!T31)</f>
        <v>0</v>
      </c>
      <c r="U31" s="3">
        <f>IF(OR(AND(ISNUMBER(main_original!U31),main_original!U31&gt;10000),AND(ISNUMBER(main_original!U31),main_original!U31&lt;-10000)),main_original!U31/100000000,main_original!U31)</f>
        <v>0</v>
      </c>
      <c r="V31" s="3">
        <f>IF(OR(AND(ISNUMBER(main_original!V31),main_original!V31&gt;10000),AND(ISNUMBER(main_original!V31),main_original!V31&lt;-10000)),main_original!V31/100000000,main_original!V31)</f>
        <v>0</v>
      </c>
      <c r="W31" s="3">
        <f>IF(OR(AND(ISNUMBER(main_original!W31),main_original!W31&gt;10000),AND(ISNUMBER(main_original!W31),main_original!W31&lt;-10000)),main_original!W31/100000000,main_original!W31)</f>
        <v>0</v>
      </c>
      <c r="X31" s="3">
        <f>IF(OR(AND(ISNUMBER(main_original!X31),main_original!X31&gt;10000),AND(ISNUMBER(main_original!X31),main_original!X31&lt;-10000)),main_original!X31/100000000,main_original!X31)</f>
        <v>0</v>
      </c>
      <c r="Y31" s="3">
        <f>IF(OR(AND(ISNUMBER(main_original!Y31),main_original!Y31&gt;10000),AND(ISNUMBER(main_original!Y31),main_original!Y31&lt;-10000)),main_original!Y31/100000000,main_original!Y31)</f>
        <v>0</v>
      </c>
      <c r="Z31" s="3">
        <f>IF(OR(AND(ISNUMBER(main_original!Z31),main_original!Z31&gt;10000),AND(ISNUMBER(main_original!Z31),main_original!Z31&lt;-10000)),main_original!Z31/100000000,main_original!Z31)</f>
        <v>0</v>
      </c>
      <c r="AA31" s="3">
        <f>IF(OR(AND(ISNUMBER(main_original!AA31),main_original!AA31&gt;10000),AND(ISNUMBER(main_original!AA31),main_original!AA31&lt;-10000)),main_original!AA31/100000000,main_original!AA31)</f>
        <v>0</v>
      </c>
      <c r="AB31" s="3">
        <f>IF(OR(AND(ISNUMBER(main_original!AB31),main_original!AB31&gt;10000),AND(ISNUMBER(main_original!AB31),main_original!AB31&lt;-10000)),main_original!AB31/100000000,main_original!AB31)</f>
        <v>0</v>
      </c>
      <c r="AC31" s="3">
        <f>IF(OR(AND(ISNUMBER(main_original!AC31),main_original!AC31&gt;10000),AND(ISNUMBER(main_original!AC31),main_original!AC31&lt;-10000)),main_original!AC31/100000000,main_original!AC31)</f>
        <v>0</v>
      </c>
      <c r="AD31" s="3">
        <f>IF(OR(AND(ISNUMBER(main_original!AD31),main_original!AD31&gt;10000),AND(ISNUMBER(main_original!AD31),main_original!AD31&lt;-10000)),main_original!AD31/100000000,main_original!AD31)</f>
        <v>0</v>
      </c>
      <c r="AE31" s="3">
        <f>IF(OR(AND(ISNUMBER(main_original!AE31),main_original!AE31&gt;10000),AND(ISNUMBER(main_original!AE31),main_original!AE31&lt;-10000)),main_original!AE31/100000000,main_original!AE31)</f>
        <v>0</v>
      </c>
      <c r="AF31" s="3">
        <f>IF(OR(AND(ISNUMBER(main_original!AF31),main_original!AF31&gt;10000),AND(ISNUMBER(main_original!AF31),main_original!AF31&lt;-10000)),main_original!AF31/100000000,main_original!AF31)</f>
        <v>0</v>
      </c>
      <c r="AG31" s="3">
        <f>IF(OR(AND(ISNUMBER(main_original!AG31),main_original!AG31&gt;10000),AND(ISNUMBER(main_original!AG31),main_original!AG31&lt;-10000)),main_original!AG31/100000000,main_original!AG31)</f>
        <v>0</v>
      </c>
      <c r="AH31" s="3">
        <f>IF(OR(AND(ISNUMBER(main_original!AH31),main_original!AH31&gt;10000),AND(ISNUMBER(main_original!AH31),main_original!AH31&lt;-10000)),main_original!AH31/100000000,main_original!AH31)</f>
        <v>0</v>
      </c>
      <c r="AI31" s="3">
        <f>IF(OR(AND(ISNUMBER(main_original!AI31),main_original!AI31&gt;10000),AND(ISNUMBER(main_original!AI31),main_original!AI31&lt;-10000)),main_original!AI31/100000000,main_original!AI31)</f>
        <v>0</v>
      </c>
      <c r="AJ31" s="3">
        <f>IF(OR(AND(ISNUMBER(main_original!AJ31),main_original!AJ31&gt;10000),AND(ISNUMBER(main_original!AJ31),main_original!AJ31&lt;-10000)),main_original!AJ31/100000000,main_original!AJ31)</f>
        <v>0</v>
      </c>
      <c r="AK31" s="3">
        <f>IF(OR(AND(ISNUMBER(main_original!AK31),main_original!AK31&gt;10000),AND(ISNUMBER(main_original!AK31),main_original!AK31&lt;-10000)),main_original!AK31/100000000,main_original!AK31)</f>
        <v>0</v>
      </c>
      <c r="AL31" s="3">
        <f>IF(OR(AND(ISNUMBER(main_original!AL31),main_original!AL31&gt;10000),AND(ISNUMBER(main_original!AL31),main_original!AL31&lt;-10000)),main_original!AL31/100000000,main_original!AL31)</f>
        <v>0</v>
      </c>
      <c r="AM31" s="3">
        <f>IF(OR(AND(ISNUMBER(main_original!AM31),main_original!AM31&gt;10000),AND(ISNUMBER(main_original!AM31),main_original!AM31&lt;-10000)),main_original!AM31/100000000,main_original!AM31)</f>
        <v>0</v>
      </c>
      <c r="AN31" s="3">
        <f>IF(OR(AND(ISNUMBER(main_original!AN31),main_original!AN31&gt;10000),AND(ISNUMBER(main_original!AN31),main_original!AN31&lt;-10000)),main_original!AN31/100000000,main_original!AN31)</f>
        <v>0</v>
      </c>
      <c r="AO31" s="3">
        <f>IF(OR(AND(ISNUMBER(main_original!AO31),main_original!AO31&gt;10000),AND(ISNUMBER(main_original!AO31),main_original!AO31&lt;-10000)),main_original!AO31/100000000,main_original!AO31)</f>
        <v>0</v>
      </c>
      <c r="AP31" s="3">
        <f>IF(OR(AND(ISNUMBER(main_original!AP31),main_original!AP31&gt;10000),AND(ISNUMBER(main_original!AP31),main_original!AP31&lt;-10000)),main_original!AP31/100000000,main_original!AP31)</f>
        <v>0</v>
      </c>
      <c r="AQ31" s="3">
        <f>IF(OR(AND(ISNUMBER(main_original!AQ31),main_original!AQ31&gt;10000),AND(ISNUMBER(main_original!AQ31),main_original!AQ31&lt;-10000)),main_original!AQ31/100000000,main_original!AQ31)</f>
        <v>0</v>
      </c>
      <c r="AR31" s="3">
        <f>IF(OR(AND(ISNUMBER(main_original!AR31),main_original!AR31&gt;10000),AND(ISNUMBER(main_original!AR31),main_original!AR31&lt;-10000)),main_original!AR31/100000000,main_original!AR31)</f>
        <v>0</v>
      </c>
      <c r="AS31" s="3">
        <f>IF(OR(AND(ISNUMBER(main_original!AS31),main_original!AS31&gt;10000),AND(ISNUMBER(main_original!AS31),main_original!AS31&lt;-10000)),main_original!AS31/100000000,main_original!AS31)</f>
        <v>0</v>
      </c>
      <c r="AT31" s="3">
        <f>IF(OR(AND(ISNUMBER(main_original!AT31),main_original!AT31&gt;10000),AND(ISNUMBER(main_original!AT31),main_original!AT31&lt;-10000)),main_original!AT31/100000000,main_original!AT31)</f>
        <v>0</v>
      </c>
    </row>
    <row r="32" spans="1:81" x14ac:dyDescent="0.25">
      <c r="B32" s="3">
        <f>IF(OR(AND(ISNUMBER(main_original!B32),main_original!B32&gt;10000),AND(ISNUMBER(main_original!B32),main_original!B32&lt;-10000)),main_original!B32/100000000,main_original!B32)</f>
        <v>0</v>
      </c>
      <c r="C32" s="3">
        <f>IF(OR(AND(ISNUMBER(main_original!C32),main_original!C32&gt;10000),AND(ISNUMBER(main_original!C32),main_original!C32&lt;-10000)),main_original!C32/100000000,main_original!C32)</f>
        <v>0</v>
      </c>
      <c r="D32" s="3">
        <f>IF(OR(AND(ISNUMBER(main_original!D32),main_original!D32&gt;10000),AND(ISNUMBER(main_original!D32),main_original!D32&lt;-10000)),main_original!D32/100000000,main_original!D32)</f>
        <v>0</v>
      </c>
      <c r="E32" s="3">
        <f>IF(OR(AND(ISNUMBER(main_original!E32),main_original!E32&gt;10000),AND(ISNUMBER(main_original!E32),main_original!E32&lt;-10000)),main_original!E32/100000000,main_original!E32)</f>
        <v>0</v>
      </c>
      <c r="F32" s="3">
        <f>IF(OR(AND(ISNUMBER(main_original!F32),main_original!F32&gt;10000),AND(ISNUMBER(main_original!F32),main_original!F32&lt;-10000)),main_original!F32/100000000,main_original!F32)</f>
        <v>0</v>
      </c>
      <c r="G32" s="3">
        <f>IF(OR(AND(ISNUMBER(main_original!G32),main_original!G32&gt;10000),AND(ISNUMBER(main_original!G32),main_original!G32&lt;-10000)),main_original!G32/100000000,main_original!G32)</f>
        <v>0</v>
      </c>
      <c r="H32" s="3">
        <f>IF(OR(AND(ISNUMBER(main_original!H32),main_original!H32&gt;10000),AND(ISNUMBER(main_original!H32),main_original!H32&lt;-10000)),main_original!H32/100000000,main_original!H32)</f>
        <v>0</v>
      </c>
      <c r="I32" s="3">
        <f>IF(OR(AND(ISNUMBER(main_original!I32),main_original!I32&gt;10000),AND(ISNUMBER(main_original!I32),main_original!I32&lt;-10000)),main_original!I32/100000000,main_original!I32)</f>
        <v>0</v>
      </c>
      <c r="J32" s="3">
        <f>IF(OR(AND(ISNUMBER(main_original!J32),main_original!J32&gt;10000),AND(ISNUMBER(main_original!J32),main_original!J32&lt;-10000)),main_original!J32/100000000,main_original!J32)</f>
        <v>0</v>
      </c>
      <c r="K32" s="3">
        <f>IF(OR(AND(ISNUMBER(main_original!K32),main_original!K32&gt;10000),AND(ISNUMBER(main_original!K32),main_original!K32&lt;-10000)),main_original!K32/100000000,main_original!K32)</f>
        <v>0</v>
      </c>
      <c r="L32" s="3">
        <f>IF(OR(AND(ISNUMBER(main_original!L32),main_original!L32&gt;10000),AND(ISNUMBER(main_original!L32),main_original!L32&lt;-10000)),main_original!L32/100000000,main_original!L32)</f>
        <v>0</v>
      </c>
      <c r="M32" s="3">
        <f>IF(OR(AND(ISNUMBER(main_original!M32),main_original!M32&gt;10000),AND(ISNUMBER(main_original!M32),main_original!M32&lt;-10000)),main_original!M32/100000000,main_original!M32)</f>
        <v>0</v>
      </c>
      <c r="N32" s="3">
        <f>IF(OR(AND(ISNUMBER(main_original!N32),main_original!N32&gt;10000),AND(ISNUMBER(main_original!N32),main_original!N32&lt;-10000)),main_original!N32/100000000,main_original!N32)</f>
        <v>0</v>
      </c>
      <c r="O32" s="3">
        <f>IF(OR(AND(ISNUMBER(main_original!O32),main_original!O32&gt;10000),AND(ISNUMBER(main_original!O32),main_original!O32&lt;-10000)),main_original!O32/100000000,main_original!O32)</f>
        <v>0</v>
      </c>
      <c r="P32" s="3">
        <f>IF(OR(AND(ISNUMBER(main_original!P32),main_original!P32&gt;10000),AND(ISNUMBER(main_original!P32),main_original!P32&lt;-10000)),main_original!P32/100000000,main_original!P32)</f>
        <v>0</v>
      </c>
      <c r="Q32" s="3">
        <f>IF(OR(AND(ISNUMBER(main_original!Q32),main_original!Q32&gt;10000),AND(ISNUMBER(main_original!Q32),main_original!Q32&lt;-10000)),main_original!Q32/100000000,main_original!Q32)</f>
        <v>0</v>
      </c>
      <c r="R32" s="3">
        <f>IF(OR(AND(ISNUMBER(main_original!R32),main_original!R32&gt;10000),AND(ISNUMBER(main_original!R32),main_original!R32&lt;-10000)),main_original!R32/100000000,main_original!R32)</f>
        <v>0</v>
      </c>
      <c r="S32" s="3">
        <f>IF(OR(AND(ISNUMBER(main_original!S32),main_original!S32&gt;10000),AND(ISNUMBER(main_original!S32),main_original!S32&lt;-10000)),main_original!S32/100000000,main_original!S32)</f>
        <v>0</v>
      </c>
      <c r="T32" s="3">
        <f>IF(OR(AND(ISNUMBER(main_original!T32),main_original!T32&gt;10000),AND(ISNUMBER(main_original!T32),main_original!T32&lt;-10000)),main_original!T32/100000000,main_original!T32)</f>
        <v>0</v>
      </c>
      <c r="U32" s="3">
        <f>IF(OR(AND(ISNUMBER(main_original!U32),main_original!U32&gt;10000),AND(ISNUMBER(main_original!U32),main_original!U32&lt;-10000)),main_original!U32/100000000,main_original!U32)</f>
        <v>0</v>
      </c>
      <c r="V32" s="3">
        <f>IF(OR(AND(ISNUMBER(main_original!V32),main_original!V32&gt;10000),AND(ISNUMBER(main_original!V32),main_original!V32&lt;-10000)),main_original!V32/100000000,main_original!V32)</f>
        <v>0</v>
      </c>
      <c r="W32" s="3">
        <f>IF(OR(AND(ISNUMBER(main_original!W32),main_original!W32&gt;10000),AND(ISNUMBER(main_original!W32),main_original!W32&lt;-10000)),main_original!W32/100000000,main_original!W32)</f>
        <v>0</v>
      </c>
      <c r="X32" s="3">
        <f>IF(OR(AND(ISNUMBER(main_original!X32),main_original!X32&gt;10000),AND(ISNUMBER(main_original!X32),main_original!X32&lt;-10000)),main_original!X32/100000000,main_original!X32)</f>
        <v>0</v>
      </c>
      <c r="Y32" s="3">
        <f>IF(OR(AND(ISNUMBER(main_original!Y32),main_original!Y32&gt;10000),AND(ISNUMBER(main_original!Y32),main_original!Y32&lt;-10000)),main_original!Y32/100000000,main_original!Y32)</f>
        <v>0</v>
      </c>
      <c r="Z32" s="3">
        <f>IF(OR(AND(ISNUMBER(main_original!Z32),main_original!Z32&gt;10000),AND(ISNUMBER(main_original!Z32),main_original!Z32&lt;-10000)),main_original!Z32/100000000,main_original!Z32)</f>
        <v>0</v>
      </c>
      <c r="AA32" s="3">
        <f>IF(OR(AND(ISNUMBER(main_original!AA32),main_original!AA32&gt;10000),AND(ISNUMBER(main_original!AA32),main_original!AA32&lt;-10000)),main_original!AA32/100000000,main_original!AA32)</f>
        <v>0</v>
      </c>
      <c r="AB32" s="3">
        <f>IF(OR(AND(ISNUMBER(main_original!AB32),main_original!AB32&gt;10000),AND(ISNUMBER(main_original!AB32),main_original!AB32&lt;-10000)),main_original!AB32/100000000,main_original!AB32)</f>
        <v>0</v>
      </c>
      <c r="AC32" s="3">
        <f>IF(OR(AND(ISNUMBER(main_original!AC32),main_original!AC32&gt;10000),AND(ISNUMBER(main_original!AC32),main_original!AC32&lt;-10000)),main_original!AC32/100000000,main_original!AC32)</f>
        <v>0</v>
      </c>
      <c r="AD32" s="3">
        <f>IF(OR(AND(ISNUMBER(main_original!AD32),main_original!AD32&gt;10000),AND(ISNUMBER(main_original!AD32),main_original!AD32&lt;-10000)),main_original!AD32/100000000,main_original!AD32)</f>
        <v>0</v>
      </c>
      <c r="AE32" s="3">
        <f>IF(OR(AND(ISNUMBER(main_original!AE32),main_original!AE32&gt;10000),AND(ISNUMBER(main_original!AE32),main_original!AE32&lt;-10000)),main_original!AE32/100000000,main_original!AE32)</f>
        <v>0</v>
      </c>
      <c r="AF32" s="3">
        <f>IF(OR(AND(ISNUMBER(main_original!AF32),main_original!AF32&gt;10000),AND(ISNUMBER(main_original!AF32),main_original!AF32&lt;-10000)),main_original!AF32/100000000,main_original!AF32)</f>
        <v>0</v>
      </c>
      <c r="AG32" s="3">
        <f>IF(OR(AND(ISNUMBER(main_original!AG32),main_original!AG32&gt;10000),AND(ISNUMBER(main_original!AG32),main_original!AG32&lt;-10000)),main_original!AG32/100000000,main_original!AG32)</f>
        <v>0</v>
      </c>
      <c r="AH32" s="3">
        <f>IF(OR(AND(ISNUMBER(main_original!AH32),main_original!AH32&gt;10000),AND(ISNUMBER(main_original!AH32),main_original!AH32&lt;-10000)),main_original!AH32/100000000,main_original!AH32)</f>
        <v>0</v>
      </c>
      <c r="AI32" s="3">
        <f>IF(OR(AND(ISNUMBER(main_original!AI32),main_original!AI32&gt;10000),AND(ISNUMBER(main_original!AI32),main_original!AI32&lt;-10000)),main_original!AI32/100000000,main_original!AI32)</f>
        <v>0</v>
      </c>
      <c r="AJ32" s="3">
        <f>IF(OR(AND(ISNUMBER(main_original!AJ32),main_original!AJ32&gt;10000),AND(ISNUMBER(main_original!AJ32),main_original!AJ32&lt;-10000)),main_original!AJ32/100000000,main_original!AJ32)</f>
        <v>0</v>
      </c>
      <c r="AK32" s="3">
        <f>IF(OR(AND(ISNUMBER(main_original!AK32),main_original!AK32&gt;10000),AND(ISNUMBER(main_original!AK32),main_original!AK32&lt;-10000)),main_original!AK32/100000000,main_original!AK32)</f>
        <v>0</v>
      </c>
      <c r="AL32" s="3">
        <f>IF(OR(AND(ISNUMBER(main_original!AL32),main_original!AL32&gt;10000),AND(ISNUMBER(main_original!AL32),main_original!AL32&lt;-10000)),main_original!AL32/100000000,main_original!AL32)</f>
        <v>0</v>
      </c>
      <c r="AM32" s="3">
        <f>IF(OR(AND(ISNUMBER(main_original!AM32),main_original!AM32&gt;10000),AND(ISNUMBER(main_original!AM32),main_original!AM32&lt;-10000)),main_original!AM32/100000000,main_original!AM32)</f>
        <v>0</v>
      </c>
      <c r="AN32" s="3">
        <f>IF(OR(AND(ISNUMBER(main_original!AN32),main_original!AN32&gt;10000),AND(ISNUMBER(main_original!AN32),main_original!AN32&lt;-10000)),main_original!AN32/100000000,main_original!AN32)</f>
        <v>0</v>
      </c>
      <c r="AO32" s="3">
        <f>IF(OR(AND(ISNUMBER(main_original!AO32),main_original!AO32&gt;10000),AND(ISNUMBER(main_original!AO32),main_original!AO32&lt;-10000)),main_original!AO32/100000000,main_original!AO32)</f>
        <v>0</v>
      </c>
      <c r="AP32" s="3">
        <f>IF(OR(AND(ISNUMBER(main_original!AP32),main_original!AP32&gt;10000),AND(ISNUMBER(main_original!AP32),main_original!AP32&lt;-10000)),main_original!AP32/100000000,main_original!AP32)</f>
        <v>0</v>
      </c>
      <c r="AQ32" s="3">
        <f>IF(OR(AND(ISNUMBER(main_original!AQ32),main_original!AQ32&gt;10000),AND(ISNUMBER(main_original!AQ32),main_original!AQ32&lt;-10000)),main_original!AQ32/100000000,main_original!AQ32)</f>
        <v>0</v>
      </c>
      <c r="AR32" s="3">
        <f>IF(OR(AND(ISNUMBER(main_original!AR32),main_original!AR32&gt;10000),AND(ISNUMBER(main_original!AR32),main_original!AR32&lt;-10000)),main_original!AR32/100000000,main_original!AR32)</f>
        <v>0</v>
      </c>
      <c r="AS32" s="3">
        <f>IF(OR(AND(ISNUMBER(main_original!AS32),main_original!AS32&gt;10000),AND(ISNUMBER(main_original!AS32),main_original!AS32&lt;-10000)),main_original!AS32/100000000,main_original!AS32)</f>
        <v>0</v>
      </c>
      <c r="AT32" s="3">
        <f>IF(OR(AND(ISNUMBER(main_original!AT32),main_original!AT32&gt;10000),AND(ISNUMBER(main_original!AT32),main_original!AT32&lt;-10000)),main_original!AT32/100000000,main_original!AT32)</f>
        <v>0</v>
      </c>
    </row>
    <row r="33" spans="2:46" x14ac:dyDescent="0.25">
      <c r="B33" s="3">
        <f>IF(OR(AND(ISNUMBER(main_original!B33),main_original!B33&gt;10000),AND(ISNUMBER(main_original!B33),main_original!B33&lt;-10000)),main_original!B33/100000000,main_original!B33)</f>
        <v>0</v>
      </c>
      <c r="C33" s="3">
        <f>IF(OR(AND(ISNUMBER(main_original!C33),main_original!C33&gt;10000),AND(ISNUMBER(main_original!C33),main_original!C33&lt;-10000)),main_original!C33/100000000,main_original!C33)</f>
        <v>0</v>
      </c>
      <c r="D33" s="3">
        <f>IF(OR(AND(ISNUMBER(main_original!D33),main_original!D33&gt;10000),AND(ISNUMBER(main_original!D33),main_original!D33&lt;-10000)),main_original!D33/100000000,main_original!D33)</f>
        <v>0</v>
      </c>
      <c r="E33" s="3">
        <f>IF(OR(AND(ISNUMBER(main_original!E33),main_original!E33&gt;10000),AND(ISNUMBER(main_original!E33),main_original!E33&lt;-10000)),main_original!E33/100000000,main_original!E33)</f>
        <v>0</v>
      </c>
      <c r="F33" s="3">
        <f>IF(OR(AND(ISNUMBER(main_original!F33),main_original!F33&gt;10000),AND(ISNUMBER(main_original!F33),main_original!F33&lt;-10000)),main_original!F33/100000000,main_original!F33)</f>
        <v>0</v>
      </c>
      <c r="G33" s="3">
        <f>IF(OR(AND(ISNUMBER(main_original!G33),main_original!G33&gt;10000),AND(ISNUMBER(main_original!G33),main_original!G33&lt;-10000)),main_original!G33/100000000,main_original!G33)</f>
        <v>0</v>
      </c>
      <c r="H33" s="3">
        <f>IF(OR(AND(ISNUMBER(main_original!H33),main_original!H33&gt;10000),AND(ISNUMBER(main_original!H33),main_original!H33&lt;-10000)),main_original!H33/100000000,main_original!H33)</f>
        <v>0</v>
      </c>
      <c r="I33" s="3">
        <f>IF(OR(AND(ISNUMBER(main_original!I33),main_original!I33&gt;10000),AND(ISNUMBER(main_original!I33),main_original!I33&lt;-10000)),main_original!I33/100000000,main_original!I33)</f>
        <v>0</v>
      </c>
      <c r="J33" s="3">
        <f>IF(OR(AND(ISNUMBER(main_original!J33),main_original!J33&gt;10000),AND(ISNUMBER(main_original!J33),main_original!J33&lt;-10000)),main_original!J33/100000000,main_original!J33)</f>
        <v>0</v>
      </c>
      <c r="K33" s="3">
        <f>IF(OR(AND(ISNUMBER(main_original!K33),main_original!K33&gt;10000),AND(ISNUMBER(main_original!K33),main_original!K33&lt;-10000)),main_original!K33/100000000,main_original!K33)</f>
        <v>0</v>
      </c>
      <c r="L33" s="3">
        <f>IF(OR(AND(ISNUMBER(main_original!L33),main_original!L33&gt;10000),AND(ISNUMBER(main_original!L33),main_original!L33&lt;-10000)),main_original!L33/100000000,main_original!L33)</f>
        <v>0</v>
      </c>
      <c r="M33" s="3">
        <f>IF(OR(AND(ISNUMBER(main_original!M33),main_original!M33&gt;10000),AND(ISNUMBER(main_original!M33),main_original!M33&lt;-10000)),main_original!M33/100000000,main_original!M33)</f>
        <v>0</v>
      </c>
      <c r="N33" s="3">
        <f>IF(OR(AND(ISNUMBER(main_original!N33),main_original!N33&gt;10000),AND(ISNUMBER(main_original!N33),main_original!N33&lt;-10000)),main_original!N33/100000000,main_original!N33)</f>
        <v>0</v>
      </c>
      <c r="O33" s="3">
        <f>IF(OR(AND(ISNUMBER(main_original!O33),main_original!O33&gt;10000),AND(ISNUMBER(main_original!O33),main_original!O33&lt;-10000)),main_original!O33/100000000,main_original!O33)</f>
        <v>0</v>
      </c>
      <c r="P33" s="3">
        <f>IF(OR(AND(ISNUMBER(main_original!P33),main_original!P33&gt;10000),AND(ISNUMBER(main_original!P33),main_original!P33&lt;-10000)),main_original!P33/100000000,main_original!P33)</f>
        <v>0</v>
      </c>
      <c r="Q33" s="3">
        <f>IF(OR(AND(ISNUMBER(main_original!Q33),main_original!Q33&gt;10000),AND(ISNUMBER(main_original!Q33),main_original!Q33&lt;-10000)),main_original!Q33/100000000,main_original!Q33)</f>
        <v>0</v>
      </c>
      <c r="R33" s="3">
        <f>IF(OR(AND(ISNUMBER(main_original!R33),main_original!R33&gt;10000),AND(ISNUMBER(main_original!R33),main_original!R33&lt;-10000)),main_original!R33/100000000,main_original!R33)</f>
        <v>0</v>
      </c>
      <c r="S33" s="3">
        <f>IF(OR(AND(ISNUMBER(main_original!S33),main_original!S33&gt;10000),AND(ISNUMBER(main_original!S33),main_original!S33&lt;-10000)),main_original!S33/100000000,main_original!S33)</f>
        <v>0</v>
      </c>
      <c r="T33" s="3">
        <f>IF(OR(AND(ISNUMBER(main_original!T33),main_original!T33&gt;10000),AND(ISNUMBER(main_original!T33),main_original!T33&lt;-10000)),main_original!T33/100000000,main_original!T33)</f>
        <v>0</v>
      </c>
      <c r="U33" s="3">
        <f>IF(OR(AND(ISNUMBER(main_original!U33),main_original!U33&gt;10000),AND(ISNUMBER(main_original!U33),main_original!U33&lt;-10000)),main_original!U33/100000000,main_original!U33)</f>
        <v>0</v>
      </c>
      <c r="V33" s="3">
        <f>IF(OR(AND(ISNUMBER(main_original!V33),main_original!V33&gt;10000),AND(ISNUMBER(main_original!V33),main_original!V33&lt;-10000)),main_original!V33/100000000,main_original!V33)</f>
        <v>0</v>
      </c>
      <c r="W33" s="3">
        <f>IF(OR(AND(ISNUMBER(main_original!W33),main_original!W33&gt;10000),AND(ISNUMBER(main_original!W33),main_original!W33&lt;-10000)),main_original!W33/100000000,main_original!W33)</f>
        <v>0</v>
      </c>
      <c r="X33" s="3">
        <f>IF(OR(AND(ISNUMBER(main_original!X33),main_original!X33&gt;10000),AND(ISNUMBER(main_original!X33),main_original!X33&lt;-10000)),main_original!X33/100000000,main_original!X33)</f>
        <v>0</v>
      </c>
      <c r="Y33" s="3">
        <f>IF(OR(AND(ISNUMBER(main_original!Y33),main_original!Y33&gt;10000),AND(ISNUMBER(main_original!Y33),main_original!Y33&lt;-10000)),main_original!Y33/100000000,main_original!Y33)</f>
        <v>0</v>
      </c>
      <c r="Z33" s="3">
        <f>IF(OR(AND(ISNUMBER(main_original!Z33),main_original!Z33&gt;10000),AND(ISNUMBER(main_original!Z33),main_original!Z33&lt;-10000)),main_original!Z33/100000000,main_original!Z33)</f>
        <v>0</v>
      </c>
      <c r="AA33" s="3">
        <f>IF(OR(AND(ISNUMBER(main_original!AA33),main_original!AA33&gt;10000),AND(ISNUMBER(main_original!AA33),main_original!AA33&lt;-10000)),main_original!AA33/100000000,main_original!AA33)</f>
        <v>0</v>
      </c>
      <c r="AB33" s="3">
        <f>IF(OR(AND(ISNUMBER(main_original!AB33),main_original!AB33&gt;10000),AND(ISNUMBER(main_original!AB33),main_original!AB33&lt;-10000)),main_original!AB33/100000000,main_original!AB33)</f>
        <v>0</v>
      </c>
      <c r="AC33" s="3">
        <f>IF(OR(AND(ISNUMBER(main_original!AC33),main_original!AC33&gt;10000),AND(ISNUMBER(main_original!AC33),main_original!AC33&lt;-10000)),main_original!AC33/100000000,main_original!AC33)</f>
        <v>0</v>
      </c>
      <c r="AD33" s="3">
        <f>IF(OR(AND(ISNUMBER(main_original!AD33),main_original!AD33&gt;10000),AND(ISNUMBER(main_original!AD33),main_original!AD33&lt;-10000)),main_original!AD33/100000000,main_original!AD33)</f>
        <v>0</v>
      </c>
      <c r="AE33" s="3">
        <f>IF(OR(AND(ISNUMBER(main_original!AE33),main_original!AE33&gt;10000),AND(ISNUMBER(main_original!AE33),main_original!AE33&lt;-10000)),main_original!AE33/100000000,main_original!AE33)</f>
        <v>0</v>
      </c>
      <c r="AF33" s="3">
        <f>IF(OR(AND(ISNUMBER(main_original!AF33),main_original!AF33&gt;10000),AND(ISNUMBER(main_original!AF33),main_original!AF33&lt;-10000)),main_original!AF33/100000000,main_original!AF33)</f>
        <v>0</v>
      </c>
      <c r="AG33" s="3">
        <f>IF(OR(AND(ISNUMBER(main_original!AG33),main_original!AG33&gt;10000),AND(ISNUMBER(main_original!AG33),main_original!AG33&lt;-10000)),main_original!AG33/100000000,main_original!AG33)</f>
        <v>0</v>
      </c>
      <c r="AH33" s="3">
        <f>IF(OR(AND(ISNUMBER(main_original!AH33),main_original!AH33&gt;10000),AND(ISNUMBER(main_original!AH33),main_original!AH33&lt;-10000)),main_original!AH33/100000000,main_original!AH33)</f>
        <v>0</v>
      </c>
      <c r="AI33" s="3">
        <f>IF(OR(AND(ISNUMBER(main_original!AI33),main_original!AI33&gt;10000),AND(ISNUMBER(main_original!AI33),main_original!AI33&lt;-10000)),main_original!AI33/100000000,main_original!AI33)</f>
        <v>0</v>
      </c>
      <c r="AJ33" s="3">
        <f>IF(OR(AND(ISNUMBER(main_original!AJ33),main_original!AJ33&gt;10000),AND(ISNUMBER(main_original!AJ33),main_original!AJ33&lt;-10000)),main_original!AJ33/100000000,main_original!AJ33)</f>
        <v>0</v>
      </c>
      <c r="AK33" s="3">
        <f>IF(OR(AND(ISNUMBER(main_original!AK33),main_original!AK33&gt;10000),AND(ISNUMBER(main_original!AK33),main_original!AK33&lt;-10000)),main_original!AK33/100000000,main_original!AK33)</f>
        <v>0</v>
      </c>
      <c r="AL33" s="3">
        <f>IF(OR(AND(ISNUMBER(main_original!AL33),main_original!AL33&gt;10000),AND(ISNUMBER(main_original!AL33),main_original!AL33&lt;-10000)),main_original!AL33/100000000,main_original!AL33)</f>
        <v>0</v>
      </c>
      <c r="AM33" s="3">
        <f>IF(OR(AND(ISNUMBER(main_original!AM33),main_original!AM33&gt;10000),AND(ISNUMBER(main_original!AM33),main_original!AM33&lt;-10000)),main_original!AM33/100000000,main_original!AM33)</f>
        <v>0</v>
      </c>
      <c r="AN33" s="3">
        <f>IF(OR(AND(ISNUMBER(main_original!AN33),main_original!AN33&gt;10000),AND(ISNUMBER(main_original!AN33),main_original!AN33&lt;-10000)),main_original!AN33/100000000,main_original!AN33)</f>
        <v>0</v>
      </c>
      <c r="AO33" s="3">
        <f>IF(OR(AND(ISNUMBER(main_original!AO33),main_original!AO33&gt;10000),AND(ISNUMBER(main_original!AO33),main_original!AO33&lt;-10000)),main_original!AO33/100000000,main_original!AO33)</f>
        <v>0</v>
      </c>
      <c r="AP33" s="3">
        <f>IF(OR(AND(ISNUMBER(main_original!AP33),main_original!AP33&gt;10000),AND(ISNUMBER(main_original!AP33),main_original!AP33&lt;-10000)),main_original!AP33/100000000,main_original!AP33)</f>
        <v>0</v>
      </c>
      <c r="AQ33" s="3">
        <f>IF(OR(AND(ISNUMBER(main_original!AQ33),main_original!AQ33&gt;10000),AND(ISNUMBER(main_original!AQ33),main_original!AQ33&lt;-10000)),main_original!AQ33/100000000,main_original!AQ33)</f>
        <v>0</v>
      </c>
      <c r="AR33" s="3">
        <f>IF(OR(AND(ISNUMBER(main_original!AR33),main_original!AR33&gt;10000),AND(ISNUMBER(main_original!AR33),main_original!AR33&lt;-10000)),main_original!AR33/100000000,main_original!AR33)</f>
        <v>0</v>
      </c>
      <c r="AS33" s="3">
        <f>IF(OR(AND(ISNUMBER(main_original!AS33),main_original!AS33&gt;10000),AND(ISNUMBER(main_original!AS33),main_original!AS33&lt;-10000)),main_original!AS33/100000000,main_original!AS33)</f>
        <v>0</v>
      </c>
      <c r="AT33" s="3">
        <f>IF(OR(AND(ISNUMBER(main_original!AT33),main_original!AT33&gt;10000),AND(ISNUMBER(main_original!AT33),main_original!AT33&lt;-10000)),main_original!AT33/100000000,main_original!AT33)</f>
        <v>0</v>
      </c>
    </row>
    <row r="34" spans="2:46" x14ac:dyDescent="0.25">
      <c r="B34" s="3">
        <f>IF(OR(AND(ISNUMBER(main_original!B34),main_original!B34&gt;10000),AND(ISNUMBER(main_original!B34),main_original!B34&lt;-10000)),main_original!B34/100000000,main_original!B34)</f>
        <v>0</v>
      </c>
      <c r="C34" s="3">
        <f>IF(OR(AND(ISNUMBER(main_original!C34),main_original!C34&gt;10000),AND(ISNUMBER(main_original!C34),main_original!C34&lt;-10000)),main_original!C34/100000000,main_original!C34)</f>
        <v>0</v>
      </c>
      <c r="D34" s="3">
        <f>IF(OR(AND(ISNUMBER(main_original!D34),main_original!D34&gt;10000),AND(ISNUMBER(main_original!D34),main_original!D34&lt;-10000)),main_original!D34/100000000,main_original!D34)</f>
        <v>0</v>
      </c>
      <c r="E34" s="3">
        <f>IF(OR(AND(ISNUMBER(main_original!E34),main_original!E34&gt;10000),AND(ISNUMBER(main_original!E34),main_original!E34&lt;-10000)),main_original!E34/100000000,main_original!E34)</f>
        <v>0</v>
      </c>
      <c r="F34" s="3">
        <f>IF(OR(AND(ISNUMBER(main_original!F34),main_original!F34&gt;10000),AND(ISNUMBER(main_original!F34),main_original!F34&lt;-10000)),main_original!F34/100000000,main_original!F34)</f>
        <v>0</v>
      </c>
      <c r="G34" s="3">
        <f>IF(OR(AND(ISNUMBER(main_original!G34),main_original!G34&gt;10000),AND(ISNUMBER(main_original!G34),main_original!G34&lt;-10000)),main_original!G34/100000000,main_original!G34)</f>
        <v>0</v>
      </c>
      <c r="H34" s="3">
        <f>IF(OR(AND(ISNUMBER(main_original!H34),main_original!H34&gt;10000),AND(ISNUMBER(main_original!H34),main_original!H34&lt;-10000)),main_original!H34/100000000,main_original!H34)</f>
        <v>0</v>
      </c>
      <c r="I34" s="3">
        <f>IF(OR(AND(ISNUMBER(main_original!I34),main_original!I34&gt;10000),AND(ISNUMBER(main_original!I34),main_original!I34&lt;-10000)),main_original!I34/100000000,main_original!I34)</f>
        <v>0</v>
      </c>
      <c r="J34" s="3">
        <f>IF(OR(AND(ISNUMBER(main_original!J34),main_original!J34&gt;10000),AND(ISNUMBER(main_original!J34),main_original!J34&lt;-10000)),main_original!J34/100000000,main_original!J34)</f>
        <v>0</v>
      </c>
      <c r="K34" s="3">
        <f>IF(OR(AND(ISNUMBER(main_original!K34),main_original!K34&gt;10000),AND(ISNUMBER(main_original!K34),main_original!K34&lt;-10000)),main_original!K34/100000000,main_original!K34)</f>
        <v>0</v>
      </c>
      <c r="L34" s="3">
        <f>IF(OR(AND(ISNUMBER(main_original!L34),main_original!L34&gt;10000),AND(ISNUMBER(main_original!L34),main_original!L34&lt;-10000)),main_original!L34/100000000,main_original!L34)</f>
        <v>0</v>
      </c>
      <c r="M34" s="3">
        <f>IF(OR(AND(ISNUMBER(main_original!M34),main_original!M34&gt;10000),AND(ISNUMBER(main_original!M34),main_original!M34&lt;-10000)),main_original!M34/100000000,main_original!M34)</f>
        <v>0</v>
      </c>
      <c r="N34" s="3">
        <f>IF(OR(AND(ISNUMBER(main_original!N34),main_original!N34&gt;10000),AND(ISNUMBER(main_original!N34),main_original!N34&lt;-10000)),main_original!N34/100000000,main_original!N34)</f>
        <v>0</v>
      </c>
      <c r="O34" s="3">
        <f>IF(OR(AND(ISNUMBER(main_original!O34),main_original!O34&gt;10000),AND(ISNUMBER(main_original!O34),main_original!O34&lt;-10000)),main_original!O34/100000000,main_original!O34)</f>
        <v>0</v>
      </c>
      <c r="P34" s="3">
        <f>IF(OR(AND(ISNUMBER(main_original!P34),main_original!P34&gt;10000),AND(ISNUMBER(main_original!P34),main_original!P34&lt;-10000)),main_original!P34/100000000,main_original!P34)</f>
        <v>0</v>
      </c>
      <c r="Q34" s="3">
        <f>IF(OR(AND(ISNUMBER(main_original!Q34),main_original!Q34&gt;10000),AND(ISNUMBER(main_original!Q34),main_original!Q34&lt;-10000)),main_original!Q34/100000000,main_original!Q34)</f>
        <v>0</v>
      </c>
      <c r="R34" s="3">
        <f>IF(OR(AND(ISNUMBER(main_original!R34),main_original!R34&gt;10000),AND(ISNUMBER(main_original!R34),main_original!R34&lt;-10000)),main_original!R34/100000000,main_original!R34)</f>
        <v>0</v>
      </c>
      <c r="S34" s="3">
        <f>IF(OR(AND(ISNUMBER(main_original!S34),main_original!S34&gt;10000),AND(ISNUMBER(main_original!S34),main_original!S34&lt;-10000)),main_original!S34/100000000,main_original!S34)</f>
        <v>0</v>
      </c>
      <c r="T34" s="3">
        <f>IF(OR(AND(ISNUMBER(main_original!T34),main_original!T34&gt;10000),AND(ISNUMBER(main_original!T34),main_original!T34&lt;-10000)),main_original!T34/100000000,main_original!T34)</f>
        <v>0</v>
      </c>
      <c r="U34" s="3">
        <f>IF(OR(AND(ISNUMBER(main_original!U34),main_original!U34&gt;10000),AND(ISNUMBER(main_original!U34),main_original!U34&lt;-10000)),main_original!U34/100000000,main_original!U34)</f>
        <v>0</v>
      </c>
      <c r="V34" s="3">
        <f>IF(OR(AND(ISNUMBER(main_original!V34),main_original!V34&gt;10000),AND(ISNUMBER(main_original!V34),main_original!V34&lt;-10000)),main_original!V34/100000000,main_original!V34)</f>
        <v>0</v>
      </c>
      <c r="W34" s="3">
        <f>IF(OR(AND(ISNUMBER(main_original!W34),main_original!W34&gt;10000),AND(ISNUMBER(main_original!W34),main_original!W34&lt;-10000)),main_original!W34/100000000,main_original!W34)</f>
        <v>0</v>
      </c>
      <c r="X34" s="3">
        <f>IF(OR(AND(ISNUMBER(main_original!X34),main_original!X34&gt;10000),AND(ISNUMBER(main_original!X34),main_original!X34&lt;-10000)),main_original!X34/100000000,main_original!X34)</f>
        <v>0</v>
      </c>
      <c r="Y34" s="3">
        <f>IF(OR(AND(ISNUMBER(main_original!Y34),main_original!Y34&gt;10000),AND(ISNUMBER(main_original!Y34),main_original!Y34&lt;-10000)),main_original!Y34/100000000,main_original!Y34)</f>
        <v>0</v>
      </c>
      <c r="Z34" s="3">
        <f>IF(OR(AND(ISNUMBER(main_original!Z34),main_original!Z34&gt;10000),AND(ISNUMBER(main_original!Z34),main_original!Z34&lt;-10000)),main_original!Z34/100000000,main_original!Z34)</f>
        <v>0</v>
      </c>
      <c r="AA34" s="3">
        <f>IF(OR(AND(ISNUMBER(main_original!AA34),main_original!AA34&gt;10000),AND(ISNUMBER(main_original!AA34),main_original!AA34&lt;-10000)),main_original!AA34/100000000,main_original!AA34)</f>
        <v>0</v>
      </c>
      <c r="AB34" s="3">
        <f>IF(OR(AND(ISNUMBER(main_original!AB34),main_original!AB34&gt;10000),AND(ISNUMBER(main_original!AB34),main_original!AB34&lt;-10000)),main_original!AB34/100000000,main_original!AB34)</f>
        <v>0</v>
      </c>
      <c r="AC34" s="3">
        <f>IF(OR(AND(ISNUMBER(main_original!AC34),main_original!AC34&gt;10000),AND(ISNUMBER(main_original!AC34),main_original!AC34&lt;-10000)),main_original!AC34/100000000,main_original!AC34)</f>
        <v>0</v>
      </c>
      <c r="AD34" s="3">
        <f>IF(OR(AND(ISNUMBER(main_original!AD34),main_original!AD34&gt;10000),AND(ISNUMBER(main_original!AD34),main_original!AD34&lt;-10000)),main_original!AD34/100000000,main_original!AD34)</f>
        <v>0</v>
      </c>
      <c r="AE34" s="3">
        <f>IF(OR(AND(ISNUMBER(main_original!AE34),main_original!AE34&gt;10000),AND(ISNUMBER(main_original!AE34),main_original!AE34&lt;-10000)),main_original!AE34/100000000,main_original!AE34)</f>
        <v>0</v>
      </c>
      <c r="AF34" s="3">
        <f>IF(OR(AND(ISNUMBER(main_original!AF34),main_original!AF34&gt;10000),AND(ISNUMBER(main_original!AF34),main_original!AF34&lt;-10000)),main_original!AF34/100000000,main_original!AF34)</f>
        <v>0</v>
      </c>
      <c r="AG34" s="3">
        <f>IF(OR(AND(ISNUMBER(main_original!AG34),main_original!AG34&gt;10000),AND(ISNUMBER(main_original!AG34),main_original!AG34&lt;-10000)),main_original!AG34/100000000,main_original!AG34)</f>
        <v>0</v>
      </c>
      <c r="AH34" s="3">
        <f>IF(OR(AND(ISNUMBER(main_original!AH34),main_original!AH34&gt;10000),AND(ISNUMBER(main_original!AH34),main_original!AH34&lt;-10000)),main_original!AH34/100000000,main_original!AH34)</f>
        <v>0</v>
      </c>
      <c r="AI34" s="3">
        <f>IF(OR(AND(ISNUMBER(main_original!AI34),main_original!AI34&gt;10000),AND(ISNUMBER(main_original!AI34),main_original!AI34&lt;-10000)),main_original!AI34/100000000,main_original!AI34)</f>
        <v>0</v>
      </c>
      <c r="AJ34" s="3">
        <f>IF(OR(AND(ISNUMBER(main_original!AJ34),main_original!AJ34&gt;10000),AND(ISNUMBER(main_original!AJ34),main_original!AJ34&lt;-10000)),main_original!AJ34/100000000,main_original!AJ34)</f>
        <v>0</v>
      </c>
      <c r="AK34" s="3">
        <f>IF(OR(AND(ISNUMBER(main_original!AK34),main_original!AK34&gt;10000),AND(ISNUMBER(main_original!AK34),main_original!AK34&lt;-10000)),main_original!AK34/100000000,main_original!AK34)</f>
        <v>0</v>
      </c>
      <c r="AL34" s="3">
        <f>IF(OR(AND(ISNUMBER(main_original!AL34),main_original!AL34&gt;10000),AND(ISNUMBER(main_original!AL34),main_original!AL34&lt;-10000)),main_original!AL34/100000000,main_original!AL34)</f>
        <v>0</v>
      </c>
      <c r="AM34" s="3">
        <f>IF(OR(AND(ISNUMBER(main_original!AM34),main_original!AM34&gt;10000),AND(ISNUMBER(main_original!AM34),main_original!AM34&lt;-10000)),main_original!AM34/100000000,main_original!AM34)</f>
        <v>0</v>
      </c>
      <c r="AN34" s="3">
        <f>IF(OR(AND(ISNUMBER(main_original!AN34),main_original!AN34&gt;10000),AND(ISNUMBER(main_original!AN34),main_original!AN34&lt;-10000)),main_original!AN34/100000000,main_original!AN34)</f>
        <v>0</v>
      </c>
      <c r="AO34" s="3">
        <f>IF(OR(AND(ISNUMBER(main_original!AO34),main_original!AO34&gt;10000),AND(ISNUMBER(main_original!AO34),main_original!AO34&lt;-10000)),main_original!AO34/100000000,main_original!AO34)</f>
        <v>0</v>
      </c>
      <c r="AP34" s="3">
        <f>IF(OR(AND(ISNUMBER(main_original!AP34),main_original!AP34&gt;10000),AND(ISNUMBER(main_original!AP34),main_original!AP34&lt;-10000)),main_original!AP34/100000000,main_original!AP34)</f>
        <v>0</v>
      </c>
      <c r="AQ34" s="3">
        <f>IF(OR(AND(ISNUMBER(main_original!AQ34),main_original!AQ34&gt;10000),AND(ISNUMBER(main_original!AQ34),main_original!AQ34&lt;-10000)),main_original!AQ34/100000000,main_original!AQ34)</f>
        <v>0</v>
      </c>
      <c r="AR34" s="3">
        <f>IF(OR(AND(ISNUMBER(main_original!AR34),main_original!AR34&gt;10000),AND(ISNUMBER(main_original!AR34),main_original!AR34&lt;-10000)),main_original!AR34/100000000,main_original!AR34)</f>
        <v>0</v>
      </c>
      <c r="AS34" s="3">
        <f>IF(OR(AND(ISNUMBER(main_original!AS34),main_original!AS34&gt;10000),AND(ISNUMBER(main_original!AS34),main_original!AS34&lt;-10000)),main_original!AS34/100000000,main_original!AS34)</f>
        <v>0</v>
      </c>
      <c r="AT34" s="3">
        <f>IF(OR(AND(ISNUMBER(main_original!AT34),main_original!AT34&gt;10000),AND(ISNUMBER(main_original!AT34),main_original!AT34&lt;-10000)),main_original!AT34/100000000,main_original!AT34)</f>
        <v>0</v>
      </c>
    </row>
    <row r="35" spans="2:46" x14ac:dyDescent="0.25">
      <c r="B35" s="3">
        <f>IF(OR(AND(ISNUMBER(main_original!B35),main_original!B35&gt;10000),AND(ISNUMBER(main_original!B35),main_original!B35&lt;-10000)),main_original!B35/100000000,main_original!B35)</f>
        <v>0</v>
      </c>
      <c r="C35" s="3">
        <f>IF(OR(AND(ISNUMBER(main_original!C35),main_original!C35&gt;10000),AND(ISNUMBER(main_original!C35),main_original!C35&lt;-10000)),main_original!C35/100000000,main_original!C35)</f>
        <v>0</v>
      </c>
      <c r="D35" s="3">
        <f>IF(OR(AND(ISNUMBER(main_original!D35),main_original!D35&gt;10000),AND(ISNUMBER(main_original!D35),main_original!D35&lt;-10000)),main_original!D35/100000000,main_original!D35)</f>
        <v>0</v>
      </c>
      <c r="E35" s="3">
        <f>IF(OR(AND(ISNUMBER(main_original!E35),main_original!E35&gt;10000),AND(ISNUMBER(main_original!E35),main_original!E35&lt;-10000)),main_original!E35/100000000,main_original!E35)</f>
        <v>0</v>
      </c>
      <c r="F35" s="3">
        <f>IF(OR(AND(ISNUMBER(main_original!F35),main_original!F35&gt;10000),AND(ISNUMBER(main_original!F35),main_original!F35&lt;-10000)),main_original!F35/100000000,main_original!F35)</f>
        <v>0</v>
      </c>
      <c r="G35" s="3">
        <f>IF(OR(AND(ISNUMBER(main_original!G35),main_original!G35&gt;10000),AND(ISNUMBER(main_original!G35),main_original!G35&lt;-10000)),main_original!G35/100000000,main_original!G35)</f>
        <v>0</v>
      </c>
      <c r="H35" s="3">
        <f>IF(OR(AND(ISNUMBER(main_original!H35),main_original!H35&gt;10000),AND(ISNUMBER(main_original!H35),main_original!H35&lt;-10000)),main_original!H35/100000000,main_original!H35)</f>
        <v>0</v>
      </c>
      <c r="I35" s="3">
        <f>IF(OR(AND(ISNUMBER(main_original!I35),main_original!I35&gt;10000),AND(ISNUMBER(main_original!I35),main_original!I35&lt;-10000)),main_original!I35/100000000,main_original!I35)</f>
        <v>0</v>
      </c>
      <c r="J35" s="3">
        <f>IF(OR(AND(ISNUMBER(main_original!J35),main_original!J35&gt;10000),AND(ISNUMBER(main_original!J35),main_original!J35&lt;-10000)),main_original!J35/100000000,main_original!J35)</f>
        <v>0</v>
      </c>
      <c r="K35" s="3">
        <f>IF(OR(AND(ISNUMBER(main_original!K35),main_original!K35&gt;10000),AND(ISNUMBER(main_original!K35),main_original!K35&lt;-10000)),main_original!K35/100000000,main_original!K35)</f>
        <v>0</v>
      </c>
      <c r="L35" s="3">
        <f>IF(OR(AND(ISNUMBER(main_original!L35),main_original!L35&gt;10000),AND(ISNUMBER(main_original!L35),main_original!L35&lt;-10000)),main_original!L35/100000000,main_original!L35)</f>
        <v>0</v>
      </c>
      <c r="M35" s="3">
        <f>IF(OR(AND(ISNUMBER(main_original!M35),main_original!M35&gt;10000),AND(ISNUMBER(main_original!M35),main_original!M35&lt;-10000)),main_original!M35/100000000,main_original!M35)</f>
        <v>0</v>
      </c>
      <c r="N35" s="3">
        <f>IF(OR(AND(ISNUMBER(main_original!N35),main_original!N35&gt;10000),AND(ISNUMBER(main_original!N35),main_original!N35&lt;-10000)),main_original!N35/100000000,main_original!N35)</f>
        <v>0</v>
      </c>
      <c r="O35" s="3">
        <f>IF(OR(AND(ISNUMBER(main_original!O35),main_original!O35&gt;10000),AND(ISNUMBER(main_original!O35),main_original!O35&lt;-10000)),main_original!O35/100000000,main_original!O35)</f>
        <v>0</v>
      </c>
      <c r="P35" s="3">
        <f>IF(OR(AND(ISNUMBER(main_original!P35),main_original!P35&gt;10000),AND(ISNUMBER(main_original!P35),main_original!P35&lt;-10000)),main_original!P35/100000000,main_original!P35)</f>
        <v>0</v>
      </c>
      <c r="Q35" s="3">
        <f>IF(OR(AND(ISNUMBER(main_original!Q35),main_original!Q35&gt;10000),AND(ISNUMBER(main_original!Q35),main_original!Q35&lt;-10000)),main_original!Q35/100000000,main_original!Q35)</f>
        <v>0</v>
      </c>
      <c r="R35" s="3">
        <f>IF(OR(AND(ISNUMBER(main_original!R35),main_original!R35&gt;10000),AND(ISNUMBER(main_original!R35),main_original!R35&lt;-10000)),main_original!R35/100000000,main_original!R35)</f>
        <v>0</v>
      </c>
      <c r="S35" s="3">
        <f>IF(OR(AND(ISNUMBER(main_original!S35),main_original!S35&gt;10000),AND(ISNUMBER(main_original!S35),main_original!S35&lt;-10000)),main_original!S35/100000000,main_original!S35)</f>
        <v>0</v>
      </c>
      <c r="T35" s="3">
        <f>IF(OR(AND(ISNUMBER(main_original!T35),main_original!T35&gt;10000),AND(ISNUMBER(main_original!T35),main_original!T35&lt;-10000)),main_original!T35/100000000,main_original!T35)</f>
        <v>0</v>
      </c>
      <c r="U35" s="3">
        <f>IF(OR(AND(ISNUMBER(main_original!U35),main_original!U35&gt;10000),AND(ISNUMBER(main_original!U35),main_original!U35&lt;-10000)),main_original!U35/100000000,main_original!U35)</f>
        <v>0</v>
      </c>
      <c r="V35" s="3">
        <f>IF(OR(AND(ISNUMBER(main_original!V35),main_original!V35&gt;10000),AND(ISNUMBER(main_original!V35),main_original!V35&lt;-10000)),main_original!V35/100000000,main_original!V35)</f>
        <v>0</v>
      </c>
      <c r="W35" s="3">
        <f>IF(OR(AND(ISNUMBER(main_original!W35),main_original!W35&gt;10000),AND(ISNUMBER(main_original!W35),main_original!W35&lt;-10000)),main_original!W35/100000000,main_original!W35)</f>
        <v>0</v>
      </c>
      <c r="X35" s="3">
        <f>IF(OR(AND(ISNUMBER(main_original!X35),main_original!X35&gt;10000),AND(ISNUMBER(main_original!X35),main_original!X35&lt;-10000)),main_original!X35/100000000,main_original!X35)</f>
        <v>0</v>
      </c>
      <c r="Y35" s="3">
        <f>IF(OR(AND(ISNUMBER(main_original!Y35),main_original!Y35&gt;10000),AND(ISNUMBER(main_original!Y35),main_original!Y35&lt;-10000)),main_original!Y35/100000000,main_original!Y35)</f>
        <v>0</v>
      </c>
      <c r="Z35" s="3">
        <f>IF(OR(AND(ISNUMBER(main_original!Z35),main_original!Z35&gt;10000),AND(ISNUMBER(main_original!Z35),main_original!Z35&lt;-10000)),main_original!Z35/100000000,main_original!Z35)</f>
        <v>0</v>
      </c>
      <c r="AA35" s="3">
        <f>IF(OR(AND(ISNUMBER(main_original!AA35),main_original!AA35&gt;10000),AND(ISNUMBER(main_original!AA35),main_original!AA35&lt;-10000)),main_original!AA35/100000000,main_original!AA35)</f>
        <v>0</v>
      </c>
      <c r="AB35" s="3">
        <f>IF(OR(AND(ISNUMBER(main_original!AB35),main_original!AB35&gt;10000),AND(ISNUMBER(main_original!AB35),main_original!AB35&lt;-10000)),main_original!AB35/100000000,main_original!AB35)</f>
        <v>0</v>
      </c>
      <c r="AC35" s="3">
        <f>IF(OR(AND(ISNUMBER(main_original!AC35),main_original!AC35&gt;10000),AND(ISNUMBER(main_original!AC35),main_original!AC35&lt;-10000)),main_original!AC35/100000000,main_original!AC35)</f>
        <v>0</v>
      </c>
      <c r="AD35" s="3">
        <f>IF(OR(AND(ISNUMBER(main_original!AD35),main_original!AD35&gt;10000),AND(ISNUMBER(main_original!AD35),main_original!AD35&lt;-10000)),main_original!AD35/100000000,main_original!AD35)</f>
        <v>0</v>
      </c>
      <c r="AE35" s="3">
        <f>IF(OR(AND(ISNUMBER(main_original!AE35),main_original!AE35&gt;10000),AND(ISNUMBER(main_original!AE35),main_original!AE35&lt;-10000)),main_original!AE35/100000000,main_original!AE35)</f>
        <v>0</v>
      </c>
      <c r="AF35" s="3">
        <f>IF(OR(AND(ISNUMBER(main_original!AF35),main_original!AF35&gt;10000),AND(ISNUMBER(main_original!AF35),main_original!AF35&lt;-10000)),main_original!AF35/100000000,main_original!AF35)</f>
        <v>0</v>
      </c>
      <c r="AG35" s="3">
        <f>IF(OR(AND(ISNUMBER(main_original!AG35),main_original!AG35&gt;10000),AND(ISNUMBER(main_original!AG35),main_original!AG35&lt;-10000)),main_original!AG35/100000000,main_original!AG35)</f>
        <v>0</v>
      </c>
      <c r="AH35" s="3">
        <f>IF(OR(AND(ISNUMBER(main_original!AH35),main_original!AH35&gt;10000),AND(ISNUMBER(main_original!AH35),main_original!AH35&lt;-10000)),main_original!AH35/100000000,main_original!AH35)</f>
        <v>0</v>
      </c>
      <c r="AI35" s="3">
        <f>IF(OR(AND(ISNUMBER(main_original!AI35),main_original!AI35&gt;10000),AND(ISNUMBER(main_original!AI35),main_original!AI35&lt;-10000)),main_original!AI35/100000000,main_original!AI35)</f>
        <v>0</v>
      </c>
      <c r="AJ35" s="3">
        <f>IF(OR(AND(ISNUMBER(main_original!AJ35),main_original!AJ35&gt;10000),AND(ISNUMBER(main_original!AJ35),main_original!AJ35&lt;-10000)),main_original!AJ35/100000000,main_original!AJ35)</f>
        <v>0</v>
      </c>
      <c r="AK35" s="3">
        <f>IF(OR(AND(ISNUMBER(main_original!AK35),main_original!AK35&gt;10000),AND(ISNUMBER(main_original!AK35),main_original!AK35&lt;-10000)),main_original!AK35/100000000,main_original!AK35)</f>
        <v>0</v>
      </c>
      <c r="AL35" s="3">
        <f>IF(OR(AND(ISNUMBER(main_original!AL35),main_original!AL35&gt;10000),AND(ISNUMBER(main_original!AL35),main_original!AL35&lt;-10000)),main_original!AL35/100000000,main_original!AL35)</f>
        <v>0</v>
      </c>
      <c r="AM35" s="3">
        <f>IF(OR(AND(ISNUMBER(main_original!AM35),main_original!AM35&gt;10000),AND(ISNUMBER(main_original!AM35),main_original!AM35&lt;-10000)),main_original!AM35/100000000,main_original!AM35)</f>
        <v>0</v>
      </c>
      <c r="AN35" s="3">
        <f>IF(OR(AND(ISNUMBER(main_original!AN35),main_original!AN35&gt;10000),AND(ISNUMBER(main_original!AN35),main_original!AN35&lt;-10000)),main_original!AN35/100000000,main_original!AN35)</f>
        <v>0</v>
      </c>
      <c r="AO35" s="3">
        <f>IF(OR(AND(ISNUMBER(main_original!AO35),main_original!AO35&gt;10000),AND(ISNUMBER(main_original!AO35),main_original!AO35&lt;-10000)),main_original!AO35/100000000,main_original!AO35)</f>
        <v>0</v>
      </c>
      <c r="AP35" s="3">
        <f>IF(OR(AND(ISNUMBER(main_original!AP35),main_original!AP35&gt;10000),AND(ISNUMBER(main_original!AP35),main_original!AP35&lt;-10000)),main_original!AP35/100000000,main_original!AP35)</f>
        <v>0</v>
      </c>
      <c r="AQ35" s="3">
        <f>IF(OR(AND(ISNUMBER(main_original!AQ35),main_original!AQ35&gt;10000),AND(ISNUMBER(main_original!AQ35),main_original!AQ35&lt;-10000)),main_original!AQ35/100000000,main_original!AQ35)</f>
        <v>0</v>
      </c>
      <c r="AR35" s="3">
        <f>IF(OR(AND(ISNUMBER(main_original!AR35),main_original!AR35&gt;10000),AND(ISNUMBER(main_original!AR35),main_original!AR35&lt;-10000)),main_original!AR35/100000000,main_original!AR35)</f>
        <v>0</v>
      </c>
      <c r="AS35" s="3">
        <f>IF(OR(AND(ISNUMBER(main_original!AS35),main_original!AS35&gt;10000),AND(ISNUMBER(main_original!AS35),main_original!AS35&lt;-10000)),main_original!AS35/100000000,main_original!AS35)</f>
        <v>0</v>
      </c>
      <c r="AT35" s="3">
        <f>IF(OR(AND(ISNUMBER(main_original!AT35),main_original!AT35&gt;10000),AND(ISNUMBER(main_original!AT35),main_original!AT35&lt;-10000)),main_original!AT35/100000000,main_original!AT35)</f>
        <v>0</v>
      </c>
    </row>
    <row r="36" spans="2:46" x14ac:dyDescent="0.25">
      <c r="B36" s="3">
        <f>IF(OR(AND(ISNUMBER(main_original!B36),main_original!B36&gt;10000),AND(ISNUMBER(main_original!B36),main_original!B36&lt;-10000)),main_original!B36/100000000,main_original!B36)</f>
        <v>0</v>
      </c>
      <c r="C36" s="3">
        <f>IF(OR(AND(ISNUMBER(main_original!C36),main_original!C36&gt;10000),AND(ISNUMBER(main_original!C36),main_original!C36&lt;-10000)),main_original!C36/100000000,main_original!C36)</f>
        <v>0</v>
      </c>
      <c r="D36" s="3">
        <f>IF(OR(AND(ISNUMBER(main_original!D36),main_original!D36&gt;10000),AND(ISNUMBER(main_original!D36),main_original!D36&lt;-10000)),main_original!D36/100000000,main_original!D36)</f>
        <v>0</v>
      </c>
      <c r="E36" s="3">
        <f>IF(OR(AND(ISNUMBER(main_original!E36),main_original!E36&gt;10000),AND(ISNUMBER(main_original!E36),main_original!E36&lt;-10000)),main_original!E36/100000000,main_original!E36)</f>
        <v>0</v>
      </c>
      <c r="F36" s="3">
        <f>IF(OR(AND(ISNUMBER(main_original!F36),main_original!F36&gt;10000),AND(ISNUMBER(main_original!F36),main_original!F36&lt;-10000)),main_original!F36/100000000,main_original!F36)</f>
        <v>0</v>
      </c>
      <c r="G36" s="3">
        <f>IF(OR(AND(ISNUMBER(main_original!G36),main_original!G36&gt;10000),AND(ISNUMBER(main_original!G36),main_original!G36&lt;-10000)),main_original!G36/100000000,main_original!G36)</f>
        <v>0</v>
      </c>
      <c r="H36" s="3">
        <f>IF(OR(AND(ISNUMBER(main_original!H36),main_original!H36&gt;10000),AND(ISNUMBER(main_original!H36),main_original!H36&lt;-10000)),main_original!H36/100000000,main_original!H36)</f>
        <v>0</v>
      </c>
      <c r="I36" s="3">
        <f>IF(OR(AND(ISNUMBER(main_original!I36),main_original!I36&gt;10000),AND(ISNUMBER(main_original!I36),main_original!I36&lt;-10000)),main_original!I36/100000000,main_original!I36)</f>
        <v>0</v>
      </c>
      <c r="J36" s="3">
        <f>IF(OR(AND(ISNUMBER(main_original!J36),main_original!J36&gt;10000),AND(ISNUMBER(main_original!J36),main_original!J36&lt;-10000)),main_original!J36/100000000,main_original!J36)</f>
        <v>0</v>
      </c>
      <c r="K36" s="3">
        <f>IF(OR(AND(ISNUMBER(main_original!K36),main_original!K36&gt;10000),AND(ISNUMBER(main_original!K36),main_original!K36&lt;-10000)),main_original!K36/100000000,main_original!K36)</f>
        <v>0</v>
      </c>
      <c r="L36" s="3">
        <f>IF(OR(AND(ISNUMBER(main_original!L36),main_original!L36&gt;10000),AND(ISNUMBER(main_original!L36),main_original!L36&lt;-10000)),main_original!L36/100000000,main_original!L36)</f>
        <v>0</v>
      </c>
      <c r="M36" s="3">
        <f>IF(OR(AND(ISNUMBER(main_original!M36),main_original!M36&gt;10000),AND(ISNUMBER(main_original!M36),main_original!M36&lt;-10000)),main_original!M36/100000000,main_original!M36)</f>
        <v>0</v>
      </c>
      <c r="N36" s="3">
        <f>IF(OR(AND(ISNUMBER(main_original!N36),main_original!N36&gt;10000),AND(ISNUMBER(main_original!N36),main_original!N36&lt;-10000)),main_original!N36/100000000,main_original!N36)</f>
        <v>0</v>
      </c>
      <c r="O36" s="3">
        <f>IF(OR(AND(ISNUMBER(main_original!O36),main_original!O36&gt;10000),AND(ISNUMBER(main_original!O36),main_original!O36&lt;-10000)),main_original!O36/100000000,main_original!O36)</f>
        <v>0</v>
      </c>
      <c r="P36" s="3">
        <f>IF(OR(AND(ISNUMBER(main_original!P36),main_original!P36&gt;10000),AND(ISNUMBER(main_original!P36),main_original!P36&lt;-10000)),main_original!P36/100000000,main_original!P36)</f>
        <v>0</v>
      </c>
      <c r="Q36" s="3">
        <f>IF(OR(AND(ISNUMBER(main_original!Q36),main_original!Q36&gt;10000),AND(ISNUMBER(main_original!Q36),main_original!Q36&lt;-10000)),main_original!Q36/100000000,main_original!Q36)</f>
        <v>0</v>
      </c>
      <c r="R36" s="3">
        <f>IF(OR(AND(ISNUMBER(main_original!R36),main_original!R36&gt;10000),AND(ISNUMBER(main_original!R36),main_original!R36&lt;-10000)),main_original!R36/100000000,main_original!R36)</f>
        <v>0</v>
      </c>
      <c r="S36" s="3">
        <f>IF(OR(AND(ISNUMBER(main_original!S36),main_original!S36&gt;10000),AND(ISNUMBER(main_original!S36),main_original!S36&lt;-10000)),main_original!S36/100000000,main_original!S36)</f>
        <v>0</v>
      </c>
      <c r="T36" s="3">
        <f>IF(OR(AND(ISNUMBER(main_original!T36),main_original!T36&gt;10000),AND(ISNUMBER(main_original!T36),main_original!T36&lt;-10000)),main_original!T36/100000000,main_original!T36)</f>
        <v>0</v>
      </c>
      <c r="U36" s="3">
        <f>IF(OR(AND(ISNUMBER(main_original!U36),main_original!U36&gt;10000),AND(ISNUMBER(main_original!U36),main_original!U36&lt;-10000)),main_original!U36/100000000,main_original!U36)</f>
        <v>0</v>
      </c>
      <c r="V36" s="3">
        <f>IF(OR(AND(ISNUMBER(main_original!V36),main_original!V36&gt;10000),AND(ISNUMBER(main_original!V36),main_original!V36&lt;-10000)),main_original!V36/100000000,main_original!V36)</f>
        <v>0</v>
      </c>
      <c r="W36" s="3">
        <f>IF(OR(AND(ISNUMBER(main_original!W36),main_original!W36&gt;10000),AND(ISNUMBER(main_original!W36),main_original!W36&lt;-10000)),main_original!W36/100000000,main_original!W36)</f>
        <v>0</v>
      </c>
      <c r="X36" s="3">
        <f>IF(OR(AND(ISNUMBER(main_original!X36),main_original!X36&gt;10000),AND(ISNUMBER(main_original!X36),main_original!X36&lt;-10000)),main_original!X36/100000000,main_original!X36)</f>
        <v>0</v>
      </c>
      <c r="Y36" s="3">
        <f>IF(OR(AND(ISNUMBER(main_original!Y36),main_original!Y36&gt;10000),AND(ISNUMBER(main_original!Y36),main_original!Y36&lt;-10000)),main_original!Y36/100000000,main_original!Y36)</f>
        <v>0</v>
      </c>
      <c r="Z36" s="3">
        <f>IF(OR(AND(ISNUMBER(main_original!Z36),main_original!Z36&gt;10000),AND(ISNUMBER(main_original!Z36),main_original!Z36&lt;-10000)),main_original!Z36/100000000,main_original!Z36)</f>
        <v>0</v>
      </c>
      <c r="AA36" s="3">
        <f>IF(OR(AND(ISNUMBER(main_original!AA36),main_original!AA36&gt;10000),AND(ISNUMBER(main_original!AA36),main_original!AA36&lt;-10000)),main_original!AA36/100000000,main_original!AA36)</f>
        <v>0</v>
      </c>
      <c r="AB36" s="3">
        <f>IF(OR(AND(ISNUMBER(main_original!AB36),main_original!AB36&gt;10000),AND(ISNUMBER(main_original!AB36),main_original!AB36&lt;-10000)),main_original!AB36/100000000,main_original!AB36)</f>
        <v>0</v>
      </c>
      <c r="AC36" s="3">
        <f>IF(OR(AND(ISNUMBER(main_original!AC36),main_original!AC36&gt;10000),AND(ISNUMBER(main_original!AC36),main_original!AC36&lt;-10000)),main_original!AC36/100000000,main_original!AC36)</f>
        <v>0</v>
      </c>
      <c r="AD36" s="3">
        <f>IF(OR(AND(ISNUMBER(main_original!AD36),main_original!AD36&gt;10000),AND(ISNUMBER(main_original!AD36),main_original!AD36&lt;-10000)),main_original!AD36/100000000,main_original!AD36)</f>
        <v>0</v>
      </c>
      <c r="AE36" s="3">
        <f>IF(OR(AND(ISNUMBER(main_original!AE36),main_original!AE36&gt;10000),AND(ISNUMBER(main_original!AE36),main_original!AE36&lt;-10000)),main_original!AE36/100000000,main_original!AE36)</f>
        <v>0</v>
      </c>
      <c r="AF36" s="3">
        <f>IF(OR(AND(ISNUMBER(main_original!AF36),main_original!AF36&gt;10000),AND(ISNUMBER(main_original!AF36),main_original!AF36&lt;-10000)),main_original!AF36/100000000,main_original!AF36)</f>
        <v>0</v>
      </c>
      <c r="AG36" s="3">
        <f>IF(OR(AND(ISNUMBER(main_original!AG36),main_original!AG36&gt;10000),AND(ISNUMBER(main_original!AG36),main_original!AG36&lt;-10000)),main_original!AG36/100000000,main_original!AG36)</f>
        <v>0</v>
      </c>
      <c r="AH36" s="3">
        <f>IF(OR(AND(ISNUMBER(main_original!AH36),main_original!AH36&gt;10000),AND(ISNUMBER(main_original!AH36),main_original!AH36&lt;-10000)),main_original!AH36/100000000,main_original!AH36)</f>
        <v>0</v>
      </c>
      <c r="AI36" s="3">
        <f>IF(OR(AND(ISNUMBER(main_original!AI36),main_original!AI36&gt;10000),AND(ISNUMBER(main_original!AI36),main_original!AI36&lt;-10000)),main_original!AI36/100000000,main_original!AI36)</f>
        <v>0</v>
      </c>
      <c r="AJ36" s="3">
        <f>IF(OR(AND(ISNUMBER(main_original!AJ36),main_original!AJ36&gt;10000),AND(ISNUMBER(main_original!AJ36),main_original!AJ36&lt;-10000)),main_original!AJ36/100000000,main_original!AJ36)</f>
        <v>0</v>
      </c>
      <c r="AK36" s="3">
        <f>IF(OR(AND(ISNUMBER(main_original!AK36),main_original!AK36&gt;10000),AND(ISNUMBER(main_original!AK36),main_original!AK36&lt;-10000)),main_original!AK36/100000000,main_original!AK36)</f>
        <v>0</v>
      </c>
      <c r="AL36" s="3">
        <f>IF(OR(AND(ISNUMBER(main_original!AL36),main_original!AL36&gt;10000),AND(ISNUMBER(main_original!AL36),main_original!AL36&lt;-10000)),main_original!AL36/100000000,main_original!AL36)</f>
        <v>0</v>
      </c>
      <c r="AM36" s="3">
        <f>IF(OR(AND(ISNUMBER(main_original!AM36),main_original!AM36&gt;10000),AND(ISNUMBER(main_original!AM36),main_original!AM36&lt;-10000)),main_original!AM36/100000000,main_original!AM36)</f>
        <v>0</v>
      </c>
      <c r="AN36" s="3">
        <f>IF(OR(AND(ISNUMBER(main_original!AN36),main_original!AN36&gt;10000),AND(ISNUMBER(main_original!AN36),main_original!AN36&lt;-10000)),main_original!AN36/100000000,main_original!AN36)</f>
        <v>0</v>
      </c>
      <c r="AO36" s="3">
        <f>IF(OR(AND(ISNUMBER(main_original!AO36),main_original!AO36&gt;10000),AND(ISNUMBER(main_original!AO36),main_original!AO36&lt;-10000)),main_original!AO36/100000000,main_original!AO36)</f>
        <v>0</v>
      </c>
      <c r="AP36" s="3">
        <f>IF(OR(AND(ISNUMBER(main_original!AP36),main_original!AP36&gt;10000),AND(ISNUMBER(main_original!AP36),main_original!AP36&lt;-10000)),main_original!AP36/100000000,main_original!AP36)</f>
        <v>0</v>
      </c>
      <c r="AQ36" s="3">
        <f>IF(OR(AND(ISNUMBER(main_original!AQ36),main_original!AQ36&gt;10000),AND(ISNUMBER(main_original!AQ36),main_original!AQ36&lt;-10000)),main_original!AQ36/100000000,main_original!AQ36)</f>
        <v>0</v>
      </c>
      <c r="AR36" s="3">
        <f>IF(OR(AND(ISNUMBER(main_original!AR36),main_original!AR36&gt;10000),AND(ISNUMBER(main_original!AR36),main_original!AR36&lt;-10000)),main_original!AR36/100000000,main_original!AR36)</f>
        <v>0</v>
      </c>
      <c r="AS36" s="3">
        <f>IF(OR(AND(ISNUMBER(main_original!AS36),main_original!AS36&gt;10000),AND(ISNUMBER(main_original!AS36),main_original!AS36&lt;-10000)),main_original!AS36/100000000,main_original!AS36)</f>
        <v>0</v>
      </c>
      <c r="AT36" s="3">
        <f>IF(OR(AND(ISNUMBER(main_original!AT36),main_original!AT36&gt;10000),AND(ISNUMBER(main_original!AT36),main_original!AT36&lt;-10000)),main_original!AT36/100000000,main_original!AT36)</f>
        <v>0</v>
      </c>
    </row>
    <row r="37" spans="2:46" x14ac:dyDescent="0.25">
      <c r="B37" s="3">
        <f>IF(OR(AND(ISNUMBER(main_original!B37),main_original!B37&gt;10000),AND(ISNUMBER(main_original!B37),main_original!B37&lt;-10000)),main_original!B37/100000000,main_original!B37)</f>
        <v>0</v>
      </c>
      <c r="C37" s="3">
        <f>IF(OR(AND(ISNUMBER(main_original!C37),main_original!C37&gt;10000),AND(ISNUMBER(main_original!C37),main_original!C37&lt;-10000)),main_original!C37/100000000,main_original!C37)</f>
        <v>0</v>
      </c>
      <c r="D37" s="3">
        <f>IF(OR(AND(ISNUMBER(main_original!D37),main_original!D37&gt;10000),AND(ISNUMBER(main_original!D37),main_original!D37&lt;-10000)),main_original!D37/100000000,main_original!D37)</f>
        <v>0</v>
      </c>
      <c r="E37" s="3">
        <f>IF(OR(AND(ISNUMBER(main_original!E37),main_original!E37&gt;10000),AND(ISNUMBER(main_original!E37),main_original!E37&lt;-10000)),main_original!E37/100000000,main_original!E37)</f>
        <v>0</v>
      </c>
      <c r="F37" s="3">
        <f>IF(OR(AND(ISNUMBER(main_original!F37),main_original!F37&gt;10000),AND(ISNUMBER(main_original!F37),main_original!F37&lt;-10000)),main_original!F37/100000000,main_original!F37)</f>
        <v>0</v>
      </c>
      <c r="G37" s="3">
        <f>IF(OR(AND(ISNUMBER(main_original!G37),main_original!G37&gt;10000),AND(ISNUMBER(main_original!G37),main_original!G37&lt;-10000)),main_original!G37/100000000,main_original!G37)</f>
        <v>0</v>
      </c>
      <c r="H37" s="3">
        <f>IF(OR(AND(ISNUMBER(main_original!H37),main_original!H37&gt;10000),AND(ISNUMBER(main_original!H37),main_original!H37&lt;-10000)),main_original!H37/100000000,main_original!H37)</f>
        <v>0</v>
      </c>
      <c r="I37" s="3">
        <f>IF(OR(AND(ISNUMBER(main_original!I37),main_original!I37&gt;10000),AND(ISNUMBER(main_original!I37),main_original!I37&lt;-10000)),main_original!I37/100000000,main_original!I37)</f>
        <v>0</v>
      </c>
      <c r="J37" s="3">
        <f>IF(OR(AND(ISNUMBER(main_original!J37),main_original!J37&gt;10000),AND(ISNUMBER(main_original!J37),main_original!J37&lt;-10000)),main_original!J37/100000000,main_original!J37)</f>
        <v>0</v>
      </c>
      <c r="K37" s="3">
        <f>IF(OR(AND(ISNUMBER(main_original!K37),main_original!K37&gt;10000),AND(ISNUMBER(main_original!K37),main_original!K37&lt;-10000)),main_original!K37/100000000,main_original!K37)</f>
        <v>0</v>
      </c>
      <c r="L37" s="3">
        <f>IF(OR(AND(ISNUMBER(main_original!L37),main_original!L37&gt;10000),AND(ISNUMBER(main_original!L37),main_original!L37&lt;-10000)),main_original!L37/100000000,main_original!L37)</f>
        <v>0</v>
      </c>
      <c r="M37" s="3">
        <f>IF(OR(AND(ISNUMBER(main_original!M37),main_original!M37&gt;10000),AND(ISNUMBER(main_original!M37),main_original!M37&lt;-10000)),main_original!M37/100000000,main_original!M37)</f>
        <v>0</v>
      </c>
      <c r="N37" s="3">
        <f>IF(OR(AND(ISNUMBER(main_original!N37),main_original!N37&gt;10000),AND(ISNUMBER(main_original!N37),main_original!N37&lt;-10000)),main_original!N37/100000000,main_original!N37)</f>
        <v>0</v>
      </c>
      <c r="O37" s="3">
        <f>IF(OR(AND(ISNUMBER(main_original!O37),main_original!O37&gt;10000),AND(ISNUMBER(main_original!O37),main_original!O37&lt;-10000)),main_original!O37/100000000,main_original!O37)</f>
        <v>0</v>
      </c>
      <c r="P37" s="3">
        <f>IF(OR(AND(ISNUMBER(main_original!P37),main_original!P37&gt;10000),AND(ISNUMBER(main_original!P37),main_original!P37&lt;-10000)),main_original!P37/100000000,main_original!P37)</f>
        <v>0</v>
      </c>
      <c r="Q37" s="3">
        <f>IF(OR(AND(ISNUMBER(main_original!Q37),main_original!Q37&gt;10000),AND(ISNUMBER(main_original!Q37),main_original!Q37&lt;-10000)),main_original!Q37/100000000,main_original!Q37)</f>
        <v>0</v>
      </c>
      <c r="R37" s="3">
        <f>IF(OR(AND(ISNUMBER(main_original!R37),main_original!R37&gt;10000),AND(ISNUMBER(main_original!R37),main_original!R37&lt;-10000)),main_original!R37/100000000,main_original!R37)</f>
        <v>0</v>
      </c>
      <c r="S37" s="3">
        <f>IF(OR(AND(ISNUMBER(main_original!S37),main_original!S37&gt;10000),AND(ISNUMBER(main_original!S37),main_original!S37&lt;-10000)),main_original!S37/100000000,main_original!S37)</f>
        <v>0</v>
      </c>
      <c r="T37" s="3">
        <f>IF(OR(AND(ISNUMBER(main_original!T37),main_original!T37&gt;10000),AND(ISNUMBER(main_original!T37),main_original!T37&lt;-10000)),main_original!T37/100000000,main_original!T37)</f>
        <v>0</v>
      </c>
      <c r="U37" s="3">
        <f>IF(OR(AND(ISNUMBER(main_original!U37),main_original!U37&gt;10000),AND(ISNUMBER(main_original!U37),main_original!U37&lt;-10000)),main_original!U37/100000000,main_original!U37)</f>
        <v>0</v>
      </c>
      <c r="V37" s="3">
        <f>IF(OR(AND(ISNUMBER(main_original!V37),main_original!V37&gt;10000),AND(ISNUMBER(main_original!V37),main_original!V37&lt;-10000)),main_original!V37/100000000,main_original!V37)</f>
        <v>0</v>
      </c>
      <c r="W37" s="3">
        <f>IF(OR(AND(ISNUMBER(main_original!W37),main_original!W37&gt;10000),AND(ISNUMBER(main_original!W37),main_original!W37&lt;-10000)),main_original!W37/100000000,main_original!W37)</f>
        <v>0</v>
      </c>
      <c r="X37" s="3">
        <f>IF(OR(AND(ISNUMBER(main_original!X37),main_original!X37&gt;10000),AND(ISNUMBER(main_original!X37),main_original!X37&lt;-10000)),main_original!X37/100000000,main_original!X37)</f>
        <v>0</v>
      </c>
      <c r="Y37" s="3">
        <f>IF(OR(AND(ISNUMBER(main_original!Y37),main_original!Y37&gt;10000),AND(ISNUMBER(main_original!Y37),main_original!Y37&lt;-10000)),main_original!Y37/100000000,main_original!Y37)</f>
        <v>0</v>
      </c>
      <c r="Z37" s="3">
        <f>IF(OR(AND(ISNUMBER(main_original!Z37),main_original!Z37&gt;10000),AND(ISNUMBER(main_original!Z37),main_original!Z37&lt;-10000)),main_original!Z37/100000000,main_original!Z37)</f>
        <v>0</v>
      </c>
      <c r="AA37" s="3">
        <f>IF(OR(AND(ISNUMBER(main_original!AA37),main_original!AA37&gt;10000),AND(ISNUMBER(main_original!AA37),main_original!AA37&lt;-10000)),main_original!AA37/100000000,main_original!AA37)</f>
        <v>0</v>
      </c>
      <c r="AB37" s="3">
        <f>IF(OR(AND(ISNUMBER(main_original!AB37),main_original!AB37&gt;10000),AND(ISNUMBER(main_original!AB37),main_original!AB37&lt;-10000)),main_original!AB37/100000000,main_original!AB37)</f>
        <v>0</v>
      </c>
      <c r="AC37" s="3">
        <f>IF(OR(AND(ISNUMBER(main_original!AC37),main_original!AC37&gt;10000),AND(ISNUMBER(main_original!AC37),main_original!AC37&lt;-10000)),main_original!AC37/100000000,main_original!AC37)</f>
        <v>0</v>
      </c>
      <c r="AD37" s="3">
        <f>IF(OR(AND(ISNUMBER(main_original!AD37),main_original!AD37&gt;10000),AND(ISNUMBER(main_original!AD37),main_original!AD37&lt;-10000)),main_original!AD37/100000000,main_original!AD37)</f>
        <v>0</v>
      </c>
      <c r="AE37" s="3">
        <f>IF(OR(AND(ISNUMBER(main_original!AE37),main_original!AE37&gt;10000),AND(ISNUMBER(main_original!AE37),main_original!AE37&lt;-10000)),main_original!AE37/100000000,main_original!AE37)</f>
        <v>0</v>
      </c>
      <c r="AF37" s="3">
        <f>IF(OR(AND(ISNUMBER(main_original!AF37),main_original!AF37&gt;10000),AND(ISNUMBER(main_original!AF37),main_original!AF37&lt;-10000)),main_original!AF37/100000000,main_original!AF37)</f>
        <v>0</v>
      </c>
      <c r="AG37" s="3">
        <f>IF(OR(AND(ISNUMBER(main_original!AG37),main_original!AG37&gt;10000),AND(ISNUMBER(main_original!AG37),main_original!AG37&lt;-10000)),main_original!AG37/100000000,main_original!AG37)</f>
        <v>0</v>
      </c>
      <c r="AH37" s="3">
        <f>IF(OR(AND(ISNUMBER(main_original!AH37),main_original!AH37&gt;10000),AND(ISNUMBER(main_original!AH37),main_original!AH37&lt;-10000)),main_original!AH37/100000000,main_original!AH37)</f>
        <v>0</v>
      </c>
      <c r="AI37" s="3">
        <f>IF(OR(AND(ISNUMBER(main_original!AI37),main_original!AI37&gt;10000),AND(ISNUMBER(main_original!AI37),main_original!AI37&lt;-10000)),main_original!AI37/100000000,main_original!AI37)</f>
        <v>0</v>
      </c>
      <c r="AJ37" s="3">
        <f>IF(OR(AND(ISNUMBER(main_original!AJ37),main_original!AJ37&gt;10000),AND(ISNUMBER(main_original!AJ37),main_original!AJ37&lt;-10000)),main_original!AJ37/100000000,main_original!AJ37)</f>
        <v>0</v>
      </c>
      <c r="AK37" s="3">
        <f>IF(OR(AND(ISNUMBER(main_original!AK37),main_original!AK37&gt;10000),AND(ISNUMBER(main_original!AK37),main_original!AK37&lt;-10000)),main_original!AK37/100000000,main_original!AK37)</f>
        <v>0</v>
      </c>
      <c r="AL37" s="3">
        <f>IF(OR(AND(ISNUMBER(main_original!AL37),main_original!AL37&gt;10000),AND(ISNUMBER(main_original!AL37),main_original!AL37&lt;-10000)),main_original!AL37/100000000,main_original!AL37)</f>
        <v>0</v>
      </c>
      <c r="AM37" s="3">
        <f>IF(OR(AND(ISNUMBER(main_original!AM37),main_original!AM37&gt;10000),AND(ISNUMBER(main_original!AM37),main_original!AM37&lt;-10000)),main_original!AM37/100000000,main_original!AM37)</f>
        <v>0</v>
      </c>
      <c r="AN37" s="3">
        <f>IF(OR(AND(ISNUMBER(main_original!AN37),main_original!AN37&gt;10000),AND(ISNUMBER(main_original!AN37),main_original!AN37&lt;-10000)),main_original!AN37/100000000,main_original!AN37)</f>
        <v>0</v>
      </c>
      <c r="AO37" s="3">
        <f>IF(OR(AND(ISNUMBER(main_original!AO37),main_original!AO37&gt;10000),AND(ISNUMBER(main_original!AO37),main_original!AO37&lt;-10000)),main_original!AO37/100000000,main_original!AO37)</f>
        <v>0</v>
      </c>
      <c r="AP37" s="3">
        <f>IF(OR(AND(ISNUMBER(main_original!AP37),main_original!AP37&gt;10000),AND(ISNUMBER(main_original!AP37),main_original!AP37&lt;-10000)),main_original!AP37/100000000,main_original!AP37)</f>
        <v>0</v>
      </c>
      <c r="AQ37" s="3">
        <f>IF(OR(AND(ISNUMBER(main_original!AQ37),main_original!AQ37&gt;10000),AND(ISNUMBER(main_original!AQ37),main_original!AQ37&lt;-10000)),main_original!AQ37/100000000,main_original!AQ37)</f>
        <v>0</v>
      </c>
      <c r="AR37" s="3">
        <f>IF(OR(AND(ISNUMBER(main_original!AR37),main_original!AR37&gt;10000),AND(ISNUMBER(main_original!AR37),main_original!AR37&lt;-10000)),main_original!AR37/100000000,main_original!AR37)</f>
        <v>0</v>
      </c>
      <c r="AS37" s="3">
        <f>IF(OR(AND(ISNUMBER(main_original!AS37),main_original!AS37&gt;10000),AND(ISNUMBER(main_original!AS37),main_original!AS37&lt;-10000)),main_original!AS37/100000000,main_original!AS37)</f>
        <v>0</v>
      </c>
      <c r="AT37" s="3">
        <f>IF(OR(AND(ISNUMBER(main_original!AT37),main_original!AT37&gt;10000),AND(ISNUMBER(main_original!AT37),main_original!AT37&lt;-10000)),main_original!AT37/100000000,main_original!AT37)</f>
        <v>0</v>
      </c>
    </row>
    <row r="38" spans="2:46" x14ac:dyDescent="0.25">
      <c r="B38" s="3">
        <f>IF(OR(AND(ISNUMBER(main_original!B38),main_original!B38&gt;10000),AND(ISNUMBER(main_original!B38),main_original!B38&lt;-10000)),main_original!B38/100000000,main_original!B38)</f>
        <v>0</v>
      </c>
      <c r="C38" s="3">
        <f>IF(OR(AND(ISNUMBER(main_original!C38),main_original!C38&gt;10000),AND(ISNUMBER(main_original!C38),main_original!C38&lt;-10000)),main_original!C38/100000000,main_original!C38)</f>
        <v>0</v>
      </c>
      <c r="D38" s="3">
        <f>IF(OR(AND(ISNUMBER(main_original!D38),main_original!D38&gt;10000),AND(ISNUMBER(main_original!D38),main_original!D38&lt;-10000)),main_original!D38/100000000,main_original!D38)</f>
        <v>0</v>
      </c>
      <c r="E38" s="3">
        <f>IF(OR(AND(ISNUMBER(main_original!E38),main_original!E38&gt;10000),AND(ISNUMBER(main_original!E38),main_original!E38&lt;-10000)),main_original!E38/100000000,main_original!E38)</f>
        <v>0</v>
      </c>
      <c r="F38" s="3">
        <f>IF(OR(AND(ISNUMBER(main_original!F38),main_original!F38&gt;10000),AND(ISNUMBER(main_original!F38),main_original!F38&lt;-10000)),main_original!F38/100000000,main_original!F38)</f>
        <v>0</v>
      </c>
      <c r="G38" s="3">
        <f>IF(OR(AND(ISNUMBER(main_original!G38),main_original!G38&gt;10000),AND(ISNUMBER(main_original!G38),main_original!G38&lt;-10000)),main_original!G38/100000000,main_original!G38)</f>
        <v>0</v>
      </c>
      <c r="H38" s="3">
        <f>IF(OR(AND(ISNUMBER(main_original!H38),main_original!H38&gt;10000),AND(ISNUMBER(main_original!H38),main_original!H38&lt;-10000)),main_original!H38/100000000,main_original!H38)</f>
        <v>0</v>
      </c>
      <c r="I38" s="3">
        <f>IF(OR(AND(ISNUMBER(main_original!I38),main_original!I38&gt;10000),AND(ISNUMBER(main_original!I38),main_original!I38&lt;-10000)),main_original!I38/100000000,main_original!I38)</f>
        <v>0</v>
      </c>
      <c r="J38" s="3">
        <f>IF(OR(AND(ISNUMBER(main_original!J38),main_original!J38&gt;10000),AND(ISNUMBER(main_original!J38),main_original!J38&lt;-10000)),main_original!J38/100000000,main_original!J38)</f>
        <v>0</v>
      </c>
      <c r="K38" s="3">
        <f>IF(OR(AND(ISNUMBER(main_original!K38),main_original!K38&gt;10000),AND(ISNUMBER(main_original!K38),main_original!K38&lt;-10000)),main_original!K38/100000000,main_original!K38)</f>
        <v>0</v>
      </c>
      <c r="L38" s="3">
        <f>IF(OR(AND(ISNUMBER(main_original!L38),main_original!L38&gt;10000),AND(ISNUMBER(main_original!L38),main_original!L38&lt;-10000)),main_original!L38/100000000,main_original!L38)</f>
        <v>0</v>
      </c>
      <c r="M38" s="3">
        <f>IF(OR(AND(ISNUMBER(main_original!M38),main_original!M38&gt;10000),AND(ISNUMBER(main_original!M38),main_original!M38&lt;-10000)),main_original!M38/100000000,main_original!M38)</f>
        <v>0</v>
      </c>
      <c r="N38" s="3">
        <f>IF(OR(AND(ISNUMBER(main_original!N38),main_original!N38&gt;10000),AND(ISNUMBER(main_original!N38),main_original!N38&lt;-10000)),main_original!N38/100000000,main_original!N38)</f>
        <v>0</v>
      </c>
      <c r="O38" s="3">
        <f>IF(OR(AND(ISNUMBER(main_original!O38),main_original!O38&gt;10000),AND(ISNUMBER(main_original!O38),main_original!O38&lt;-10000)),main_original!O38/100000000,main_original!O38)</f>
        <v>0</v>
      </c>
      <c r="P38" s="3">
        <f>IF(OR(AND(ISNUMBER(main_original!P38),main_original!P38&gt;10000),AND(ISNUMBER(main_original!P38),main_original!P38&lt;-10000)),main_original!P38/100000000,main_original!P38)</f>
        <v>0</v>
      </c>
      <c r="Q38" s="3">
        <f>IF(OR(AND(ISNUMBER(main_original!Q38),main_original!Q38&gt;10000),AND(ISNUMBER(main_original!Q38),main_original!Q38&lt;-10000)),main_original!Q38/100000000,main_original!Q38)</f>
        <v>0</v>
      </c>
      <c r="R38" s="3">
        <f>IF(OR(AND(ISNUMBER(main_original!R38),main_original!R38&gt;10000),AND(ISNUMBER(main_original!R38),main_original!R38&lt;-10000)),main_original!R38/100000000,main_original!R38)</f>
        <v>0</v>
      </c>
      <c r="S38" s="3">
        <f>IF(OR(AND(ISNUMBER(main_original!S38),main_original!S38&gt;10000),AND(ISNUMBER(main_original!S38),main_original!S38&lt;-10000)),main_original!S38/100000000,main_original!S38)</f>
        <v>0</v>
      </c>
      <c r="T38" s="3">
        <f>IF(OR(AND(ISNUMBER(main_original!T38),main_original!T38&gt;10000),AND(ISNUMBER(main_original!T38),main_original!T38&lt;-10000)),main_original!T38/100000000,main_original!T38)</f>
        <v>0</v>
      </c>
      <c r="U38" s="3">
        <f>IF(OR(AND(ISNUMBER(main_original!U38),main_original!U38&gt;10000),AND(ISNUMBER(main_original!U38),main_original!U38&lt;-10000)),main_original!U38/100000000,main_original!U38)</f>
        <v>0</v>
      </c>
      <c r="V38" s="3">
        <f>IF(OR(AND(ISNUMBER(main_original!V38),main_original!V38&gt;10000),AND(ISNUMBER(main_original!V38),main_original!V38&lt;-10000)),main_original!V38/100000000,main_original!V38)</f>
        <v>0</v>
      </c>
      <c r="W38" s="3">
        <f>IF(OR(AND(ISNUMBER(main_original!W38),main_original!W38&gt;10000),AND(ISNUMBER(main_original!W38),main_original!W38&lt;-10000)),main_original!W38/100000000,main_original!W38)</f>
        <v>0</v>
      </c>
      <c r="X38" s="3">
        <f>IF(OR(AND(ISNUMBER(main_original!X38),main_original!X38&gt;10000),AND(ISNUMBER(main_original!X38),main_original!X38&lt;-10000)),main_original!X38/100000000,main_original!X38)</f>
        <v>0</v>
      </c>
      <c r="Y38" s="3">
        <f>IF(OR(AND(ISNUMBER(main_original!Y38),main_original!Y38&gt;10000),AND(ISNUMBER(main_original!Y38),main_original!Y38&lt;-10000)),main_original!Y38/100000000,main_original!Y38)</f>
        <v>0</v>
      </c>
      <c r="Z38" s="3">
        <f>IF(OR(AND(ISNUMBER(main_original!Z38),main_original!Z38&gt;10000),AND(ISNUMBER(main_original!Z38),main_original!Z38&lt;-10000)),main_original!Z38/100000000,main_original!Z38)</f>
        <v>0</v>
      </c>
      <c r="AA38" s="3">
        <f>IF(OR(AND(ISNUMBER(main_original!AA38),main_original!AA38&gt;10000),AND(ISNUMBER(main_original!AA38),main_original!AA38&lt;-10000)),main_original!AA38/100000000,main_original!AA38)</f>
        <v>0</v>
      </c>
      <c r="AB38" s="3">
        <f>IF(OR(AND(ISNUMBER(main_original!AB38),main_original!AB38&gt;10000),AND(ISNUMBER(main_original!AB38),main_original!AB38&lt;-10000)),main_original!AB38/100000000,main_original!AB38)</f>
        <v>0</v>
      </c>
      <c r="AC38" s="3">
        <f>IF(OR(AND(ISNUMBER(main_original!AC38),main_original!AC38&gt;10000),AND(ISNUMBER(main_original!AC38),main_original!AC38&lt;-10000)),main_original!AC38/100000000,main_original!AC38)</f>
        <v>0</v>
      </c>
      <c r="AD38" s="3">
        <f>IF(OR(AND(ISNUMBER(main_original!AD38),main_original!AD38&gt;10000),AND(ISNUMBER(main_original!AD38),main_original!AD38&lt;-10000)),main_original!AD38/100000000,main_original!AD38)</f>
        <v>0</v>
      </c>
      <c r="AE38" s="3">
        <f>IF(OR(AND(ISNUMBER(main_original!AE38),main_original!AE38&gt;10000),AND(ISNUMBER(main_original!AE38),main_original!AE38&lt;-10000)),main_original!AE38/100000000,main_original!AE38)</f>
        <v>0</v>
      </c>
      <c r="AF38" s="3">
        <f>IF(OR(AND(ISNUMBER(main_original!AF38),main_original!AF38&gt;10000),AND(ISNUMBER(main_original!AF38),main_original!AF38&lt;-10000)),main_original!AF38/100000000,main_original!AF38)</f>
        <v>0</v>
      </c>
      <c r="AG38" s="3">
        <f>IF(OR(AND(ISNUMBER(main_original!AG38),main_original!AG38&gt;10000),AND(ISNUMBER(main_original!AG38),main_original!AG38&lt;-10000)),main_original!AG38/100000000,main_original!AG38)</f>
        <v>0</v>
      </c>
      <c r="AH38" s="3">
        <f>IF(OR(AND(ISNUMBER(main_original!AH38),main_original!AH38&gt;10000),AND(ISNUMBER(main_original!AH38),main_original!AH38&lt;-10000)),main_original!AH38/100000000,main_original!AH38)</f>
        <v>0</v>
      </c>
      <c r="AI38" s="3">
        <f>IF(OR(AND(ISNUMBER(main_original!AI38),main_original!AI38&gt;10000),AND(ISNUMBER(main_original!AI38),main_original!AI38&lt;-10000)),main_original!AI38/100000000,main_original!AI38)</f>
        <v>0</v>
      </c>
      <c r="AJ38" s="3">
        <f>IF(OR(AND(ISNUMBER(main_original!AJ38),main_original!AJ38&gt;10000),AND(ISNUMBER(main_original!AJ38),main_original!AJ38&lt;-10000)),main_original!AJ38/100000000,main_original!AJ38)</f>
        <v>0</v>
      </c>
      <c r="AK38" s="3">
        <f>IF(OR(AND(ISNUMBER(main_original!AK38),main_original!AK38&gt;10000),AND(ISNUMBER(main_original!AK38),main_original!AK38&lt;-10000)),main_original!AK38/100000000,main_original!AK38)</f>
        <v>0</v>
      </c>
      <c r="AL38" s="3">
        <f>IF(OR(AND(ISNUMBER(main_original!AL38),main_original!AL38&gt;10000),AND(ISNUMBER(main_original!AL38),main_original!AL38&lt;-10000)),main_original!AL38/100000000,main_original!AL38)</f>
        <v>0</v>
      </c>
      <c r="AM38" s="3">
        <f>IF(OR(AND(ISNUMBER(main_original!AM38),main_original!AM38&gt;10000),AND(ISNUMBER(main_original!AM38),main_original!AM38&lt;-10000)),main_original!AM38/100000000,main_original!AM38)</f>
        <v>0</v>
      </c>
      <c r="AN38" s="3">
        <f>IF(OR(AND(ISNUMBER(main_original!AN38),main_original!AN38&gt;10000),AND(ISNUMBER(main_original!AN38),main_original!AN38&lt;-10000)),main_original!AN38/100000000,main_original!AN38)</f>
        <v>0</v>
      </c>
      <c r="AO38" s="3">
        <f>IF(OR(AND(ISNUMBER(main_original!AO38),main_original!AO38&gt;10000),AND(ISNUMBER(main_original!AO38),main_original!AO38&lt;-10000)),main_original!AO38/100000000,main_original!AO38)</f>
        <v>0</v>
      </c>
      <c r="AP38" s="3">
        <f>IF(OR(AND(ISNUMBER(main_original!AP38),main_original!AP38&gt;10000),AND(ISNUMBER(main_original!AP38),main_original!AP38&lt;-10000)),main_original!AP38/100000000,main_original!AP38)</f>
        <v>0</v>
      </c>
      <c r="AQ38" s="3">
        <f>IF(OR(AND(ISNUMBER(main_original!AQ38),main_original!AQ38&gt;10000),AND(ISNUMBER(main_original!AQ38),main_original!AQ38&lt;-10000)),main_original!AQ38/100000000,main_original!AQ38)</f>
        <v>0</v>
      </c>
      <c r="AR38" s="3">
        <f>IF(OR(AND(ISNUMBER(main_original!AR38),main_original!AR38&gt;10000),AND(ISNUMBER(main_original!AR38),main_original!AR38&lt;-10000)),main_original!AR38/100000000,main_original!AR38)</f>
        <v>0</v>
      </c>
      <c r="AS38" s="3">
        <f>IF(OR(AND(ISNUMBER(main_original!AS38),main_original!AS38&gt;10000),AND(ISNUMBER(main_original!AS38),main_original!AS38&lt;-10000)),main_original!AS38/100000000,main_original!AS38)</f>
        <v>0</v>
      </c>
      <c r="AT38" s="3">
        <f>IF(OR(AND(ISNUMBER(main_original!AT38),main_original!AT38&gt;10000),AND(ISNUMBER(main_original!AT38),main_original!AT38&lt;-10000)),main_original!AT38/100000000,main_original!AT38)</f>
        <v>0</v>
      </c>
    </row>
    <row r="39" spans="2:46" x14ac:dyDescent="0.25">
      <c r="B39" s="3">
        <f>IF(OR(AND(ISNUMBER(main_original!B39),main_original!B39&gt;10000),AND(ISNUMBER(main_original!B39),main_original!B39&lt;-10000)),main_original!B39/100000000,main_original!B39)</f>
        <v>0</v>
      </c>
      <c r="C39" s="3">
        <f>IF(OR(AND(ISNUMBER(main_original!C39),main_original!C39&gt;10000),AND(ISNUMBER(main_original!C39),main_original!C39&lt;-10000)),main_original!C39/100000000,main_original!C39)</f>
        <v>0</v>
      </c>
      <c r="D39" s="3">
        <f>IF(OR(AND(ISNUMBER(main_original!D39),main_original!D39&gt;10000),AND(ISNUMBER(main_original!D39),main_original!D39&lt;-10000)),main_original!D39/100000000,main_original!D39)</f>
        <v>0</v>
      </c>
      <c r="E39" s="3">
        <f>IF(OR(AND(ISNUMBER(main_original!E39),main_original!E39&gt;10000),AND(ISNUMBER(main_original!E39),main_original!E39&lt;-10000)),main_original!E39/100000000,main_original!E39)</f>
        <v>0</v>
      </c>
      <c r="F39" s="3">
        <f>IF(OR(AND(ISNUMBER(main_original!F39),main_original!F39&gt;10000),AND(ISNUMBER(main_original!F39),main_original!F39&lt;-10000)),main_original!F39/100000000,main_original!F39)</f>
        <v>0</v>
      </c>
      <c r="G39" s="3">
        <f>IF(OR(AND(ISNUMBER(main_original!G39),main_original!G39&gt;10000),AND(ISNUMBER(main_original!G39),main_original!G39&lt;-10000)),main_original!G39/100000000,main_original!G39)</f>
        <v>0</v>
      </c>
      <c r="H39" s="3">
        <f>IF(OR(AND(ISNUMBER(main_original!H39),main_original!H39&gt;10000),AND(ISNUMBER(main_original!H39),main_original!H39&lt;-10000)),main_original!H39/100000000,main_original!H39)</f>
        <v>0</v>
      </c>
      <c r="I39" s="3">
        <f>IF(OR(AND(ISNUMBER(main_original!I39),main_original!I39&gt;10000),AND(ISNUMBER(main_original!I39),main_original!I39&lt;-10000)),main_original!I39/100000000,main_original!I39)</f>
        <v>0</v>
      </c>
      <c r="J39" s="3">
        <f>IF(OR(AND(ISNUMBER(main_original!J39),main_original!J39&gt;10000),AND(ISNUMBER(main_original!J39),main_original!J39&lt;-10000)),main_original!J39/100000000,main_original!J39)</f>
        <v>0</v>
      </c>
      <c r="K39" s="3">
        <f>IF(OR(AND(ISNUMBER(main_original!K39),main_original!K39&gt;10000),AND(ISNUMBER(main_original!K39),main_original!K39&lt;-10000)),main_original!K39/100000000,main_original!K39)</f>
        <v>0</v>
      </c>
      <c r="L39" s="3">
        <f>IF(OR(AND(ISNUMBER(main_original!L39),main_original!L39&gt;10000),AND(ISNUMBER(main_original!L39),main_original!L39&lt;-10000)),main_original!L39/100000000,main_original!L39)</f>
        <v>0</v>
      </c>
      <c r="M39" s="3">
        <f>IF(OR(AND(ISNUMBER(main_original!M39),main_original!M39&gt;10000),AND(ISNUMBER(main_original!M39),main_original!M39&lt;-10000)),main_original!M39/100000000,main_original!M39)</f>
        <v>0</v>
      </c>
      <c r="N39" s="3">
        <f>IF(OR(AND(ISNUMBER(main_original!N39),main_original!N39&gt;10000),AND(ISNUMBER(main_original!N39),main_original!N39&lt;-10000)),main_original!N39/100000000,main_original!N39)</f>
        <v>0</v>
      </c>
      <c r="O39" s="3">
        <f>IF(OR(AND(ISNUMBER(main_original!O39),main_original!O39&gt;10000),AND(ISNUMBER(main_original!O39),main_original!O39&lt;-10000)),main_original!O39/100000000,main_original!O39)</f>
        <v>0</v>
      </c>
      <c r="P39" s="3">
        <f>IF(OR(AND(ISNUMBER(main_original!P39),main_original!P39&gt;10000),AND(ISNUMBER(main_original!P39),main_original!P39&lt;-10000)),main_original!P39/100000000,main_original!P39)</f>
        <v>0</v>
      </c>
      <c r="Q39" s="3">
        <f>IF(OR(AND(ISNUMBER(main_original!Q39),main_original!Q39&gt;10000),AND(ISNUMBER(main_original!Q39),main_original!Q39&lt;-10000)),main_original!Q39/100000000,main_original!Q39)</f>
        <v>0</v>
      </c>
      <c r="R39" s="3">
        <f>IF(OR(AND(ISNUMBER(main_original!R39),main_original!R39&gt;10000),AND(ISNUMBER(main_original!R39),main_original!R39&lt;-10000)),main_original!R39/100000000,main_original!R39)</f>
        <v>0</v>
      </c>
      <c r="S39" s="3">
        <f>IF(OR(AND(ISNUMBER(main_original!S39),main_original!S39&gt;10000),AND(ISNUMBER(main_original!S39),main_original!S39&lt;-10000)),main_original!S39/100000000,main_original!S39)</f>
        <v>0</v>
      </c>
      <c r="T39" s="3">
        <f>IF(OR(AND(ISNUMBER(main_original!T39),main_original!T39&gt;10000),AND(ISNUMBER(main_original!T39),main_original!T39&lt;-10000)),main_original!T39/100000000,main_original!T39)</f>
        <v>0</v>
      </c>
      <c r="U39" s="3">
        <f>IF(OR(AND(ISNUMBER(main_original!U39),main_original!U39&gt;10000),AND(ISNUMBER(main_original!U39),main_original!U39&lt;-10000)),main_original!U39/100000000,main_original!U39)</f>
        <v>0</v>
      </c>
      <c r="V39" s="3">
        <f>IF(OR(AND(ISNUMBER(main_original!V39),main_original!V39&gt;10000),AND(ISNUMBER(main_original!V39),main_original!V39&lt;-10000)),main_original!V39/100000000,main_original!V39)</f>
        <v>0</v>
      </c>
      <c r="W39" s="3">
        <f>IF(OR(AND(ISNUMBER(main_original!W39),main_original!W39&gt;10000),AND(ISNUMBER(main_original!W39),main_original!W39&lt;-10000)),main_original!W39/100000000,main_original!W39)</f>
        <v>0</v>
      </c>
      <c r="X39" s="3">
        <f>IF(OR(AND(ISNUMBER(main_original!X39),main_original!X39&gt;10000),AND(ISNUMBER(main_original!X39),main_original!X39&lt;-10000)),main_original!X39/100000000,main_original!X39)</f>
        <v>0</v>
      </c>
      <c r="Y39" s="3">
        <f>IF(OR(AND(ISNUMBER(main_original!Y39),main_original!Y39&gt;10000),AND(ISNUMBER(main_original!Y39),main_original!Y39&lt;-10000)),main_original!Y39/100000000,main_original!Y39)</f>
        <v>0</v>
      </c>
      <c r="Z39" s="3">
        <f>IF(OR(AND(ISNUMBER(main_original!Z39),main_original!Z39&gt;10000),AND(ISNUMBER(main_original!Z39),main_original!Z39&lt;-10000)),main_original!Z39/100000000,main_original!Z39)</f>
        <v>0</v>
      </c>
      <c r="AA39" s="3">
        <f>IF(OR(AND(ISNUMBER(main_original!AA39),main_original!AA39&gt;10000),AND(ISNUMBER(main_original!AA39),main_original!AA39&lt;-10000)),main_original!AA39/100000000,main_original!AA39)</f>
        <v>0</v>
      </c>
      <c r="AB39" s="3">
        <f>IF(OR(AND(ISNUMBER(main_original!AB39),main_original!AB39&gt;10000),AND(ISNUMBER(main_original!AB39),main_original!AB39&lt;-10000)),main_original!AB39/100000000,main_original!AB39)</f>
        <v>0</v>
      </c>
      <c r="AC39" s="3">
        <f>IF(OR(AND(ISNUMBER(main_original!AC39),main_original!AC39&gt;10000),AND(ISNUMBER(main_original!AC39),main_original!AC39&lt;-10000)),main_original!AC39/100000000,main_original!AC39)</f>
        <v>0</v>
      </c>
      <c r="AD39" s="3">
        <f>IF(OR(AND(ISNUMBER(main_original!AD39),main_original!AD39&gt;10000),AND(ISNUMBER(main_original!AD39),main_original!AD39&lt;-10000)),main_original!AD39/100000000,main_original!AD39)</f>
        <v>0</v>
      </c>
      <c r="AE39" s="3">
        <f>IF(OR(AND(ISNUMBER(main_original!AE39),main_original!AE39&gt;10000),AND(ISNUMBER(main_original!AE39),main_original!AE39&lt;-10000)),main_original!AE39/100000000,main_original!AE39)</f>
        <v>0</v>
      </c>
      <c r="AF39" s="3">
        <f>IF(OR(AND(ISNUMBER(main_original!AF39),main_original!AF39&gt;10000),AND(ISNUMBER(main_original!AF39),main_original!AF39&lt;-10000)),main_original!AF39/100000000,main_original!AF39)</f>
        <v>0</v>
      </c>
      <c r="AG39" s="3">
        <f>IF(OR(AND(ISNUMBER(main_original!AG39),main_original!AG39&gt;10000),AND(ISNUMBER(main_original!AG39),main_original!AG39&lt;-10000)),main_original!AG39/100000000,main_original!AG39)</f>
        <v>0</v>
      </c>
      <c r="AH39" s="3">
        <f>IF(OR(AND(ISNUMBER(main_original!AH39),main_original!AH39&gt;10000),AND(ISNUMBER(main_original!AH39),main_original!AH39&lt;-10000)),main_original!AH39/100000000,main_original!AH39)</f>
        <v>0</v>
      </c>
      <c r="AI39" s="3">
        <f>IF(OR(AND(ISNUMBER(main_original!AI39),main_original!AI39&gt;10000),AND(ISNUMBER(main_original!AI39),main_original!AI39&lt;-10000)),main_original!AI39/100000000,main_original!AI39)</f>
        <v>0</v>
      </c>
      <c r="AJ39" s="3">
        <f>IF(OR(AND(ISNUMBER(main_original!AJ39),main_original!AJ39&gt;10000),AND(ISNUMBER(main_original!AJ39),main_original!AJ39&lt;-10000)),main_original!AJ39/100000000,main_original!AJ39)</f>
        <v>0</v>
      </c>
      <c r="AK39" s="3">
        <f>IF(OR(AND(ISNUMBER(main_original!AK39),main_original!AK39&gt;10000),AND(ISNUMBER(main_original!AK39),main_original!AK39&lt;-10000)),main_original!AK39/100000000,main_original!AK39)</f>
        <v>0</v>
      </c>
      <c r="AL39" s="3">
        <f>IF(OR(AND(ISNUMBER(main_original!AL39),main_original!AL39&gt;10000),AND(ISNUMBER(main_original!AL39),main_original!AL39&lt;-10000)),main_original!AL39/100000000,main_original!AL39)</f>
        <v>0</v>
      </c>
      <c r="AM39" s="3">
        <f>IF(OR(AND(ISNUMBER(main_original!AM39),main_original!AM39&gt;10000),AND(ISNUMBER(main_original!AM39),main_original!AM39&lt;-10000)),main_original!AM39/100000000,main_original!AM39)</f>
        <v>0</v>
      </c>
      <c r="AN39" s="3">
        <f>IF(OR(AND(ISNUMBER(main_original!AN39),main_original!AN39&gt;10000),AND(ISNUMBER(main_original!AN39),main_original!AN39&lt;-10000)),main_original!AN39/100000000,main_original!AN39)</f>
        <v>0</v>
      </c>
      <c r="AO39" s="3">
        <f>IF(OR(AND(ISNUMBER(main_original!AO39),main_original!AO39&gt;10000),AND(ISNUMBER(main_original!AO39),main_original!AO39&lt;-10000)),main_original!AO39/100000000,main_original!AO39)</f>
        <v>0</v>
      </c>
      <c r="AP39" s="3">
        <f>IF(OR(AND(ISNUMBER(main_original!AP39),main_original!AP39&gt;10000),AND(ISNUMBER(main_original!AP39),main_original!AP39&lt;-10000)),main_original!AP39/100000000,main_original!AP39)</f>
        <v>0</v>
      </c>
      <c r="AQ39" s="3">
        <f>IF(OR(AND(ISNUMBER(main_original!AQ39),main_original!AQ39&gt;10000),AND(ISNUMBER(main_original!AQ39),main_original!AQ39&lt;-10000)),main_original!AQ39/100000000,main_original!AQ39)</f>
        <v>0</v>
      </c>
      <c r="AR39" s="3">
        <f>IF(OR(AND(ISNUMBER(main_original!AR39),main_original!AR39&gt;10000),AND(ISNUMBER(main_original!AR39),main_original!AR39&lt;-10000)),main_original!AR39/100000000,main_original!AR39)</f>
        <v>0</v>
      </c>
      <c r="AS39" s="3">
        <f>IF(OR(AND(ISNUMBER(main_original!AS39),main_original!AS39&gt;10000),AND(ISNUMBER(main_original!AS39),main_original!AS39&lt;-10000)),main_original!AS39/100000000,main_original!AS39)</f>
        <v>0</v>
      </c>
      <c r="AT39" s="3">
        <f>IF(OR(AND(ISNUMBER(main_original!AT39),main_original!AT39&gt;10000),AND(ISNUMBER(main_original!AT39),main_original!AT39&lt;-10000)),main_original!AT39/100000000,main_original!AT39)</f>
        <v>0</v>
      </c>
    </row>
    <row r="40" spans="2:46" x14ac:dyDescent="0.25">
      <c r="B40" s="3">
        <f>IF(OR(AND(ISNUMBER(main_original!B40),main_original!B40&gt;10000),AND(ISNUMBER(main_original!B40),main_original!B40&lt;-10000)),main_original!B40/100000000,main_original!B40)</f>
        <v>0</v>
      </c>
      <c r="C40" s="3">
        <f>IF(OR(AND(ISNUMBER(main_original!C40),main_original!C40&gt;10000),AND(ISNUMBER(main_original!C40),main_original!C40&lt;-10000)),main_original!C40/100000000,main_original!C40)</f>
        <v>0</v>
      </c>
      <c r="D40" s="3">
        <f>IF(OR(AND(ISNUMBER(main_original!D40),main_original!D40&gt;10000),AND(ISNUMBER(main_original!D40),main_original!D40&lt;-10000)),main_original!D40/100000000,main_original!D40)</f>
        <v>0</v>
      </c>
      <c r="E40" s="3">
        <f>IF(OR(AND(ISNUMBER(main_original!E40),main_original!E40&gt;10000),AND(ISNUMBER(main_original!E40),main_original!E40&lt;-10000)),main_original!E40/100000000,main_original!E40)</f>
        <v>0</v>
      </c>
      <c r="F40" s="3">
        <f>IF(OR(AND(ISNUMBER(main_original!F40),main_original!F40&gt;10000),AND(ISNUMBER(main_original!F40),main_original!F40&lt;-10000)),main_original!F40/100000000,main_original!F40)</f>
        <v>0</v>
      </c>
      <c r="G40" s="3">
        <f>IF(OR(AND(ISNUMBER(main_original!G40),main_original!G40&gt;10000),AND(ISNUMBER(main_original!G40),main_original!G40&lt;-10000)),main_original!G40/100000000,main_original!G40)</f>
        <v>0</v>
      </c>
      <c r="H40" s="3">
        <f>IF(OR(AND(ISNUMBER(main_original!H40),main_original!H40&gt;10000),AND(ISNUMBER(main_original!H40),main_original!H40&lt;-10000)),main_original!H40/100000000,main_original!H40)</f>
        <v>0</v>
      </c>
      <c r="I40" s="3">
        <f>IF(OR(AND(ISNUMBER(main_original!I40),main_original!I40&gt;10000),AND(ISNUMBER(main_original!I40),main_original!I40&lt;-10000)),main_original!I40/100000000,main_original!I40)</f>
        <v>0</v>
      </c>
      <c r="J40" s="3">
        <f>IF(OR(AND(ISNUMBER(main_original!J40),main_original!J40&gt;10000),AND(ISNUMBER(main_original!J40),main_original!J40&lt;-10000)),main_original!J40/100000000,main_original!J40)</f>
        <v>0</v>
      </c>
      <c r="K40" s="3">
        <f>IF(OR(AND(ISNUMBER(main_original!K40),main_original!K40&gt;10000),AND(ISNUMBER(main_original!K40),main_original!K40&lt;-10000)),main_original!K40/100000000,main_original!K40)</f>
        <v>0</v>
      </c>
      <c r="L40" s="3">
        <f>IF(OR(AND(ISNUMBER(main_original!L40),main_original!L40&gt;10000),AND(ISNUMBER(main_original!L40),main_original!L40&lt;-10000)),main_original!L40/100000000,main_original!L40)</f>
        <v>0</v>
      </c>
      <c r="M40" s="3">
        <f>IF(OR(AND(ISNUMBER(main_original!M40),main_original!M40&gt;10000),AND(ISNUMBER(main_original!M40),main_original!M40&lt;-10000)),main_original!M40/100000000,main_original!M40)</f>
        <v>0</v>
      </c>
      <c r="N40" s="3">
        <f>IF(OR(AND(ISNUMBER(main_original!N40),main_original!N40&gt;10000),AND(ISNUMBER(main_original!N40),main_original!N40&lt;-10000)),main_original!N40/100000000,main_original!N40)</f>
        <v>0</v>
      </c>
      <c r="O40" s="3">
        <f>IF(OR(AND(ISNUMBER(main_original!O40),main_original!O40&gt;10000),AND(ISNUMBER(main_original!O40),main_original!O40&lt;-10000)),main_original!O40/100000000,main_original!O40)</f>
        <v>0</v>
      </c>
      <c r="P40" s="3">
        <f>IF(OR(AND(ISNUMBER(main_original!P40),main_original!P40&gt;10000),AND(ISNUMBER(main_original!P40),main_original!P40&lt;-10000)),main_original!P40/100000000,main_original!P40)</f>
        <v>0</v>
      </c>
      <c r="Q40" s="3">
        <f>IF(OR(AND(ISNUMBER(main_original!Q40),main_original!Q40&gt;10000),AND(ISNUMBER(main_original!Q40),main_original!Q40&lt;-10000)),main_original!Q40/100000000,main_original!Q40)</f>
        <v>0</v>
      </c>
      <c r="R40" s="3">
        <f>IF(OR(AND(ISNUMBER(main_original!R40),main_original!R40&gt;10000),AND(ISNUMBER(main_original!R40),main_original!R40&lt;-10000)),main_original!R40/100000000,main_original!R40)</f>
        <v>0</v>
      </c>
      <c r="S40" s="3">
        <f>IF(OR(AND(ISNUMBER(main_original!S40),main_original!S40&gt;10000),AND(ISNUMBER(main_original!S40),main_original!S40&lt;-10000)),main_original!S40/100000000,main_original!S40)</f>
        <v>0</v>
      </c>
      <c r="T40" s="3">
        <f>IF(OR(AND(ISNUMBER(main_original!T40),main_original!T40&gt;10000),AND(ISNUMBER(main_original!T40),main_original!T40&lt;-10000)),main_original!T40/100000000,main_original!T40)</f>
        <v>0</v>
      </c>
      <c r="U40" s="3">
        <f>IF(OR(AND(ISNUMBER(main_original!U40),main_original!U40&gt;10000),AND(ISNUMBER(main_original!U40),main_original!U40&lt;-10000)),main_original!U40/100000000,main_original!U40)</f>
        <v>0</v>
      </c>
      <c r="V40" s="3">
        <f>IF(OR(AND(ISNUMBER(main_original!V40),main_original!V40&gt;10000),AND(ISNUMBER(main_original!V40),main_original!V40&lt;-10000)),main_original!V40/100000000,main_original!V40)</f>
        <v>0</v>
      </c>
      <c r="W40" s="3">
        <f>IF(OR(AND(ISNUMBER(main_original!W40),main_original!W40&gt;10000),AND(ISNUMBER(main_original!W40),main_original!W40&lt;-10000)),main_original!W40/100000000,main_original!W40)</f>
        <v>0</v>
      </c>
      <c r="X40" s="3">
        <f>IF(OR(AND(ISNUMBER(main_original!X40),main_original!X40&gt;10000),AND(ISNUMBER(main_original!X40),main_original!X40&lt;-10000)),main_original!X40/100000000,main_original!X40)</f>
        <v>0</v>
      </c>
      <c r="Y40" s="3">
        <f>IF(OR(AND(ISNUMBER(main_original!Y40),main_original!Y40&gt;10000),AND(ISNUMBER(main_original!Y40),main_original!Y40&lt;-10000)),main_original!Y40/100000000,main_original!Y40)</f>
        <v>0</v>
      </c>
      <c r="Z40" s="3">
        <f>IF(OR(AND(ISNUMBER(main_original!Z40),main_original!Z40&gt;10000),AND(ISNUMBER(main_original!Z40),main_original!Z40&lt;-10000)),main_original!Z40/100000000,main_original!Z40)</f>
        <v>0</v>
      </c>
      <c r="AA40" s="3">
        <f>IF(OR(AND(ISNUMBER(main_original!AA40),main_original!AA40&gt;10000),AND(ISNUMBER(main_original!AA40),main_original!AA40&lt;-10000)),main_original!AA40/100000000,main_original!AA40)</f>
        <v>0</v>
      </c>
      <c r="AB40" s="3">
        <f>IF(OR(AND(ISNUMBER(main_original!AB40),main_original!AB40&gt;10000),AND(ISNUMBER(main_original!AB40),main_original!AB40&lt;-10000)),main_original!AB40/100000000,main_original!AB40)</f>
        <v>0</v>
      </c>
      <c r="AC40" s="3">
        <f>IF(OR(AND(ISNUMBER(main_original!AC40),main_original!AC40&gt;10000),AND(ISNUMBER(main_original!AC40),main_original!AC40&lt;-10000)),main_original!AC40/100000000,main_original!AC40)</f>
        <v>0</v>
      </c>
      <c r="AD40" s="3">
        <f>IF(OR(AND(ISNUMBER(main_original!AD40),main_original!AD40&gt;10000),AND(ISNUMBER(main_original!AD40),main_original!AD40&lt;-10000)),main_original!AD40/100000000,main_original!AD40)</f>
        <v>0</v>
      </c>
      <c r="AE40" s="3">
        <f>IF(OR(AND(ISNUMBER(main_original!AE40),main_original!AE40&gt;10000),AND(ISNUMBER(main_original!AE40),main_original!AE40&lt;-10000)),main_original!AE40/100000000,main_original!AE40)</f>
        <v>0</v>
      </c>
      <c r="AF40" s="3">
        <f>IF(OR(AND(ISNUMBER(main_original!AF40),main_original!AF40&gt;10000),AND(ISNUMBER(main_original!AF40),main_original!AF40&lt;-10000)),main_original!AF40/100000000,main_original!AF40)</f>
        <v>0</v>
      </c>
      <c r="AG40" s="3">
        <f>IF(OR(AND(ISNUMBER(main_original!AG40),main_original!AG40&gt;10000),AND(ISNUMBER(main_original!AG40),main_original!AG40&lt;-10000)),main_original!AG40/100000000,main_original!AG40)</f>
        <v>0</v>
      </c>
      <c r="AH40" s="3">
        <f>IF(OR(AND(ISNUMBER(main_original!AH40),main_original!AH40&gt;10000),AND(ISNUMBER(main_original!AH40),main_original!AH40&lt;-10000)),main_original!AH40/100000000,main_original!AH40)</f>
        <v>0</v>
      </c>
      <c r="AI40" s="3">
        <f>IF(OR(AND(ISNUMBER(main_original!AI40),main_original!AI40&gt;10000),AND(ISNUMBER(main_original!AI40),main_original!AI40&lt;-10000)),main_original!AI40/100000000,main_original!AI40)</f>
        <v>0</v>
      </c>
      <c r="AJ40" s="3">
        <f>IF(OR(AND(ISNUMBER(main_original!AJ40),main_original!AJ40&gt;10000),AND(ISNUMBER(main_original!AJ40),main_original!AJ40&lt;-10000)),main_original!AJ40/100000000,main_original!AJ40)</f>
        <v>0</v>
      </c>
      <c r="AK40" s="3">
        <f>IF(OR(AND(ISNUMBER(main_original!AK40),main_original!AK40&gt;10000),AND(ISNUMBER(main_original!AK40),main_original!AK40&lt;-10000)),main_original!AK40/100000000,main_original!AK40)</f>
        <v>0</v>
      </c>
      <c r="AL40" s="3">
        <f>IF(OR(AND(ISNUMBER(main_original!AL40),main_original!AL40&gt;10000),AND(ISNUMBER(main_original!AL40),main_original!AL40&lt;-10000)),main_original!AL40/100000000,main_original!AL40)</f>
        <v>0</v>
      </c>
      <c r="AM40" s="3">
        <f>IF(OR(AND(ISNUMBER(main_original!AM40),main_original!AM40&gt;10000),AND(ISNUMBER(main_original!AM40),main_original!AM40&lt;-10000)),main_original!AM40/100000000,main_original!AM40)</f>
        <v>0</v>
      </c>
      <c r="AN40" s="3">
        <f>IF(OR(AND(ISNUMBER(main_original!AN40),main_original!AN40&gt;10000),AND(ISNUMBER(main_original!AN40),main_original!AN40&lt;-10000)),main_original!AN40/100000000,main_original!AN40)</f>
        <v>0</v>
      </c>
      <c r="AO40" s="3">
        <f>IF(OR(AND(ISNUMBER(main_original!AO40),main_original!AO40&gt;10000),AND(ISNUMBER(main_original!AO40),main_original!AO40&lt;-10000)),main_original!AO40/100000000,main_original!AO40)</f>
        <v>0</v>
      </c>
      <c r="AP40" s="3">
        <f>IF(OR(AND(ISNUMBER(main_original!AP40),main_original!AP40&gt;10000),AND(ISNUMBER(main_original!AP40),main_original!AP40&lt;-10000)),main_original!AP40/100000000,main_original!AP40)</f>
        <v>0</v>
      </c>
      <c r="AQ40" s="3">
        <f>IF(OR(AND(ISNUMBER(main_original!AQ40),main_original!AQ40&gt;10000),AND(ISNUMBER(main_original!AQ40),main_original!AQ40&lt;-10000)),main_original!AQ40/100000000,main_original!AQ40)</f>
        <v>0</v>
      </c>
      <c r="AR40" s="3">
        <f>IF(OR(AND(ISNUMBER(main_original!AR40),main_original!AR40&gt;10000),AND(ISNUMBER(main_original!AR40),main_original!AR40&lt;-10000)),main_original!AR40/100000000,main_original!AR40)</f>
        <v>0</v>
      </c>
      <c r="AS40" s="3">
        <f>IF(OR(AND(ISNUMBER(main_original!AS40),main_original!AS40&gt;10000),AND(ISNUMBER(main_original!AS40),main_original!AS40&lt;-10000)),main_original!AS40/100000000,main_original!AS40)</f>
        <v>0</v>
      </c>
      <c r="AT40" s="3">
        <f>IF(OR(AND(ISNUMBER(main_original!AT40),main_original!AT40&gt;10000),AND(ISNUMBER(main_original!AT40),main_original!AT40&lt;-10000)),main_original!AT40/100000000,main_original!AT40)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4F06-D55B-4027-AF38-2B129AE934AD}">
  <sheetPr codeName="Sheet7"/>
  <dimension ref="A2:W92"/>
  <sheetViews>
    <sheetView workbookViewId="0">
      <selection activeCell="B4" sqref="B4:N92"/>
    </sheetView>
  </sheetViews>
  <sheetFormatPr defaultRowHeight="15" x14ac:dyDescent="0.25"/>
  <cols>
    <col min="1" max="1" width="42.140625" style="2" bestFit="1" customWidth="1"/>
    <col min="2" max="2" width="12" style="2" bestFit="1" customWidth="1"/>
    <col min="3" max="3" width="10" style="2" customWidth="1"/>
    <col min="4" max="4" width="11.28515625" style="2" bestFit="1" customWidth="1"/>
    <col min="5" max="6" width="12.28515625" style="2" bestFit="1" customWidth="1"/>
    <col min="7" max="7" width="10.28515625" style="2" bestFit="1" customWidth="1"/>
    <col min="8" max="23" width="10" style="2" customWidth="1"/>
    <col min="24" max="256" width="9.140625" style="2"/>
    <col min="257" max="257" width="25" style="2" customWidth="1"/>
    <col min="258" max="279" width="10" style="2" customWidth="1"/>
    <col min="280" max="512" width="9.140625" style="2"/>
    <col min="513" max="513" width="25" style="2" customWidth="1"/>
    <col min="514" max="535" width="10" style="2" customWidth="1"/>
    <col min="536" max="768" width="9.140625" style="2"/>
    <col min="769" max="769" width="25" style="2" customWidth="1"/>
    <col min="770" max="791" width="10" style="2" customWidth="1"/>
    <col min="792" max="1024" width="9.140625" style="2"/>
    <col min="1025" max="1025" width="25" style="2" customWidth="1"/>
    <col min="1026" max="1047" width="10" style="2" customWidth="1"/>
    <col min="1048" max="1280" width="9.140625" style="2"/>
    <col min="1281" max="1281" width="25" style="2" customWidth="1"/>
    <col min="1282" max="1303" width="10" style="2" customWidth="1"/>
    <col min="1304" max="1536" width="9.140625" style="2"/>
    <col min="1537" max="1537" width="25" style="2" customWidth="1"/>
    <col min="1538" max="1559" width="10" style="2" customWidth="1"/>
    <col min="1560" max="1792" width="9.140625" style="2"/>
    <col min="1793" max="1793" width="25" style="2" customWidth="1"/>
    <col min="1794" max="1815" width="10" style="2" customWidth="1"/>
    <col min="1816" max="2048" width="9.140625" style="2"/>
    <col min="2049" max="2049" width="25" style="2" customWidth="1"/>
    <col min="2050" max="2071" width="10" style="2" customWidth="1"/>
    <col min="2072" max="2304" width="9.140625" style="2"/>
    <col min="2305" max="2305" width="25" style="2" customWidth="1"/>
    <col min="2306" max="2327" width="10" style="2" customWidth="1"/>
    <col min="2328" max="2560" width="9.140625" style="2"/>
    <col min="2561" max="2561" width="25" style="2" customWidth="1"/>
    <col min="2562" max="2583" width="10" style="2" customWidth="1"/>
    <col min="2584" max="2816" width="9.140625" style="2"/>
    <col min="2817" max="2817" width="25" style="2" customWidth="1"/>
    <col min="2818" max="2839" width="10" style="2" customWidth="1"/>
    <col min="2840" max="3072" width="9.140625" style="2"/>
    <col min="3073" max="3073" width="25" style="2" customWidth="1"/>
    <col min="3074" max="3095" width="10" style="2" customWidth="1"/>
    <col min="3096" max="3328" width="9.140625" style="2"/>
    <col min="3329" max="3329" width="25" style="2" customWidth="1"/>
    <col min="3330" max="3351" width="10" style="2" customWidth="1"/>
    <col min="3352" max="3584" width="9.140625" style="2"/>
    <col min="3585" max="3585" width="25" style="2" customWidth="1"/>
    <col min="3586" max="3607" width="10" style="2" customWidth="1"/>
    <col min="3608" max="3840" width="9.140625" style="2"/>
    <col min="3841" max="3841" width="25" style="2" customWidth="1"/>
    <col min="3842" max="3863" width="10" style="2" customWidth="1"/>
    <col min="3864" max="4096" width="9.140625" style="2"/>
    <col min="4097" max="4097" width="25" style="2" customWidth="1"/>
    <col min="4098" max="4119" width="10" style="2" customWidth="1"/>
    <col min="4120" max="4352" width="9.140625" style="2"/>
    <col min="4353" max="4353" width="25" style="2" customWidth="1"/>
    <col min="4354" max="4375" width="10" style="2" customWidth="1"/>
    <col min="4376" max="4608" width="9.140625" style="2"/>
    <col min="4609" max="4609" width="25" style="2" customWidth="1"/>
    <col min="4610" max="4631" width="10" style="2" customWidth="1"/>
    <col min="4632" max="4864" width="9.140625" style="2"/>
    <col min="4865" max="4865" width="25" style="2" customWidth="1"/>
    <col min="4866" max="4887" width="10" style="2" customWidth="1"/>
    <col min="4888" max="5120" width="9.140625" style="2"/>
    <col min="5121" max="5121" width="25" style="2" customWidth="1"/>
    <col min="5122" max="5143" width="10" style="2" customWidth="1"/>
    <col min="5144" max="5376" width="9.140625" style="2"/>
    <col min="5377" max="5377" width="25" style="2" customWidth="1"/>
    <col min="5378" max="5399" width="10" style="2" customWidth="1"/>
    <col min="5400" max="5632" width="9.140625" style="2"/>
    <col min="5633" max="5633" width="25" style="2" customWidth="1"/>
    <col min="5634" max="5655" width="10" style="2" customWidth="1"/>
    <col min="5656" max="5888" width="9.140625" style="2"/>
    <col min="5889" max="5889" width="25" style="2" customWidth="1"/>
    <col min="5890" max="5911" width="10" style="2" customWidth="1"/>
    <col min="5912" max="6144" width="9.140625" style="2"/>
    <col min="6145" max="6145" width="25" style="2" customWidth="1"/>
    <col min="6146" max="6167" width="10" style="2" customWidth="1"/>
    <col min="6168" max="6400" width="9.140625" style="2"/>
    <col min="6401" max="6401" width="25" style="2" customWidth="1"/>
    <col min="6402" max="6423" width="10" style="2" customWidth="1"/>
    <col min="6424" max="6656" width="9.140625" style="2"/>
    <col min="6657" max="6657" width="25" style="2" customWidth="1"/>
    <col min="6658" max="6679" width="10" style="2" customWidth="1"/>
    <col min="6680" max="6912" width="9.140625" style="2"/>
    <col min="6913" max="6913" width="25" style="2" customWidth="1"/>
    <col min="6914" max="6935" width="10" style="2" customWidth="1"/>
    <col min="6936" max="7168" width="9.140625" style="2"/>
    <col min="7169" max="7169" width="25" style="2" customWidth="1"/>
    <col min="7170" max="7191" width="10" style="2" customWidth="1"/>
    <col min="7192" max="7424" width="9.140625" style="2"/>
    <col min="7425" max="7425" width="25" style="2" customWidth="1"/>
    <col min="7426" max="7447" width="10" style="2" customWidth="1"/>
    <col min="7448" max="7680" width="9.140625" style="2"/>
    <col min="7681" max="7681" width="25" style="2" customWidth="1"/>
    <col min="7682" max="7703" width="10" style="2" customWidth="1"/>
    <col min="7704" max="7936" width="9.140625" style="2"/>
    <col min="7937" max="7937" width="25" style="2" customWidth="1"/>
    <col min="7938" max="7959" width="10" style="2" customWidth="1"/>
    <col min="7960" max="8192" width="9.140625" style="2"/>
    <col min="8193" max="8193" width="25" style="2" customWidth="1"/>
    <col min="8194" max="8215" width="10" style="2" customWidth="1"/>
    <col min="8216" max="8448" width="9.140625" style="2"/>
    <col min="8449" max="8449" width="25" style="2" customWidth="1"/>
    <col min="8450" max="8471" width="10" style="2" customWidth="1"/>
    <col min="8472" max="8704" width="9.140625" style="2"/>
    <col min="8705" max="8705" width="25" style="2" customWidth="1"/>
    <col min="8706" max="8727" width="10" style="2" customWidth="1"/>
    <col min="8728" max="8960" width="9.140625" style="2"/>
    <col min="8961" max="8961" width="25" style="2" customWidth="1"/>
    <col min="8962" max="8983" width="10" style="2" customWidth="1"/>
    <col min="8984" max="9216" width="9.140625" style="2"/>
    <col min="9217" max="9217" width="25" style="2" customWidth="1"/>
    <col min="9218" max="9239" width="10" style="2" customWidth="1"/>
    <col min="9240" max="9472" width="9.140625" style="2"/>
    <col min="9473" max="9473" width="25" style="2" customWidth="1"/>
    <col min="9474" max="9495" width="10" style="2" customWidth="1"/>
    <col min="9496" max="9728" width="9.140625" style="2"/>
    <col min="9729" max="9729" width="25" style="2" customWidth="1"/>
    <col min="9730" max="9751" width="10" style="2" customWidth="1"/>
    <col min="9752" max="9984" width="9.140625" style="2"/>
    <col min="9985" max="9985" width="25" style="2" customWidth="1"/>
    <col min="9986" max="10007" width="10" style="2" customWidth="1"/>
    <col min="10008" max="10240" width="9.140625" style="2"/>
    <col min="10241" max="10241" width="25" style="2" customWidth="1"/>
    <col min="10242" max="10263" width="10" style="2" customWidth="1"/>
    <col min="10264" max="10496" width="9.140625" style="2"/>
    <col min="10497" max="10497" width="25" style="2" customWidth="1"/>
    <col min="10498" max="10519" width="10" style="2" customWidth="1"/>
    <col min="10520" max="10752" width="9.140625" style="2"/>
    <col min="10753" max="10753" width="25" style="2" customWidth="1"/>
    <col min="10754" max="10775" width="10" style="2" customWidth="1"/>
    <col min="10776" max="11008" width="9.140625" style="2"/>
    <col min="11009" max="11009" width="25" style="2" customWidth="1"/>
    <col min="11010" max="11031" width="10" style="2" customWidth="1"/>
    <col min="11032" max="11264" width="9.140625" style="2"/>
    <col min="11265" max="11265" width="25" style="2" customWidth="1"/>
    <col min="11266" max="11287" width="10" style="2" customWidth="1"/>
    <col min="11288" max="11520" width="9.140625" style="2"/>
    <col min="11521" max="11521" width="25" style="2" customWidth="1"/>
    <col min="11522" max="11543" width="10" style="2" customWidth="1"/>
    <col min="11544" max="11776" width="9.140625" style="2"/>
    <col min="11777" max="11777" width="25" style="2" customWidth="1"/>
    <col min="11778" max="11799" width="10" style="2" customWidth="1"/>
    <col min="11800" max="12032" width="9.140625" style="2"/>
    <col min="12033" max="12033" width="25" style="2" customWidth="1"/>
    <col min="12034" max="12055" width="10" style="2" customWidth="1"/>
    <col min="12056" max="12288" width="9.140625" style="2"/>
    <col min="12289" max="12289" width="25" style="2" customWidth="1"/>
    <col min="12290" max="12311" width="10" style="2" customWidth="1"/>
    <col min="12312" max="12544" width="9.140625" style="2"/>
    <col min="12545" max="12545" width="25" style="2" customWidth="1"/>
    <col min="12546" max="12567" width="10" style="2" customWidth="1"/>
    <col min="12568" max="12800" width="9.140625" style="2"/>
    <col min="12801" max="12801" width="25" style="2" customWidth="1"/>
    <col min="12802" max="12823" width="10" style="2" customWidth="1"/>
    <col min="12824" max="13056" width="9.140625" style="2"/>
    <col min="13057" max="13057" width="25" style="2" customWidth="1"/>
    <col min="13058" max="13079" width="10" style="2" customWidth="1"/>
    <col min="13080" max="13312" width="9.140625" style="2"/>
    <col min="13313" max="13313" width="25" style="2" customWidth="1"/>
    <col min="13314" max="13335" width="10" style="2" customWidth="1"/>
    <col min="13336" max="13568" width="9.140625" style="2"/>
    <col min="13569" max="13569" width="25" style="2" customWidth="1"/>
    <col min="13570" max="13591" width="10" style="2" customWidth="1"/>
    <col min="13592" max="13824" width="9.140625" style="2"/>
    <col min="13825" max="13825" width="25" style="2" customWidth="1"/>
    <col min="13826" max="13847" width="10" style="2" customWidth="1"/>
    <col min="13848" max="14080" width="9.140625" style="2"/>
    <col min="14081" max="14081" width="25" style="2" customWidth="1"/>
    <col min="14082" max="14103" width="10" style="2" customWidth="1"/>
    <col min="14104" max="14336" width="9.140625" style="2"/>
    <col min="14337" max="14337" width="25" style="2" customWidth="1"/>
    <col min="14338" max="14359" width="10" style="2" customWidth="1"/>
    <col min="14360" max="14592" width="9.140625" style="2"/>
    <col min="14593" max="14593" width="25" style="2" customWidth="1"/>
    <col min="14594" max="14615" width="10" style="2" customWidth="1"/>
    <col min="14616" max="14848" width="9.140625" style="2"/>
    <col min="14849" max="14849" width="25" style="2" customWidth="1"/>
    <col min="14850" max="14871" width="10" style="2" customWidth="1"/>
    <col min="14872" max="15104" width="9.140625" style="2"/>
    <col min="15105" max="15105" width="25" style="2" customWidth="1"/>
    <col min="15106" max="15127" width="10" style="2" customWidth="1"/>
    <col min="15128" max="15360" width="9.140625" style="2"/>
    <col min="15361" max="15361" width="25" style="2" customWidth="1"/>
    <col min="15362" max="15383" width="10" style="2" customWidth="1"/>
    <col min="15384" max="15616" width="9.140625" style="2"/>
    <col min="15617" max="15617" width="25" style="2" customWidth="1"/>
    <col min="15618" max="15639" width="10" style="2" customWidth="1"/>
    <col min="15640" max="15872" width="9.140625" style="2"/>
    <col min="15873" max="15873" width="25" style="2" customWidth="1"/>
    <col min="15874" max="15895" width="10" style="2" customWidth="1"/>
    <col min="15896" max="16128" width="9.140625" style="2"/>
    <col min="16129" max="16129" width="25" style="2" customWidth="1"/>
    <col min="16130" max="16151" width="10" style="2" customWidth="1"/>
    <col min="16152" max="16384" width="9.140625" style="2"/>
  </cols>
  <sheetData>
    <row r="2" spans="1:23" x14ac:dyDescent="0.25">
      <c r="A2" s="2" t="s">
        <v>10</v>
      </c>
      <c r="B2" s="2">
        <v>2019</v>
      </c>
      <c r="C2" s="2">
        <v>2018</v>
      </c>
      <c r="D2" s="2">
        <v>2017</v>
      </c>
      <c r="E2" s="2">
        <v>2016</v>
      </c>
      <c r="F2" s="2">
        <v>2015</v>
      </c>
      <c r="G2" s="2">
        <v>2014</v>
      </c>
      <c r="H2" s="2">
        <v>2013</v>
      </c>
      <c r="I2" s="2">
        <v>2012</v>
      </c>
      <c r="J2" s="2">
        <v>2011</v>
      </c>
      <c r="K2" s="2">
        <v>2010</v>
      </c>
      <c r="L2" s="2">
        <v>2009</v>
      </c>
      <c r="M2" s="2">
        <v>2008</v>
      </c>
      <c r="N2" s="2">
        <v>2007</v>
      </c>
      <c r="O2" s="2">
        <v>2006</v>
      </c>
      <c r="P2" s="2">
        <v>2005</v>
      </c>
      <c r="Q2" s="2">
        <v>2004</v>
      </c>
      <c r="R2" s="2">
        <v>2003</v>
      </c>
      <c r="S2" s="2">
        <v>2002</v>
      </c>
      <c r="T2" s="2">
        <v>2001</v>
      </c>
      <c r="U2" s="2">
        <v>2000</v>
      </c>
      <c r="V2" s="2">
        <v>1999</v>
      </c>
      <c r="W2" s="2">
        <v>1998</v>
      </c>
    </row>
    <row r="3" spans="1:23" x14ac:dyDescent="0.25">
      <c r="A3" s="3" t="s">
        <v>219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x14ac:dyDescent="0.25">
      <c r="A4" s="3" t="s">
        <v>23</v>
      </c>
      <c r="B4" s="4">
        <f>IF(ISNUMBER(debt_original!B4),debt_original!B4/100000000,debt_original!B4)</f>
        <v>132.51817199999999</v>
      </c>
      <c r="C4" s="4">
        <f>IF(ISNUMBER(debt_original!C4),debt_original!C4/100000000,debt_original!C4)</f>
        <v>1120.747914</v>
      </c>
      <c r="D4" s="4">
        <f>IF(ISNUMBER(debt_original!D4),debt_original!D4/100000000,debt_original!D4)</f>
        <v>878.68869900000004</v>
      </c>
      <c r="E4" s="4">
        <f>IF(ISNUMBER(debt_original!E4),debt_original!E4/100000000,debt_original!E4)</f>
        <v>668.549621</v>
      </c>
      <c r="F4" s="4">
        <f>IF(ISNUMBER(debt_original!F4),debt_original!F4/100000000,debt_original!F4)</f>
        <v>368.007499</v>
      </c>
      <c r="G4" s="4">
        <f>IF(ISNUMBER(debt_original!G4),debt_original!G4/100000000,debt_original!G4)</f>
        <v>277.10717699999998</v>
      </c>
      <c r="H4" s="4">
        <f>IF(ISNUMBER(debt_original!H4),debt_original!H4/100000000,debt_original!H4)</f>
        <v>251.85009299999999</v>
      </c>
      <c r="I4" s="4">
        <f>IF(ISNUMBER(debt_original!I4),debt_original!I4/100000000,debt_original!I4)</f>
        <v>220.61999900000001</v>
      </c>
      <c r="J4" s="4">
        <f>IF(ISNUMBER(debt_original!J4),debt_original!J4/100000000,debt_original!J4)</f>
        <v>182.54690199999999</v>
      </c>
      <c r="K4" s="4">
        <f>IF(ISNUMBER(debt_original!K4),debt_original!K4/100000000,debt_original!K4)</f>
        <v>128.883939</v>
      </c>
      <c r="L4" s="4">
        <f>IF(ISNUMBER(debt_original!L4),debt_original!L4/100000000,debt_original!L4)</f>
        <v>97.431522000000001</v>
      </c>
      <c r="M4" s="4">
        <f>IF(ISNUMBER(debt_original!M4),debt_original!M4/100000000,debt_original!M4)</f>
        <v>80.937218999999999</v>
      </c>
      <c r="N4" s="4">
        <f>IF(ISNUMBER(debt_original!N4),debt_original!N4/100000000,debt_original!N4)</f>
        <v>47.227063000000001</v>
      </c>
      <c r="O4" s="3">
        <v>4474221100</v>
      </c>
      <c r="P4" s="3">
        <v>3891989400</v>
      </c>
      <c r="Q4" s="3">
        <v>2898327400</v>
      </c>
      <c r="R4" s="3">
        <v>2340047400</v>
      </c>
      <c r="S4" s="3">
        <v>1780307700</v>
      </c>
      <c r="T4" s="3">
        <v>1956436600</v>
      </c>
      <c r="U4" s="3">
        <v>460983600</v>
      </c>
      <c r="V4" s="3">
        <v>198390600</v>
      </c>
      <c r="W4" s="3">
        <v>124765400</v>
      </c>
    </row>
    <row r="5" spans="1:23" x14ac:dyDescent="0.25">
      <c r="A5" s="3" t="s">
        <v>220</v>
      </c>
      <c r="B5" s="4">
        <f>IF(ISNUMBER(debt_original!B5),debt_original!B5/100000000,debt_original!B5)</f>
        <v>1173.778106</v>
      </c>
      <c r="C5" s="4" t="str">
        <f>IF(ISNUMBER(debt_original!C5),debt_original!C5/100000000,debt_original!C5)</f>
        <v>--</v>
      </c>
      <c r="D5" s="4" t="str">
        <f>IF(ISNUMBER(debt_original!D5),debt_original!D5/100000000,debt_original!D5)</f>
        <v>--</v>
      </c>
      <c r="E5" s="4">
        <f>IF(ISNUMBER(debt_original!E5),debt_original!E5/100000000,debt_original!E5)</f>
        <v>3.9</v>
      </c>
      <c r="F5" s="4" t="str">
        <f>IF(ISNUMBER(debt_original!F5),debt_original!F5/100000000,debt_original!F5)</f>
        <v>--</v>
      </c>
      <c r="G5" s="4" t="str">
        <f>IF(ISNUMBER(debt_original!G5),debt_original!G5/100000000,debt_original!G5)</f>
        <v>--</v>
      </c>
      <c r="H5" s="4" t="str">
        <f>IF(ISNUMBER(debt_original!H5),debt_original!H5/100000000,debt_original!H5)</f>
        <v>--</v>
      </c>
      <c r="I5" s="4" t="str">
        <f>IF(ISNUMBER(debt_original!I5),debt_original!I5/100000000,debt_original!I5)</f>
        <v>--</v>
      </c>
      <c r="J5" s="4" t="str">
        <f>IF(ISNUMBER(debt_original!J5),debt_original!J5/100000000,debt_original!J5)</f>
        <v>--</v>
      </c>
      <c r="K5" s="4" t="str">
        <f>IF(ISNUMBER(debt_original!K5),debt_original!K5/100000000,debt_original!K5)</f>
        <v>--</v>
      </c>
      <c r="L5" s="4" t="str">
        <f>IF(ISNUMBER(debt_original!L5),debt_original!L5/100000000,debt_original!L5)</f>
        <v>--</v>
      </c>
      <c r="M5" s="4" t="str">
        <f>IF(ISNUMBER(debt_original!M5),debt_original!M5/100000000,debt_original!M5)</f>
        <v>--</v>
      </c>
      <c r="N5" s="4" t="str">
        <f>IF(ISNUMBER(debt_original!N5),debt_original!N5/100000000,debt_original!N5)</f>
        <v>--</v>
      </c>
      <c r="O5" s="3" t="s">
        <v>133</v>
      </c>
      <c r="P5" s="3" t="s">
        <v>133</v>
      </c>
      <c r="Q5" s="3" t="s">
        <v>133</v>
      </c>
      <c r="R5" s="3" t="s">
        <v>133</v>
      </c>
      <c r="S5" s="3" t="s">
        <v>133</v>
      </c>
      <c r="T5" s="3" t="s">
        <v>133</v>
      </c>
      <c r="U5" s="3" t="s">
        <v>133</v>
      </c>
      <c r="V5" s="3" t="s">
        <v>133</v>
      </c>
      <c r="W5" s="3" t="s">
        <v>133</v>
      </c>
    </row>
    <row r="6" spans="1:23" x14ac:dyDescent="0.25">
      <c r="A6" s="3" t="s">
        <v>221</v>
      </c>
      <c r="B6" s="4" t="str">
        <f>IF(ISNUMBER(debt_original!B6),debt_original!B6/100000000,debt_original!B6)</f>
        <v>--</v>
      </c>
      <c r="C6" s="4" t="str">
        <f>IF(ISNUMBER(debt_original!C6),debt_original!C6/100000000,debt_original!C6)</f>
        <v>--</v>
      </c>
      <c r="D6" s="4" t="str">
        <f>IF(ISNUMBER(debt_original!D6),debt_original!D6/100000000,debt_original!D6)</f>
        <v>--</v>
      </c>
      <c r="E6" s="4" t="str">
        <f>IF(ISNUMBER(debt_original!E6),debt_original!E6/100000000,debt_original!E6)</f>
        <v>--</v>
      </c>
      <c r="F6" s="4" t="str">
        <f>IF(ISNUMBER(debt_original!F6),debt_original!F6/100000000,debt_original!F6)</f>
        <v>--</v>
      </c>
      <c r="G6" s="4" t="str">
        <f>IF(ISNUMBER(debt_original!G6),debt_original!G6/100000000,debt_original!G6)</f>
        <v>--</v>
      </c>
      <c r="H6" s="4" t="str">
        <f>IF(ISNUMBER(debt_original!H6),debt_original!H6/100000000,debt_original!H6)</f>
        <v>--</v>
      </c>
      <c r="I6" s="4" t="str">
        <f>IF(ISNUMBER(debt_original!I6),debt_original!I6/100000000,debt_original!I6)</f>
        <v>--</v>
      </c>
      <c r="J6" s="4" t="str">
        <f>IF(ISNUMBER(debt_original!J6),debt_original!J6/100000000,debt_original!J6)</f>
        <v>--</v>
      </c>
      <c r="K6" s="4" t="str">
        <f>IF(ISNUMBER(debt_original!K6),debt_original!K6/100000000,debt_original!K6)</f>
        <v>--</v>
      </c>
      <c r="L6" s="4" t="str">
        <f>IF(ISNUMBER(debt_original!L6),debt_original!L6/100000000,debt_original!L6)</f>
        <v>--</v>
      </c>
      <c r="M6" s="4" t="str">
        <f>IF(ISNUMBER(debt_original!M6),debt_original!M6/100000000,debt_original!M6)</f>
        <v>--</v>
      </c>
      <c r="N6" s="4" t="str">
        <f>IF(ISNUMBER(debt_original!N6),debt_original!N6/100000000,debt_original!N6)</f>
        <v>--</v>
      </c>
      <c r="O6" s="3" t="s">
        <v>133</v>
      </c>
      <c r="P6" s="3" t="s">
        <v>133</v>
      </c>
      <c r="Q6" s="3" t="s">
        <v>133</v>
      </c>
      <c r="R6" s="3" t="s">
        <v>133</v>
      </c>
      <c r="S6" s="3" t="s">
        <v>133</v>
      </c>
      <c r="T6" s="3" t="s">
        <v>133</v>
      </c>
      <c r="U6" s="3" t="s">
        <v>133</v>
      </c>
      <c r="V6" s="3" t="s">
        <v>133</v>
      </c>
      <c r="W6" s="3" t="s">
        <v>133</v>
      </c>
    </row>
    <row r="7" spans="1:23" x14ac:dyDescent="0.25">
      <c r="A7" s="3" t="s">
        <v>222</v>
      </c>
      <c r="B7" s="4">
        <f>IF(ISNUMBER(debt_original!B7),debt_original!B7/100000000,debt_original!B7)</f>
        <v>14.630006</v>
      </c>
      <c r="C7" s="4">
        <f>IF(ISNUMBER(debt_original!C7),debt_original!C7/100000000,debt_original!C7)</f>
        <v>5.637397</v>
      </c>
      <c r="D7" s="4">
        <f>IF(ISNUMBER(debt_original!D7),debt_original!D7/100000000,debt_original!D7)</f>
        <v>12.21706</v>
      </c>
      <c r="E7" s="4">
        <f>IF(ISNUMBER(debt_original!E7),debt_original!E7/100000000,debt_original!E7)</f>
        <v>8.1762720000000009</v>
      </c>
      <c r="F7" s="4">
        <f>IF(ISNUMBER(debt_original!F7),debt_original!F7/100000000,debt_original!F7)</f>
        <v>85.791662000000002</v>
      </c>
      <c r="G7" s="4">
        <f>IF(ISNUMBER(debt_original!G7),debt_original!G7/100000000,debt_original!G7)</f>
        <v>18.521447999999999</v>
      </c>
      <c r="H7" s="4">
        <f>IF(ISNUMBER(debt_original!H7),debt_original!H7/100000000,debt_original!H7)</f>
        <v>2.9701119999999999</v>
      </c>
      <c r="I7" s="4">
        <f>IF(ISNUMBER(debt_original!I7),debt_original!I7/100000000,debt_original!I7)</f>
        <v>2.2189730000000001</v>
      </c>
      <c r="J7" s="4">
        <f>IF(ISNUMBER(debt_original!J7),debt_original!J7/100000000,debt_original!J7)</f>
        <v>2.5432679999999999</v>
      </c>
      <c r="K7" s="4">
        <f>IF(ISNUMBER(debt_original!K7),debt_original!K7/100000000,debt_original!K7)</f>
        <v>2.060657</v>
      </c>
      <c r="L7" s="4">
        <f>IF(ISNUMBER(debt_original!L7),debt_original!L7/100000000,debt_original!L7)</f>
        <v>4.0214660000000002</v>
      </c>
      <c r="M7" s="4">
        <f>IF(ISNUMBER(debt_original!M7),debt_original!M7/100000000,debt_original!M7)</f>
        <v>2.0543770000000001</v>
      </c>
      <c r="N7" s="4">
        <f>IF(ISNUMBER(debt_original!N7),debt_original!N7/100000000,debt_original!N7)</f>
        <v>1.474534</v>
      </c>
      <c r="O7" s="3">
        <v>254000800</v>
      </c>
      <c r="P7" s="3">
        <v>203351200</v>
      </c>
      <c r="Q7" s="3">
        <v>146652300</v>
      </c>
      <c r="R7" s="3">
        <v>74026400</v>
      </c>
      <c r="S7" s="3">
        <v>79752500</v>
      </c>
      <c r="T7" s="3">
        <v>58440500</v>
      </c>
      <c r="U7" s="3">
        <v>50384800</v>
      </c>
      <c r="V7" s="3">
        <v>13412200</v>
      </c>
      <c r="W7" s="3" t="s">
        <v>133</v>
      </c>
    </row>
    <row r="8" spans="1:23" x14ac:dyDescent="0.25">
      <c r="A8" s="3" t="s">
        <v>223</v>
      </c>
      <c r="B8" s="4">
        <f>IF(ISNUMBER(debt_original!B8),debt_original!B8/100000000,debt_original!B8)</f>
        <v>14.630006</v>
      </c>
      <c r="C8" s="4">
        <f>IF(ISNUMBER(debt_original!C8),debt_original!C8/100000000,debt_original!C8)</f>
        <v>5.637397</v>
      </c>
      <c r="D8" s="4">
        <f>IF(ISNUMBER(debt_original!D8),debt_original!D8/100000000,debt_original!D8)</f>
        <v>12.21706</v>
      </c>
      <c r="E8" s="4">
        <f>IF(ISNUMBER(debt_original!E8),debt_original!E8/100000000,debt_original!E8)</f>
        <v>8.1762720000000009</v>
      </c>
      <c r="F8" s="4">
        <f>IF(ISNUMBER(debt_original!F8),debt_original!F8/100000000,debt_original!F8)</f>
        <v>85.789354000000003</v>
      </c>
      <c r="G8" s="4">
        <f>IF(ISNUMBER(debt_original!G8),debt_original!G8/100000000,debt_original!G8)</f>
        <v>18.478386</v>
      </c>
      <c r="H8" s="4">
        <f>IF(ISNUMBER(debt_original!H8),debt_original!H8/100000000,debt_original!H8)</f>
        <v>2.9608400000000001</v>
      </c>
      <c r="I8" s="4">
        <f>IF(ISNUMBER(debt_original!I8),debt_original!I8/100000000,debt_original!I8)</f>
        <v>2.040791</v>
      </c>
      <c r="J8" s="4">
        <f>IF(ISNUMBER(debt_original!J8),debt_original!J8/100000000,debt_original!J8)</f>
        <v>2.5210140000000001</v>
      </c>
      <c r="K8" s="4">
        <f>IF(ISNUMBER(debt_original!K8),debt_original!K8/100000000,debt_original!K8)</f>
        <v>2.048111</v>
      </c>
      <c r="L8" s="4">
        <f>IF(ISNUMBER(debt_original!L8),debt_original!L8/100000000,debt_original!L8)</f>
        <v>3.8076029999999998</v>
      </c>
      <c r="M8" s="4">
        <f>IF(ISNUMBER(debt_original!M8),debt_original!M8/100000000,debt_original!M8)</f>
        <v>1.706126</v>
      </c>
      <c r="N8" s="4">
        <f>IF(ISNUMBER(debt_original!N8),debt_original!N8/100000000,debt_original!N8)</f>
        <v>1.010462</v>
      </c>
      <c r="O8" s="3">
        <v>185653800</v>
      </c>
      <c r="P8" s="3">
        <v>159665200</v>
      </c>
      <c r="Q8" s="3">
        <v>115374900</v>
      </c>
      <c r="R8" s="3">
        <v>46540400</v>
      </c>
      <c r="S8" s="3">
        <v>37016800</v>
      </c>
      <c r="T8" s="3">
        <v>11740000</v>
      </c>
      <c r="U8" s="3">
        <v>2500000</v>
      </c>
      <c r="V8" s="3">
        <v>13412200</v>
      </c>
      <c r="W8" s="3" t="s">
        <v>133</v>
      </c>
    </row>
    <row r="9" spans="1:23" x14ac:dyDescent="0.25">
      <c r="A9" s="3" t="s">
        <v>224</v>
      </c>
      <c r="B9" s="4" t="str">
        <f>IF(ISNUMBER(debt_original!B9),debt_original!B9/100000000,debt_original!B9)</f>
        <v>--</v>
      </c>
      <c r="C9" s="4" t="str">
        <f>IF(ISNUMBER(debt_original!C9),debt_original!C9/100000000,debt_original!C9)</f>
        <v>--</v>
      </c>
      <c r="D9" s="4" t="str">
        <f>IF(ISNUMBER(debt_original!D9),debt_original!D9/100000000,debt_original!D9)</f>
        <v>--</v>
      </c>
      <c r="E9" s="4" t="str">
        <f>IF(ISNUMBER(debt_original!E9),debt_original!E9/100000000,debt_original!E9)</f>
        <v>--</v>
      </c>
      <c r="F9" s="4">
        <f>IF(ISNUMBER(debt_original!F9),debt_original!F9/100000000,debt_original!F9)</f>
        <v>2.3080000000000002E-3</v>
      </c>
      <c r="G9" s="4">
        <f>IF(ISNUMBER(debt_original!G9),debt_original!G9/100000000,debt_original!G9)</f>
        <v>4.3062000000000003E-2</v>
      </c>
      <c r="H9" s="4">
        <f>IF(ISNUMBER(debt_original!H9),debt_original!H9/100000000,debt_original!H9)</f>
        <v>9.2720000000000007E-3</v>
      </c>
      <c r="I9" s="4">
        <f>IF(ISNUMBER(debt_original!I9),debt_original!I9/100000000,debt_original!I9)</f>
        <v>0.17818100000000001</v>
      </c>
      <c r="J9" s="4">
        <f>IF(ISNUMBER(debt_original!J9),debt_original!J9/100000000,debt_original!J9)</f>
        <v>2.2253999999999999E-2</v>
      </c>
      <c r="K9" s="4">
        <f>IF(ISNUMBER(debt_original!K9),debt_original!K9/100000000,debt_original!K9)</f>
        <v>1.2546E-2</v>
      </c>
      <c r="L9" s="4">
        <f>IF(ISNUMBER(debt_original!L9),debt_original!L9/100000000,debt_original!L9)</f>
        <v>0.213863</v>
      </c>
      <c r="M9" s="4">
        <f>IF(ISNUMBER(debt_original!M9),debt_original!M9/100000000,debt_original!M9)</f>
        <v>0.34825099999999998</v>
      </c>
      <c r="N9" s="4">
        <f>IF(ISNUMBER(debt_original!N9),debt_original!N9/100000000,debt_original!N9)</f>
        <v>0.46407199999999998</v>
      </c>
      <c r="O9" s="3">
        <v>68347000</v>
      </c>
      <c r="P9" s="3">
        <v>43686000</v>
      </c>
      <c r="Q9" s="3">
        <v>31277400</v>
      </c>
      <c r="R9" s="3">
        <v>27486100</v>
      </c>
      <c r="S9" s="3">
        <v>42735800</v>
      </c>
      <c r="T9" s="3">
        <v>46700500</v>
      </c>
      <c r="U9" s="3">
        <v>47884800</v>
      </c>
      <c r="V9" s="3" t="s">
        <v>133</v>
      </c>
      <c r="W9" s="3" t="s">
        <v>133</v>
      </c>
    </row>
    <row r="10" spans="1:23" x14ac:dyDescent="0.25">
      <c r="A10" s="3" t="s">
        <v>225</v>
      </c>
      <c r="B10" s="4">
        <f>IF(ISNUMBER(debt_original!B10),debt_original!B10/100000000,debt_original!B10)</f>
        <v>15.494773</v>
      </c>
      <c r="C10" s="4">
        <f>IF(ISNUMBER(debt_original!C10),debt_original!C10/100000000,debt_original!C10)</f>
        <v>11.823785000000001</v>
      </c>
      <c r="D10" s="4">
        <f>IF(ISNUMBER(debt_original!D10),debt_original!D10/100000000,debt_original!D10)</f>
        <v>7.9080729999999999</v>
      </c>
      <c r="E10" s="4">
        <f>IF(ISNUMBER(debt_original!E10),debt_original!E10/100000000,debt_original!E10)</f>
        <v>10.461007</v>
      </c>
      <c r="F10" s="4">
        <f>IF(ISNUMBER(debt_original!F10),debt_original!F10/100000000,debt_original!F10)</f>
        <v>14.777348999999999</v>
      </c>
      <c r="G10" s="4">
        <f>IF(ISNUMBER(debt_original!G10),debt_original!G10/100000000,debt_original!G10)</f>
        <v>28.642104</v>
      </c>
      <c r="H10" s="4">
        <f>IF(ISNUMBER(debt_original!H10),debt_original!H10/100000000,debt_original!H10)</f>
        <v>43.045793000000003</v>
      </c>
      <c r="I10" s="4">
        <f>IF(ISNUMBER(debt_original!I10),debt_original!I10/100000000,debt_original!I10)</f>
        <v>38.728704</v>
      </c>
      <c r="J10" s="4">
        <f>IF(ISNUMBER(debt_original!J10),debt_original!J10/100000000,debt_original!J10)</f>
        <v>18.610274</v>
      </c>
      <c r="K10" s="4">
        <f>IF(ISNUMBER(debt_original!K10),debt_original!K10/100000000,debt_original!K10)</f>
        <v>15.298688</v>
      </c>
      <c r="L10" s="4">
        <f>IF(ISNUMBER(debt_original!L10),debt_original!L10/100000000,debt_original!L10)</f>
        <v>12.031261000000001</v>
      </c>
      <c r="M10" s="4">
        <f>IF(ISNUMBER(debt_original!M10),debt_original!M10/100000000,debt_original!M10)</f>
        <v>7.416385</v>
      </c>
      <c r="N10" s="4">
        <f>IF(ISNUMBER(debt_original!N10),debt_original!N10/100000000,debt_original!N10)</f>
        <v>6.3976230000000003</v>
      </c>
      <c r="O10" s="3">
        <v>3144600</v>
      </c>
      <c r="P10" s="3">
        <v>12385900</v>
      </c>
      <c r="Q10" s="3">
        <v>4744600</v>
      </c>
      <c r="R10" s="3">
        <v>6176800</v>
      </c>
      <c r="S10" s="3">
        <v>6120100</v>
      </c>
      <c r="T10" s="3">
        <v>3011800</v>
      </c>
      <c r="U10" s="3">
        <v>15247100</v>
      </c>
      <c r="V10" s="3">
        <v>8745500</v>
      </c>
      <c r="W10" s="3">
        <v>10516900</v>
      </c>
    </row>
    <row r="11" spans="1:23" x14ac:dyDescent="0.25">
      <c r="A11" s="3" t="s">
        <v>226</v>
      </c>
      <c r="B11" s="4">
        <f>IF(ISNUMBER(debt_original!B11),debt_original!B11/100000000,debt_original!B11)</f>
        <v>0.765405</v>
      </c>
      <c r="C11" s="4">
        <f>IF(ISNUMBER(debt_original!C11),debt_original!C11/100000000,debt_original!C11)</f>
        <v>3.9389050000000001</v>
      </c>
      <c r="D11" s="4">
        <f>IF(ISNUMBER(debt_original!D11),debt_original!D11/100000000,debt_original!D11)</f>
        <v>2.7278210000000001</v>
      </c>
      <c r="E11" s="4">
        <f>IF(ISNUMBER(debt_original!E11),debt_original!E11/100000000,debt_original!E11)</f>
        <v>2.181324</v>
      </c>
      <c r="F11" s="4">
        <f>IF(ISNUMBER(debt_original!F11),debt_original!F11/100000000,debt_original!F11)</f>
        <v>1.335661</v>
      </c>
      <c r="G11" s="4">
        <f>IF(ISNUMBER(debt_original!G11),debt_original!G11/100000000,debt_original!G11)</f>
        <v>1.6149180000000001</v>
      </c>
      <c r="H11" s="4">
        <f>IF(ISNUMBER(debt_original!H11),debt_original!H11/100000000,debt_original!H11)</f>
        <v>3.0817329999999998</v>
      </c>
      <c r="I11" s="4">
        <f>IF(ISNUMBER(debt_original!I11),debt_original!I11/100000000,debt_original!I11)</f>
        <v>4.0258149999999997</v>
      </c>
      <c r="J11" s="4">
        <f>IF(ISNUMBER(debt_original!J11),debt_original!J11/100000000,debt_original!J11)</f>
        <v>2.7247020000000002</v>
      </c>
      <c r="K11" s="4">
        <f>IF(ISNUMBER(debt_original!K11),debt_original!K11/100000000,debt_original!K11)</f>
        <v>1.018303</v>
      </c>
      <c r="L11" s="4">
        <f>IF(ISNUMBER(debt_original!L11),debt_original!L11/100000000,debt_original!L11)</f>
        <v>0.97914100000000004</v>
      </c>
      <c r="M11" s="4">
        <f>IF(ISNUMBER(debt_original!M11),debt_original!M11/100000000,debt_original!M11)</f>
        <v>0.85384899999999997</v>
      </c>
      <c r="N11" s="4">
        <f>IF(ISNUMBER(debt_original!N11),debt_original!N11/100000000,debt_original!N11)</f>
        <v>0.89698699999999998</v>
      </c>
      <c r="O11" s="3">
        <v>56676000</v>
      </c>
      <c r="P11" s="3">
        <v>51244100</v>
      </c>
      <c r="Q11" s="3">
        <v>29173000</v>
      </c>
      <c r="R11" s="3">
        <v>119865800</v>
      </c>
      <c r="S11" s="3">
        <v>45195700</v>
      </c>
      <c r="T11" s="3">
        <v>33320700</v>
      </c>
      <c r="U11" s="3">
        <v>9792300</v>
      </c>
      <c r="V11" s="3" t="s">
        <v>133</v>
      </c>
      <c r="W11" s="3" t="s">
        <v>133</v>
      </c>
    </row>
    <row r="12" spans="1:23" x14ac:dyDescent="0.25">
      <c r="A12" s="3" t="s">
        <v>227</v>
      </c>
      <c r="B12" s="4" t="str">
        <f>IF(ISNUMBER(debt_original!B12),debt_original!B12/100000000,debt_original!B12)</f>
        <v>--</v>
      </c>
      <c r="C12" s="4">
        <f>IF(ISNUMBER(debt_original!C12),debt_original!C12/100000000,debt_original!C12)</f>
        <v>3.4388990000000002</v>
      </c>
      <c r="D12" s="4">
        <f>IF(ISNUMBER(debt_original!D12),debt_original!D12/100000000,debt_original!D12)</f>
        <v>2.4145859999999999</v>
      </c>
      <c r="E12" s="4">
        <f>IF(ISNUMBER(debt_original!E12),debt_original!E12/100000000,debt_original!E12)</f>
        <v>1.409049</v>
      </c>
      <c r="F12" s="4">
        <f>IF(ISNUMBER(debt_original!F12),debt_original!F12/100000000,debt_original!F12)</f>
        <v>0.85347099999999998</v>
      </c>
      <c r="G12" s="4">
        <f>IF(ISNUMBER(debt_original!G12),debt_original!G12/100000000,debt_original!G12)</f>
        <v>0.806029</v>
      </c>
      <c r="H12" s="4">
        <f>IF(ISNUMBER(debt_original!H12),debt_original!H12/100000000,debt_original!H12)</f>
        <v>1.885991</v>
      </c>
      <c r="I12" s="4">
        <f>IF(ISNUMBER(debt_original!I12),debt_original!I12/100000000,debt_original!I12)</f>
        <v>2.646128</v>
      </c>
      <c r="J12" s="4">
        <f>IF(ISNUMBER(debt_original!J12),debt_original!J12/100000000,debt_original!J12)</f>
        <v>2.2518280000000002</v>
      </c>
      <c r="K12" s="4">
        <f>IF(ISNUMBER(debt_original!K12),debt_original!K12/100000000,debt_original!K12)</f>
        <v>0.427284</v>
      </c>
      <c r="L12" s="4">
        <f>IF(ISNUMBER(debt_original!L12),debt_original!L12/100000000,debt_original!L12)</f>
        <v>1.9126000000000001E-2</v>
      </c>
      <c r="M12" s="4">
        <f>IF(ISNUMBER(debt_original!M12),debt_original!M12/100000000,debt_original!M12)</f>
        <v>2.7836E-2</v>
      </c>
      <c r="N12" s="4">
        <f>IF(ISNUMBER(debt_original!N12),debt_original!N12/100000000,debt_original!N12)</f>
        <v>3.5844000000000001E-2</v>
      </c>
      <c r="O12" s="3" t="s">
        <v>133</v>
      </c>
      <c r="P12" s="3" t="s">
        <v>133</v>
      </c>
      <c r="Q12" s="3" t="s">
        <v>133</v>
      </c>
      <c r="R12" s="3" t="s">
        <v>133</v>
      </c>
      <c r="S12" s="3" t="s">
        <v>133</v>
      </c>
      <c r="T12" s="3" t="s">
        <v>133</v>
      </c>
      <c r="U12" s="3" t="s">
        <v>133</v>
      </c>
      <c r="V12" s="3" t="s">
        <v>133</v>
      </c>
      <c r="W12" s="3" t="s">
        <v>133</v>
      </c>
    </row>
    <row r="13" spans="1:23" x14ac:dyDescent="0.25">
      <c r="A13" s="3" t="s">
        <v>228</v>
      </c>
      <c r="B13" s="4" t="str">
        <f>IF(ISNUMBER(debt_original!B13),debt_original!B13/100000000,debt_original!B13)</f>
        <v>--</v>
      </c>
      <c r="C13" s="4" t="str">
        <f>IF(ISNUMBER(debt_original!C13),debt_original!C13/100000000,debt_original!C13)</f>
        <v>--</v>
      </c>
      <c r="D13" s="4">
        <f>IF(ISNUMBER(debt_original!D13),debt_original!D13/100000000,debt_original!D13)</f>
        <v>0.31323499999999999</v>
      </c>
      <c r="E13" s="4">
        <f>IF(ISNUMBER(debt_original!E13),debt_original!E13/100000000,debt_original!E13)</f>
        <v>0.77227599999999996</v>
      </c>
      <c r="F13" s="4">
        <f>IF(ISNUMBER(debt_original!F13),debt_original!F13/100000000,debt_original!F13)</f>
        <v>0.48219000000000001</v>
      </c>
      <c r="G13" s="4">
        <f>IF(ISNUMBER(debt_original!G13),debt_original!G13/100000000,debt_original!G13)</f>
        <v>0.80888899999999997</v>
      </c>
      <c r="H13" s="4">
        <f>IF(ISNUMBER(debt_original!H13),debt_original!H13/100000000,debt_original!H13)</f>
        <v>1.1957420000000001</v>
      </c>
      <c r="I13" s="4">
        <f>IF(ISNUMBER(debt_original!I13),debt_original!I13/100000000,debt_original!I13)</f>
        <v>1.3796870000000001</v>
      </c>
      <c r="J13" s="4">
        <f>IF(ISNUMBER(debt_original!J13),debt_original!J13/100000000,debt_original!J13)</f>
        <v>0.47287499999999999</v>
      </c>
      <c r="K13" s="4">
        <f>IF(ISNUMBER(debt_original!K13),debt_original!K13/100000000,debt_original!K13)</f>
        <v>0.59101899999999996</v>
      </c>
      <c r="L13" s="4">
        <f>IF(ISNUMBER(debt_original!L13),debt_original!L13/100000000,debt_original!L13)</f>
        <v>0.96001499999999995</v>
      </c>
      <c r="M13" s="4">
        <f>IF(ISNUMBER(debt_original!M13),debt_original!M13/100000000,debt_original!M13)</f>
        <v>0.82601400000000003</v>
      </c>
      <c r="N13" s="4">
        <f>IF(ISNUMBER(debt_original!N13),debt_original!N13/100000000,debt_original!N13)</f>
        <v>0.86114299999999999</v>
      </c>
      <c r="O13" s="3">
        <v>56676000</v>
      </c>
      <c r="P13" s="3">
        <v>51244100</v>
      </c>
      <c r="Q13" s="3">
        <v>29173000</v>
      </c>
      <c r="R13" s="3">
        <v>119865800</v>
      </c>
      <c r="S13" s="3">
        <v>45195700</v>
      </c>
      <c r="T13" s="3">
        <v>33320700</v>
      </c>
      <c r="U13" s="3">
        <v>9792300</v>
      </c>
      <c r="V13" s="3" t="s">
        <v>133</v>
      </c>
      <c r="W13" s="3" t="s">
        <v>133</v>
      </c>
    </row>
    <row r="14" spans="1:23" x14ac:dyDescent="0.25">
      <c r="A14" s="3" t="s">
        <v>229</v>
      </c>
      <c r="B14" s="4">
        <f>IF(ISNUMBER(debt_original!B14),debt_original!B14/100000000,debt_original!B14)</f>
        <v>252.849208</v>
      </c>
      <c r="C14" s="4">
        <f>IF(ISNUMBER(debt_original!C14),debt_original!C14/100000000,debt_original!C14)</f>
        <v>235.06950800000001</v>
      </c>
      <c r="D14" s="4">
        <f>IF(ISNUMBER(debt_original!D14),debt_original!D14/100000000,debt_original!D14)</f>
        <v>220.574814</v>
      </c>
      <c r="E14" s="4">
        <f>IF(ISNUMBER(debt_original!E14),debt_original!E14/100000000,debt_original!E14)</f>
        <v>206.22251800000001</v>
      </c>
      <c r="F14" s="4">
        <f>IF(ISNUMBER(debt_original!F14),debt_original!F14/100000000,debt_original!F14)</f>
        <v>180.13297</v>
      </c>
      <c r="G14" s="4">
        <f>IF(ISNUMBER(debt_original!G14),debt_original!G14/100000000,debt_original!G14)</f>
        <v>149.823644</v>
      </c>
      <c r="H14" s="4">
        <f>IF(ISNUMBER(debt_original!H14),debt_original!H14/100000000,debt_original!H14)</f>
        <v>118.36810199999999</v>
      </c>
      <c r="I14" s="4">
        <f>IF(ISNUMBER(debt_original!I14),debt_original!I14/100000000,debt_original!I14)</f>
        <v>96.657275999999996</v>
      </c>
      <c r="J14" s="4">
        <f>IF(ISNUMBER(debt_original!J14),debt_original!J14/100000000,debt_original!J14)</f>
        <v>71.871176000000006</v>
      </c>
      <c r="K14" s="4">
        <f>IF(ISNUMBER(debt_original!K14),debt_original!K14/100000000,debt_original!K14)</f>
        <v>55.741261000000002</v>
      </c>
      <c r="L14" s="4">
        <f>IF(ISNUMBER(debt_original!L14),debt_original!L14/100000000,debt_original!L14)</f>
        <v>41.922463999999998</v>
      </c>
      <c r="M14" s="4">
        <f>IF(ISNUMBER(debt_original!M14),debt_original!M14/100000000,debt_original!M14)</f>
        <v>31.145678</v>
      </c>
      <c r="N14" s="4">
        <f>IF(ISNUMBER(debt_original!N14),debt_original!N14/100000000,debt_original!N14)</f>
        <v>23.048189000000001</v>
      </c>
      <c r="O14" s="3">
        <v>1980903100</v>
      </c>
      <c r="P14" s="3">
        <v>1860549600</v>
      </c>
      <c r="Q14" s="3">
        <v>1693741200</v>
      </c>
      <c r="R14" s="3">
        <v>1215006600</v>
      </c>
      <c r="S14" s="3">
        <v>1076612600</v>
      </c>
      <c r="T14" s="3">
        <v>786368800</v>
      </c>
      <c r="U14" s="3">
        <v>512332800</v>
      </c>
      <c r="V14" s="3">
        <v>423401100</v>
      </c>
      <c r="W14" s="3">
        <v>316665900</v>
      </c>
    </row>
    <row r="15" spans="1:23" x14ac:dyDescent="0.25">
      <c r="A15" s="3" t="s">
        <v>230</v>
      </c>
      <c r="B15" s="4" t="str">
        <f>IF(ISNUMBER(debt_original!B15),debt_original!B15/100000000,debt_original!B15)</f>
        <v>--</v>
      </c>
      <c r="C15" s="4" t="str">
        <f>IF(ISNUMBER(debt_original!C15),debt_original!C15/100000000,debt_original!C15)</f>
        <v>--</v>
      </c>
      <c r="D15" s="4" t="str">
        <f>IF(ISNUMBER(debt_original!D15),debt_original!D15/100000000,debt_original!D15)</f>
        <v>--</v>
      </c>
      <c r="E15" s="4" t="str">
        <f>IF(ISNUMBER(debt_original!E15),debt_original!E15/100000000,debt_original!E15)</f>
        <v>--</v>
      </c>
      <c r="F15" s="4" t="str">
        <f>IF(ISNUMBER(debt_original!F15),debt_original!F15/100000000,debt_original!F15)</f>
        <v>--</v>
      </c>
      <c r="G15" s="4" t="str">
        <f>IF(ISNUMBER(debt_original!G15),debt_original!G15/100000000,debt_original!G15)</f>
        <v>--</v>
      </c>
      <c r="H15" s="4" t="str">
        <f>IF(ISNUMBER(debt_original!H15),debt_original!H15/100000000,debt_original!H15)</f>
        <v>--</v>
      </c>
      <c r="I15" s="4" t="str">
        <f>IF(ISNUMBER(debt_original!I15),debt_original!I15/100000000,debt_original!I15)</f>
        <v>--</v>
      </c>
      <c r="J15" s="4" t="str">
        <f>IF(ISNUMBER(debt_original!J15),debt_original!J15/100000000,debt_original!J15)</f>
        <v>--</v>
      </c>
      <c r="K15" s="4" t="str">
        <f>IF(ISNUMBER(debt_original!K15),debt_original!K15/100000000,debt_original!K15)</f>
        <v>--</v>
      </c>
      <c r="L15" s="4">
        <f>IF(ISNUMBER(debt_original!L15),debt_original!L15/100000000,debt_original!L15)</f>
        <v>0.17</v>
      </c>
      <c r="M15" s="4" t="str">
        <f>IF(ISNUMBER(debt_original!M15),debt_original!M15/100000000,debt_original!M15)</f>
        <v>--</v>
      </c>
      <c r="N15" s="4" t="str">
        <f>IF(ISNUMBER(debt_original!N15),debt_original!N15/100000000,debt_original!N15)</f>
        <v>--</v>
      </c>
      <c r="O15" s="3" t="s">
        <v>133</v>
      </c>
      <c r="P15" s="3" t="s">
        <v>133</v>
      </c>
      <c r="Q15" s="3" t="s">
        <v>133</v>
      </c>
      <c r="R15" s="3" t="s">
        <v>133</v>
      </c>
      <c r="S15" s="3" t="s">
        <v>133</v>
      </c>
      <c r="T15" s="3" t="s">
        <v>133</v>
      </c>
      <c r="U15" s="3" t="s">
        <v>133</v>
      </c>
      <c r="V15" s="3" t="s">
        <v>133</v>
      </c>
      <c r="W15" s="3" t="s">
        <v>133</v>
      </c>
    </row>
    <row r="16" spans="1:23" x14ac:dyDescent="0.25">
      <c r="A16" s="3" t="s">
        <v>231</v>
      </c>
      <c r="B16" s="4">
        <f>IF(ISNUMBER(debt_original!B16),debt_original!B16/100000000,debt_original!B16)</f>
        <v>0.20904900000000001</v>
      </c>
      <c r="C16" s="4">
        <f>IF(ISNUMBER(debt_original!C16),debt_original!C16/100000000,debt_original!C16)</f>
        <v>1.4008430000000001</v>
      </c>
      <c r="D16" s="4">
        <f>IF(ISNUMBER(debt_original!D16),debt_original!D16/100000000,debt_original!D16)</f>
        <v>0.375392</v>
      </c>
      <c r="E16" s="4">
        <f>IF(ISNUMBER(debt_original!E16),debt_original!E16/100000000,debt_original!E16)</f>
        <v>2.314746</v>
      </c>
      <c r="F16" s="4" t="str">
        <f>IF(ISNUMBER(debt_original!F16),debt_original!F16/100000000,debt_original!F16)</f>
        <v>--</v>
      </c>
      <c r="G16" s="4" t="str">
        <f>IF(ISNUMBER(debt_original!G16),debt_original!G16/100000000,debt_original!G16)</f>
        <v>--</v>
      </c>
      <c r="H16" s="4" t="str">
        <f>IF(ISNUMBER(debt_original!H16),debt_original!H16/100000000,debt_original!H16)</f>
        <v>--</v>
      </c>
      <c r="I16" s="4" t="str">
        <f>IF(ISNUMBER(debt_original!I16),debt_original!I16/100000000,debt_original!I16)</f>
        <v>--</v>
      </c>
      <c r="J16" s="4" t="str">
        <f>IF(ISNUMBER(debt_original!J16),debt_original!J16/100000000,debt_original!J16)</f>
        <v>--</v>
      </c>
      <c r="K16" s="4" t="str">
        <f>IF(ISNUMBER(debt_original!K16),debt_original!K16/100000000,debt_original!K16)</f>
        <v>--</v>
      </c>
      <c r="L16" s="4" t="str">
        <f>IF(ISNUMBER(debt_original!L16),debt_original!L16/100000000,debt_original!L16)</f>
        <v>--</v>
      </c>
      <c r="M16" s="4" t="str">
        <f>IF(ISNUMBER(debt_original!M16),debt_original!M16/100000000,debt_original!M16)</f>
        <v>--</v>
      </c>
      <c r="N16" s="4" t="str">
        <f>IF(ISNUMBER(debt_original!N16),debt_original!N16/100000000,debt_original!N16)</f>
        <v>--</v>
      </c>
      <c r="O16" s="3" t="s">
        <v>133</v>
      </c>
      <c r="P16" s="3" t="s">
        <v>133</v>
      </c>
      <c r="Q16" s="3" t="s">
        <v>133</v>
      </c>
      <c r="R16" s="3" t="s">
        <v>133</v>
      </c>
      <c r="S16" s="3" t="s">
        <v>133</v>
      </c>
      <c r="T16" s="3" t="s">
        <v>133</v>
      </c>
      <c r="U16" s="3" t="s">
        <v>133</v>
      </c>
      <c r="V16" s="3" t="s">
        <v>133</v>
      </c>
      <c r="W16" s="3" t="s">
        <v>133</v>
      </c>
    </row>
    <row r="17" spans="1:23" x14ac:dyDescent="0.25">
      <c r="A17" s="3" t="s">
        <v>232</v>
      </c>
      <c r="B17" s="4" t="str">
        <f>IF(ISNUMBER(debt_original!B17),debt_original!B17/100000000,debt_original!B17)</f>
        <v>--</v>
      </c>
      <c r="C17" s="4" t="str">
        <f>IF(ISNUMBER(debt_original!C17),debt_original!C17/100000000,debt_original!C17)</f>
        <v>--</v>
      </c>
      <c r="D17" s="4" t="str">
        <f>IF(ISNUMBER(debt_original!D17),debt_original!D17/100000000,debt_original!D17)</f>
        <v>--</v>
      </c>
      <c r="E17" s="4" t="str">
        <f>IF(ISNUMBER(debt_original!E17),debt_original!E17/100000000,debt_original!E17)</f>
        <v>--</v>
      </c>
      <c r="F17" s="4" t="str">
        <f>IF(ISNUMBER(debt_original!F17),debt_original!F17/100000000,debt_original!F17)</f>
        <v>--</v>
      </c>
      <c r="G17" s="4" t="str">
        <f>IF(ISNUMBER(debt_original!G17),debt_original!G17/100000000,debt_original!G17)</f>
        <v>--</v>
      </c>
      <c r="H17" s="4" t="str">
        <f>IF(ISNUMBER(debt_original!H17),debt_original!H17/100000000,debt_original!H17)</f>
        <v>--</v>
      </c>
      <c r="I17" s="4" t="str">
        <f>IF(ISNUMBER(debt_original!I17),debt_original!I17/100000000,debt_original!I17)</f>
        <v>--</v>
      </c>
      <c r="J17" s="4" t="str">
        <f>IF(ISNUMBER(debt_original!J17),debt_original!J17/100000000,debt_original!J17)</f>
        <v>--</v>
      </c>
      <c r="K17" s="4" t="str">
        <f>IF(ISNUMBER(debt_original!K17),debt_original!K17/100000000,debt_original!K17)</f>
        <v>--</v>
      </c>
      <c r="L17" s="4" t="str">
        <f>IF(ISNUMBER(debt_original!L17),debt_original!L17/100000000,debt_original!L17)</f>
        <v>--</v>
      </c>
      <c r="M17" s="4" t="str">
        <f>IF(ISNUMBER(debt_original!M17),debt_original!M17/100000000,debt_original!M17)</f>
        <v>--</v>
      </c>
      <c r="N17" s="4" t="str">
        <f>IF(ISNUMBER(debt_original!N17),debt_original!N17/100000000,debt_original!N17)</f>
        <v>--</v>
      </c>
      <c r="O17" s="3" t="s">
        <v>133</v>
      </c>
      <c r="P17" s="3" t="s">
        <v>133</v>
      </c>
      <c r="Q17" s="3" t="s">
        <v>133</v>
      </c>
      <c r="R17" s="3" t="s">
        <v>133</v>
      </c>
      <c r="S17" s="3" t="s">
        <v>133</v>
      </c>
      <c r="T17" s="3" t="s">
        <v>133</v>
      </c>
      <c r="U17" s="3" t="s">
        <v>133</v>
      </c>
      <c r="V17" s="3" t="s">
        <v>133</v>
      </c>
      <c r="W17" s="3" t="s">
        <v>133</v>
      </c>
    </row>
    <row r="18" spans="1:23" x14ac:dyDescent="0.25">
      <c r="A18" s="3" t="s">
        <v>24</v>
      </c>
      <c r="B18" s="4">
        <f>IF(ISNUMBER(debt_original!B18),debt_original!B18/100000000,debt_original!B18)</f>
        <v>1590.2447199999999</v>
      </c>
      <c r="C18" s="4">
        <f>IF(ISNUMBER(debt_original!C18),debt_original!C18/100000000,debt_original!C18)</f>
        <v>1378.6183530000001</v>
      </c>
      <c r="D18" s="4">
        <f>IF(ISNUMBER(debt_original!D18),debt_original!D18/100000000,debt_original!D18)</f>
        <v>1122.4918600000001</v>
      </c>
      <c r="E18" s="4">
        <f>IF(ISNUMBER(debt_original!E18),debt_original!E18/100000000,debt_original!E18)</f>
        <v>901.80548799999997</v>
      </c>
      <c r="F18" s="4">
        <f>IF(ISNUMBER(debt_original!F18),debt_original!F18/100000000,debt_original!F18)</f>
        <v>650.04513999999995</v>
      </c>
      <c r="G18" s="4">
        <f>IF(ISNUMBER(debt_original!G18),debt_original!G18/100000000,debt_original!G18)</f>
        <v>475.70929100000001</v>
      </c>
      <c r="H18" s="4">
        <f>IF(ISNUMBER(debt_original!H18),debt_original!H18/100000000,debt_original!H18)</f>
        <v>419.315834</v>
      </c>
      <c r="I18" s="4">
        <f>IF(ISNUMBER(debt_original!I18),debt_original!I18/100000000,debt_original!I18)</f>
        <v>362.250766</v>
      </c>
      <c r="J18" s="4">
        <f>IF(ISNUMBER(debt_original!J18),debt_original!J18/100000000,debt_original!J18)</f>
        <v>278.29632199999998</v>
      </c>
      <c r="K18" s="4">
        <f>IF(ISNUMBER(debt_original!K18),debt_original!K18/100000000,debt_original!K18)</f>
        <v>203.002848</v>
      </c>
      <c r="L18" s="4">
        <f>IF(ISNUMBER(debt_original!L18),debt_original!L18/100000000,debt_original!L18)</f>
        <v>156.55585400000001</v>
      </c>
      <c r="M18" s="4">
        <f>IF(ISNUMBER(debt_original!M18),debt_original!M18/100000000,debt_original!M18)</f>
        <v>122.407509</v>
      </c>
      <c r="N18" s="4">
        <f>IF(ISNUMBER(debt_original!N18),debt_original!N18/100000000,debt_original!N18)</f>
        <v>79.044396000000006</v>
      </c>
      <c r="O18" s="3">
        <v>6768945700</v>
      </c>
      <c r="P18" s="3">
        <v>6019520300</v>
      </c>
      <c r="Q18" s="3">
        <v>4772638500</v>
      </c>
      <c r="R18" s="3">
        <v>3756029000</v>
      </c>
      <c r="S18" s="3">
        <v>2991256400</v>
      </c>
      <c r="T18" s="3">
        <v>2869925300</v>
      </c>
      <c r="U18" s="3">
        <v>1069969900</v>
      </c>
      <c r="V18" s="3">
        <v>720079300</v>
      </c>
      <c r="W18" s="3">
        <v>520907600</v>
      </c>
    </row>
    <row r="19" spans="1:23" x14ac:dyDescent="0.25">
      <c r="A19" s="3" t="s">
        <v>233</v>
      </c>
      <c r="B19" s="4">
        <f>IF(ISNUMBER(debt_original!B19),debt_original!B19/100000000,debt_original!B19)</f>
        <v>0</v>
      </c>
      <c r="C19" s="4">
        <f>IF(ISNUMBER(debt_original!C19),debt_original!C19/100000000,debt_original!C19)</f>
        <v>0</v>
      </c>
      <c r="D19" s="4">
        <f>IF(ISNUMBER(debt_original!D19),debt_original!D19/100000000,debt_original!D19)</f>
        <v>0</v>
      </c>
      <c r="E19" s="4">
        <f>IF(ISNUMBER(debt_original!E19),debt_original!E19/100000000,debt_original!E19)</f>
        <v>0</v>
      </c>
      <c r="F19" s="4">
        <f>IF(ISNUMBER(debt_original!F19),debt_original!F19/100000000,debt_original!F19)</f>
        <v>0</v>
      </c>
      <c r="G19" s="4">
        <f>IF(ISNUMBER(debt_original!G19),debt_original!G19/100000000,debt_original!G19)</f>
        <v>0</v>
      </c>
      <c r="H19" s="4">
        <f>IF(ISNUMBER(debt_original!H19),debt_original!H19/100000000,debt_original!H19)</f>
        <v>0</v>
      </c>
      <c r="I19" s="4">
        <f>IF(ISNUMBER(debt_original!I19),debt_original!I19/100000000,debt_original!I19)</f>
        <v>0</v>
      </c>
      <c r="J19" s="4">
        <f>IF(ISNUMBER(debt_original!J19),debt_original!J19/100000000,debt_original!J19)</f>
        <v>0</v>
      </c>
      <c r="K19" s="4">
        <f>IF(ISNUMBER(debt_original!K19),debt_original!K19/100000000,debt_original!K19)</f>
        <v>0</v>
      </c>
      <c r="L19" s="4">
        <f>IF(ISNUMBER(debt_original!L19),debt_original!L19/100000000,debt_original!L19)</f>
        <v>0</v>
      </c>
      <c r="M19" s="4">
        <f>IF(ISNUMBER(debt_original!M19),debt_original!M19/100000000,debt_original!M19)</f>
        <v>0</v>
      </c>
      <c r="N19" s="4">
        <f>IF(ISNUMBER(debt_original!N19),debt_original!N19/100000000,debt_original!N19)</f>
        <v>0</v>
      </c>
      <c r="O19" s="3"/>
      <c r="P19" s="3"/>
      <c r="Q19" s="3"/>
      <c r="R19" s="3"/>
      <c r="S19" s="3"/>
      <c r="T19" s="3"/>
      <c r="U19" s="3"/>
      <c r="V19" s="3"/>
      <c r="W19" s="3"/>
    </row>
    <row r="20" spans="1:23" x14ac:dyDescent="0.25">
      <c r="A20" s="3" t="s">
        <v>234</v>
      </c>
      <c r="B20" s="4" t="str">
        <f>IF(ISNUMBER(debt_original!B20),debt_original!B20/100000000,debt_original!B20)</f>
        <v>--</v>
      </c>
      <c r="C20" s="4">
        <f>IF(ISNUMBER(debt_original!C20),debt_original!C20/100000000,debt_original!C20)</f>
        <v>0.28999999999999998</v>
      </c>
      <c r="D20" s="4">
        <f>IF(ISNUMBER(debt_original!D20),debt_original!D20/100000000,debt_original!D20)</f>
        <v>0.28999999999999998</v>
      </c>
      <c r="E20" s="4">
        <f>IF(ISNUMBER(debt_original!E20),debt_original!E20/100000000,debt_original!E20)</f>
        <v>0.28999999999999998</v>
      </c>
      <c r="F20" s="4">
        <f>IF(ISNUMBER(debt_original!F20),debt_original!F20/100000000,debt_original!F20)</f>
        <v>0.28999999999999998</v>
      </c>
      <c r="G20" s="4">
        <f>IF(ISNUMBER(debt_original!G20),debt_original!G20/100000000,debt_original!G20)</f>
        <v>0.04</v>
      </c>
      <c r="H20" s="4">
        <f>IF(ISNUMBER(debt_original!H20),debt_original!H20/100000000,debt_original!H20)</f>
        <v>0.04</v>
      </c>
      <c r="I20" s="4" t="str">
        <f>IF(ISNUMBER(debt_original!I20),debt_original!I20/100000000,debt_original!I20)</f>
        <v>--</v>
      </c>
      <c r="J20" s="4" t="str">
        <f>IF(ISNUMBER(debt_original!J20),debt_original!J20/100000000,debt_original!J20)</f>
        <v>--</v>
      </c>
      <c r="K20" s="4" t="str">
        <f>IF(ISNUMBER(debt_original!K20),debt_original!K20/100000000,debt_original!K20)</f>
        <v>--</v>
      </c>
      <c r="L20" s="4" t="str">
        <f>IF(ISNUMBER(debt_original!L20),debt_original!L20/100000000,debt_original!L20)</f>
        <v>--</v>
      </c>
      <c r="M20" s="4" t="str">
        <f>IF(ISNUMBER(debt_original!M20),debt_original!M20/100000000,debt_original!M20)</f>
        <v>--</v>
      </c>
      <c r="N20" s="4" t="str">
        <f>IF(ISNUMBER(debt_original!N20),debt_original!N20/100000000,debt_original!N20)</f>
        <v>--</v>
      </c>
      <c r="O20" s="3" t="s">
        <v>133</v>
      </c>
      <c r="P20" s="3" t="s">
        <v>133</v>
      </c>
      <c r="Q20" s="3" t="s">
        <v>133</v>
      </c>
      <c r="R20" s="3" t="s">
        <v>133</v>
      </c>
      <c r="S20" s="3" t="s">
        <v>133</v>
      </c>
      <c r="T20" s="3" t="s">
        <v>133</v>
      </c>
      <c r="U20" s="3" t="s">
        <v>133</v>
      </c>
      <c r="V20" s="3" t="s">
        <v>133</v>
      </c>
      <c r="W20" s="3" t="s">
        <v>133</v>
      </c>
    </row>
    <row r="21" spans="1:23" x14ac:dyDescent="0.25">
      <c r="A21" s="3" t="s">
        <v>235</v>
      </c>
      <c r="B21" s="4" t="str">
        <f>IF(ISNUMBER(debt_original!B21),debt_original!B21/100000000,debt_original!B21)</f>
        <v>--</v>
      </c>
      <c r="C21" s="4" t="str">
        <f>IF(ISNUMBER(debt_original!C21),debt_original!C21/100000000,debt_original!C21)</f>
        <v>--</v>
      </c>
      <c r="D21" s="4" t="str">
        <f>IF(ISNUMBER(debt_original!D21),debt_original!D21/100000000,debt_original!D21)</f>
        <v>--</v>
      </c>
      <c r="E21" s="4" t="str">
        <f>IF(ISNUMBER(debt_original!E21),debt_original!E21/100000000,debt_original!E21)</f>
        <v>--</v>
      </c>
      <c r="F21" s="4" t="str">
        <f>IF(ISNUMBER(debt_original!F21),debt_original!F21/100000000,debt_original!F21)</f>
        <v>--</v>
      </c>
      <c r="G21" s="4">
        <f>IF(ISNUMBER(debt_original!G21),debt_original!G21/100000000,debt_original!G21)</f>
        <v>0.6</v>
      </c>
      <c r="H21" s="4">
        <f>IF(ISNUMBER(debt_original!H21),debt_original!H21/100000000,debt_original!H21)</f>
        <v>0.5</v>
      </c>
      <c r="I21" s="4">
        <f>IF(ISNUMBER(debt_original!I21),debt_original!I21/100000000,debt_original!I21)</f>
        <v>0.5</v>
      </c>
      <c r="J21" s="4">
        <f>IF(ISNUMBER(debt_original!J21),debt_original!J21/100000000,debt_original!J21)</f>
        <v>0.6</v>
      </c>
      <c r="K21" s="4">
        <f>IF(ISNUMBER(debt_original!K21),debt_original!K21/100000000,debt_original!K21)</f>
        <v>0.6</v>
      </c>
      <c r="L21" s="4">
        <f>IF(ISNUMBER(debt_original!L21),debt_original!L21/100000000,debt_original!L21)</f>
        <v>0.1</v>
      </c>
      <c r="M21" s="4">
        <f>IF(ISNUMBER(debt_original!M21),debt_original!M21/100000000,debt_original!M21)</f>
        <v>0.42</v>
      </c>
      <c r="N21" s="4">
        <f>IF(ISNUMBER(debt_original!N21),debt_original!N21/100000000,debt_original!N21)</f>
        <v>0.57999999999999996</v>
      </c>
      <c r="O21" s="3">
        <v>42769500</v>
      </c>
      <c r="P21" s="3" t="s">
        <v>133</v>
      </c>
      <c r="Q21" s="3" t="s">
        <v>133</v>
      </c>
      <c r="R21" s="3" t="s">
        <v>133</v>
      </c>
      <c r="S21" s="3" t="s">
        <v>133</v>
      </c>
      <c r="T21" s="3" t="s">
        <v>133</v>
      </c>
      <c r="U21" s="3" t="s">
        <v>133</v>
      </c>
      <c r="V21" s="3" t="s">
        <v>133</v>
      </c>
      <c r="W21" s="3" t="s">
        <v>133</v>
      </c>
    </row>
    <row r="22" spans="1:23" x14ac:dyDescent="0.25">
      <c r="A22" s="3" t="s">
        <v>236</v>
      </c>
      <c r="B22" s="4" t="str">
        <f>IF(ISNUMBER(debt_original!B22),debt_original!B22/100000000,debt_original!B22)</f>
        <v>--</v>
      </c>
      <c r="C22" s="4" t="str">
        <f>IF(ISNUMBER(debt_original!C22),debt_original!C22/100000000,debt_original!C22)</f>
        <v>--</v>
      </c>
      <c r="D22" s="4" t="str">
        <f>IF(ISNUMBER(debt_original!D22),debt_original!D22/100000000,debt_original!D22)</f>
        <v>--</v>
      </c>
      <c r="E22" s="4" t="str">
        <f>IF(ISNUMBER(debt_original!E22),debt_original!E22/100000000,debt_original!E22)</f>
        <v>--</v>
      </c>
      <c r="F22" s="4" t="str">
        <f>IF(ISNUMBER(debt_original!F22),debt_original!F22/100000000,debt_original!F22)</f>
        <v>--</v>
      </c>
      <c r="G22" s="4" t="str">
        <f>IF(ISNUMBER(debt_original!G22),debt_original!G22/100000000,debt_original!G22)</f>
        <v>--</v>
      </c>
      <c r="H22" s="4" t="str">
        <f>IF(ISNUMBER(debt_original!H22),debt_original!H22/100000000,debt_original!H22)</f>
        <v>--</v>
      </c>
      <c r="I22" s="4">
        <f>IF(ISNUMBER(debt_original!I22),debt_original!I22/100000000,debt_original!I22)</f>
        <v>0.04</v>
      </c>
      <c r="J22" s="4">
        <f>IF(ISNUMBER(debt_original!J22),debt_original!J22/100000000,debt_original!J22)</f>
        <v>0.04</v>
      </c>
      <c r="K22" s="4">
        <f>IF(ISNUMBER(debt_original!K22),debt_original!K22/100000000,debt_original!K22)</f>
        <v>0.04</v>
      </c>
      <c r="L22" s="4">
        <f>IF(ISNUMBER(debt_original!L22),debt_original!L22/100000000,debt_original!L22)</f>
        <v>0.04</v>
      </c>
      <c r="M22" s="4">
        <f>IF(ISNUMBER(debt_original!M22),debt_original!M22/100000000,debt_original!M22)</f>
        <v>0.04</v>
      </c>
      <c r="N22" s="4">
        <f>IF(ISNUMBER(debt_original!N22),debt_original!N22/100000000,debt_original!N22)</f>
        <v>0.04</v>
      </c>
      <c r="O22" s="3">
        <v>4000000</v>
      </c>
      <c r="P22" s="3">
        <v>10243000</v>
      </c>
      <c r="Q22" s="3">
        <v>9815100</v>
      </c>
      <c r="R22" s="3">
        <v>4000000</v>
      </c>
      <c r="S22" s="3">
        <v>4000000</v>
      </c>
      <c r="T22" s="3" t="s">
        <v>133</v>
      </c>
      <c r="U22" s="3" t="s">
        <v>133</v>
      </c>
      <c r="V22" s="3" t="s">
        <v>133</v>
      </c>
      <c r="W22" s="3" t="s">
        <v>133</v>
      </c>
    </row>
    <row r="23" spans="1:23" x14ac:dyDescent="0.25">
      <c r="A23" s="3" t="s">
        <v>237</v>
      </c>
      <c r="B23" s="4">
        <f>IF(ISNUMBER(debt_original!B23),debt_original!B23/100000000,debt_original!B23)</f>
        <v>3.1977039999999999</v>
      </c>
      <c r="C23" s="4" t="str">
        <f>IF(ISNUMBER(debt_original!C23),debt_original!C23/100000000,debt_original!C23)</f>
        <v>--</v>
      </c>
      <c r="D23" s="4" t="str">
        <f>IF(ISNUMBER(debt_original!D23),debt_original!D23/100000000,debt_original!D23)</f>
        <v>--</v>
      </c>
      <c r="E23" s="4" t="str">
        <f>IF(ISNUMBER(debt_original!E23),debt_original!E23/100000000,debt_original!E23)</f>
        <v>--</v>
      </c>
      <c r="F23" s="4" t="str">
        <f>IF(ISNUMBER(debt_original!F23),debt_original!F23/100000000,debt_original!F23)</f>
        <v>--</v>
      </c>
      <c r="G23" s="4" t="str">
        <f>IF(ISNUMBER(debt_original!G23),debt_original!G23/100000000,debt_original!G23)</f>
        <v>--</v>
      </c>
      <c r="H23" s="4" t="str">
        <f>IF(ISNUMBER(debt_original!H23),debt_original!H23/100000000,debt_original!H23)</f>
        <v>--</v>
      </c>
      <c r="I23" s="4" t="str">
        <f>IF(ISNUMBER(debt_original!I23),debt_original!I23/100000000,debt_original!I23)</f>
        <v>--</v>
      </c>
      <c r="J23" s="4" t="str">
        <f>IF(ISNUMBER(debt_original!J23),debt_original!J23/100000000,debt_original!J23)</f>
        <v>--</v>
      </c>
      <c r="K23" s="4" t="str">
        <f>IF(ISNUMBER(debt_original!K23),debt_original!K23/100000000,debt_original!K23)</f>
        <v>--</v>
      </c>
      <c r="L23" s="4" t="str">
        <f>IF(ISNUMBER(debt_original!L23),debt_original!L23/100000000,debt_original!L23)</f>
        <v>--</v>
      </c>
      <c r="M23" s="4" t="str">
        <f>IF(ISNUMBER(debt_original!M23),debt_original!M23/100000000,debt_original!M23)</f>
        <v>--</v>
      </c>
      <c r="N23" s="4" t="str">
        <f>IF(ISNUMBER(debt_original!N23),debt_original!N23/100000000,debt_original!N23)</f>
        <v>--</v>
      </c>
      <c r="O23" s="3" t="s">
        <v>133</v>
      </c>
      <c r="P23" s="3" t="s">
        <v>133</v>
      </c>
      <c r="Q23" s="3" t="s">
        <v>133</v>
      </c>
      <c r="R23" s="3" t="s">
        <v>133</v>
      </c>
      <c r="S23" s="3" t="s">
        <v>133</v>
      </c>
      <c r="T23" s="3" t="s">
        <v>133</v>
      </c>
      <c r="U23" s="3" t="s">
        <v>133</v>
      </c>
      <c r="V23" s="3" t="s">
        <v>133</v>
      </c>
      <c r="W23" s="3" t="s">
        <v>133</v>
      </c>
    </row>
    <row r="24" spans="1:23" x14ac:dyDescent="0.25">
      <c r="A24" s="3" t="s">
        <v>25</v>
      </c>
      <c r="B24" s="4">
        <f>IF(ISNUMBER(debt_original!B24),debt_original!B24/100000000,debt_original!B24)</f>
        <v>151.44182699999999</v>
      </c>
      <c r="C24" s="4">
        <f>IF(ISNUMBER(debt_original!C24),debt_original!C24/100000000,debt_original!C24)</f>
        <v>152.48556600000001</v>
      </c>
      <c r="D24" s="4">
        <f>IF(ISNUMBER(debt_original!D24),debt_original!D24/100000000,debt_original!D24)</f>
        <v>152.440966</v>
      </c>
      <c r="E24" s="4">
        <f>IF(ISNUMBER(debt_original!E24),debt_original!E24/100000000,debt_original!E24)</f>
        <v>144.53177400000001</v>
      </c>
      <c r="F24" s="4">
        <f>IF(ISNUMBER(debt_original!F24),debt_original!F24/100000000,debt_original!F24)</f>
        <v>114.166358</v>
      </c>
      <c r="G24" s="4">
        <f>IF(ISNUMBER(debt_original!G24),debt_original!G24/100000000,debt_original!G24)</f>
        <v>103.757578</v>
      </c>
      <c r="H24" s="4">
        <f>IF(ISNUMBER(debt_original!H24),debt_original!H24/100000000,debt_original!H24)</f>
        <v>85.232569999999996</v>
      </c>
      <c r="I24" s="4">
        <f>IF(ISNUMBER(debt_original!I24),debt_original!I24/100000000,debt_original!I24)</f>
        <v>68.073331999999994</v>
      </c>
      <c r="J24" s="4">
        <f>IF(ISNUMBER(debt_original!J24),debt_original!J24/100000000,debt_original!J24)</f>
        <v>54.260123</v>
      </c>
      <c r="K24" s="4">
        <f>IF(ISNUMBER(debt_original!K24),debt_original!K24/100000000,debt_original!K24)</f>
        <v>41.918511000000002</v>
      </c>
      <c r="L24" s="4">
        <f>IF(ISNUMBER(debt_original!L24),debt_original!L24/100000000,debt_original!L24)</f>
        <v>31.687252000000001</v>
      </c>
      <c r="M24" s="4">
        <f>IF(ISNUMBER(debt_original!M24),debt_original!M24/100000000,debt_original!M24)</f>
        <v>21.901719</v>
      </c>
      <c r="N24" s="4">
        <f>IF(ISNUMBER(debt_original!N24),debt_original!N24/100000000,debt_original!N24)</f>
        <v>18.269833999999999</v>
      </c>
      <c r="O24" s="3">
        <v>1222898600</v>
      </c>
      <c r="P24" s="3">
        <v>981382000</v>
      </c>
      <c r="Q24" s="3">
        <v>715522700</v>
      </c>
      <c r="R24" s="3">
        <v>440820600</v>
      </c>
      <c r="S24" s="3">
        <v>470098700</v>
      </c>
      <c r="T24" s="3">
        <v>414239900</v>
      </c>
      <c r="U24" s="3">
        <v>180770400</v>
      </c>
      <c r="V24" s="3" t="s">
        <v>133</v>
      </c>
      <c r="W24" s="3">
        <v>213023400</v>
      </c>
    </row>
    <row r="25" spans="1:23" x14ac:dyDescent="0.25">
      <c r="A25" s="3" t="s">
        <v>238</v>
      </c>
      <c r="B25" s="4" t="str">
        <f>IF(ISNUMBER(debt_original!B25),debt_original!B25/100000000,debt_original!B25)</f>
        <v>--</v>
      </c>
      <c r="C25" s="4">
        <f>IF(ISNUMBER(debt_original!C25),debt_original!C25/100000000,debt_original!C25)</f>
        <v>152.4855658502</v>
      </c>
      <c r="D25" s="4">
        <f>IF(ISNUMBER(debt_original!D25),debt_original!D25/100000000,debt_original!D25)</f>
        <v>152.4409663202</v>
      </c>
      <c r="E25" s="4">
        <f>IF(ISNUMBER(debt_original!E25),debt_original!E25/100000000,debt_original!E25)</f>
        <v>144.53177439340001</v>
      </c>
      <c r="F25" s="4">
        <f>IF(ISNUMBER(debt_original!F25),debt_original!F25/100000000,debt_original!F25)</f>
        <v>114.1595318972</v>
      </c>
      <c r="G25" s="4">
        <f>IF(ISNUMBER(debt_original!G25),debt_original!G25/100000000,debt_original!G25)</f>
        <v>103.7575777159</v>
      </c>
      <c r="H25" s="4">
        <f>IF(ISNUMBER(debt_original!H25),debt_original!H25/100000000,debt_original!H25)</f>
        <v>85.232569601099996</v>
      </c>
      <c r="I25" s="4">
        <f>IF(ISNUMBER(debt_original!I25),debt_original!I25/100000000,debt_original!I25)</f>
        <v>68.0733323109</v>
      </c>
      <c r="J25" s="4">
        <f>IF(ISNUMBER(debt_original!J25),debt_original!J25/100000000,debt_original!J25)</f>
        <v>54.260123496099993</v>
      </c>
      <c r="K25" s="4">
        <f>IF(ISNUMBER(debt_original!K25),debt_original!K25/100000000,debt_original!K25)</f>
        <v>41.9185111197</v>
      </c>
      <c r="L25" s="4">
        <f>IF(ISNUMBER(debt_original!L25),debt_original!L25/100000000,debt_original!L25)</f>
        <v>31.687251562899998</v>
      </c>
      <c r="M25" s="4">
        <f>IF(ISNUMBER(debt_original!M25),debt_original!M25/100000000,debt_original!M25)</f>
        <v>21.901719118899997</v>
      </c>
      <c r="N25" s="4">
        <f>IF(ISNUMBER(debt_original!N25),debt_original!N25/100000000,debt_original!N25)</f>
        <v>18.269833643599998</v>
      </c>
      <c r="O25" s="3">
        <v>1222898569.3800001</v>
      </c>
      <c r="P25" s="3">
        <v>981382035.5</v>
      </c>
      <c r="Q25" s="3">
        <v>715522677.41999996</v>
      </c>
      <c r="R25" s="3">
        <v>440813831.82999998</v>
      </c>
      <c r="S25" s="3">
        <v>470098687.69</v>
      </c>
      <c r="T25" s="3">
        <v>414239895.73000002</v>
      </c>
      <c r="U25" s="3">
        <v>180320389.09</v>
      </c>
      <c r="V25" s="3" t="s">
        <v>133</v>
      </c>
      <c r="W25" s="3">
        <v>213023445.34999999</v>
      </c>
    </row>
    <row r="26" spans="1:23" x14ac:dyDescent="0.25">
      <c r="A26" s="3" t="s">
        <v>239</v>
      </c>
      <c r="B26" s="4" t="str">
        <f>IF(ISNUMBER(debt_original!B26),debt_original!B26/100000000,debt_original!B26)</f>
        <v>--</v>
      </c>
      <c r="C26" s="4" t="str">
        <f>IF(ISNUMBER(debt_original!C26),debt_original!C26/100000000,debt_original!C26)</f>
        <v>--</v>
      </c>
      <c r="D26" s="4" t="str">
        <f>IF(ISNUMBER(debt_original!D26),debt_original!D26/100000000,debt_original!D26)</f>
        <v>--</v>
      </c>
      <c r="E26" s="4" t="str">
        <f>IF(ISNUMBER(debt_original!E26),debt_original!E26/100000000,debt_original!E26)</f>
        <v>--</v>
      </c>
      <c r="F26" s="4">
        <f>IF(ISNUMBER(debt_original!F26),debt_original!F26/100000000,debt_original!F26)</f>
        <v>6.8259999999999996E-3</v>
      </c>
      <c r="G26" s="4" t="str">
        <f>IF(ISNUMBER(debt_original!G26),debt_original!G26/100000000,debt_original!G26)</f>
        <v>--</v>
      </c>
      <c r="H26" s="4" t="str">
        <f>IF(ISNUMBER(debt_original!H26),debt_original!H26/100000000,debt_original!H26)</f>
        <v>--</v>
      </c>
      <c r="I26" s="4" t="str">
        <f>IF(ISNUMBER(debt_original!I26),debt_original!I26/100000000,debt_original!I26)</f>
        <v>--</v>
      </c>
      <c r="J26" s="4" t="str">
        <f>IF(ISNUMBER(debt_original!J26),debt_original!J26/100000000,debt_original!J26)</f>
        <v>--</v>
      </c>
      <c r="K26" s="4" t="str">
        <f>IF(ISNUMBER(debt_original!K26),debt_original!K26/100000000,debt_original!K26)</f>
        <v>--</v>
      </c>
      <c r="L26" s="4" t="str">
        <f>IF(ISNUMBER(debt_original!L26),debt_original!L26/100000000,debt_original!L26)</f>
        <v>--</v>
      </c>
      <c r="M26" s="4" t="str">
        <f>IF(ISNUMBER(debt_original!M26),debt_original!M26/100000000,debt_original!M26)</f>
        <v>--</v>
      </c>
      <c r="N26" s="4" t="str">
        <f>IF(ISNUMBER(debt_original!N26),debt_original!N26/100000000,debt_original!N26)</f>
        <v>--</v>
      </c>
      <c r="O26" s="3" t="s">
        <v>133</v>
      </c>
      <c r="P26" s="3" t="s">
        <v>133</v>
      </c>
      <c r="Q26" s="3" t="s">
        <v>133</v>
      </c>
      <c r="R26" s="3">
        <v>6700</v>
      </c>
      <c r="S26" s="3" t="s">
        <v>133</v>
      </c>
      <c r="T26" s="3" t="s">
        <v>133</v>
      </c>
      <c r="U26" s="3">
        <v>450000</v>
      </c>
      <c r="V26" s="3" t="s">
        <v>133</v>
      </c>
      <c r="W26" s="3" t="s">
        <v>133</v>
      </c>
    </row>
    <row r="27" spans="1:23" x14ac:dyDescent="0.25">
      <c r="A27" s="3" t="s">
        <v>240</v>
      </c>
      <c r="B27" s="4">
        <f>IF(ISNUMBER(debt_original!B27),debt_original!B27/100000000,debt_original!B27)</f>
        <v>25.189382999999999</v>
      </c>
      <c r="C27" s="4">
        <f>IF(ISNUMBER(debt_original!C27),debt_original!C27/100000000,debt_original!C27)</f>
        <v>19.543230000000001</v>
      </c>
      <c r="D27" s="4">
        <f>IF(ISNUMBER(debt_original!D27),debt_original!D27/100000000,debt_original!D27)</f>
        <v>20.16405</v>
      </c>
      <c r="E27" s="4">
        <f>IF(ISNUMBER(debt_original!E27),debt_original!E27/100000000,debt_original!E27)</f>
        <v>27.4558</v>
      </c>
      <c r="F27" s="4">
        <f>IF(ISNUMBER(debt_original!F27),debt_original!F27/100000000,debt_original!F27)</f>
        <v>48.954115999999999</v>
      </c>
      <c r="G27" s="4">
        <f>IF(ISNUMBER(debt_original!G27),debt_original!G27/100000000,debt_original!G27)</f>
        <v>34.220353000000003</v>
      </c>
      <c r="H27" s="4">
        <f>IF(ISNUMBER(debt_original!H27),debt_original!H27/100000000,debt_original!H27)</f>
        <v>4.5805340000000001</v>
      </c>
      <c r="I27" s="4">
        <f>IF(ISNUMBER(debt_original!I27),debt_original!I27/100000000,debt_original!I27)</f>
        <v>3.9534929999999999</v>
      </c>
      <c r="J27" s="4">
        <f>IF(ISNUMBER(debt_original!J27),debt_original!J27/100000000,debt_original!J27)</f>
        <v>2.5636459999999999</v>
      </c>
      <c r="K27" s="4">
        <f>IF(ISNUMBER(debt_original!K27),debt_original!K27/100000000,debt_original!K27)</f>
        <v>2.8198720000000002</v>
      </c>
      <c r="L27" s="4">
        <f>IF(ISNUMBER(debt_original!L27),debt_original!L27/100000000,debt_original!L27)</f>
        <v>2.188714</v>
      </c>
      <c r="M27" s="4">
        <f>IF(ISNUMBER(debt_original!M27),debt_original!M27/100000000,debt_original!M27)</f>
        <v>6.452299</v>
      </c>
      <c r="N27" s="4">
        <f>IF(ISNUMBER(debt_original!N27),debt_original!N27/100000000,debt_original!N27)</f>
        <v>3.7344789999999999</v>
      </c>
      <c r="O27" s="3">
        <v>1036478600</v>
      </c>
      <c r="P27" s="3">
        <v>928999000</v>
      </c>
      <c r="Q27" s="3">
        <v>787038200</v>
      </c>
      <c r="R27" s="3">
        <v>721652500</v>
      </c>
      <c r="S27" s="3">
        <v>442903500</v>
      </c>
      <c r="T27" s="3">
        <v>162048800</v>
      </c>
      <c r="U27" s="3">
        <v>5776100</v>
      </c>
      <c r="V27" s="3" t="s">
        <v>133</v>
      </c>
      <c r="W27" s="3" t="s">
        <v>133</v>
      </c>
    </row>
    <row r="28" spans="1:23" x14ac:dyDescent="0.25">
      <c r="A28" s="3" t="s">
        <v>241</v>
      </c>
      <c r="B28" s="4" t="str">
        <f>IF(ISNUMBER(debt_original!B28),debt_original!B28/100000000,debt_original!B28)</f>
        <v>--</v>
      </c>
      <c r="C28" s="4">
        <f>IF(ISNUMBER(debt_original!C28),debt_original!C28/100000000,debt_original!C28)</f>
        <v>19.543230000000001</v>
      </c>
      <c r="D28" s="4">
        <f>IF(ISNUMBER(debt_original!D28),debt_original!D28/100000000,debt_original!D28)</f>
        <v>20.16405</v>
      </c>
      <c r="E28" s="4">
        <f>IF(ISNUMBER(debt_original!E28),debt_original!E28/100000000,debt_original!E28)</f>
        <v>27.4558</v>
      </c>
      <c r="F28" s="4">
        <f>IF(ISNUMBER(debt_original!F28),debt_original!F28/100000000,debt_original!F28)</f>
        <v>48.951506999999999</v>
      </c>
      <c r="G28" s="4">
        <f>IF(ISNUMBER(debt_original!G28),debt_original!G28/100000000,debt_original!G28)</f>
        <v>34.217744000000003</v>
      </c>
      <c r="H28" s="4">
        <f>IF(ISNUMBER(debt_original!H28),debt_original!H28/100000000,debt_original!H28)</f>
        <v>4.5632830000000002</v>
      </c>
      <c r="I28" s="4">
        <f>IF(ISNUMBER(debt_original!I28),debt_original!I28/100000000,debt_original!I28)</f>
        <v>3.926723</v>
      </c>
      <c r="J28" s="4">
        <f>IF(ISNUMBER(debt_original!J28),debt_original!J28/100000000,debt_original!J28)</f>
        <v>2.5144630000000001</v>
      </c>
      <c r="K28" s="4">
        <f>IF(ISNUMBER(debt_original!K28),debt_original!K28/100000000,debt_original!K28)</f>
        <v>2.6345839999999998</v>
      </c>
      <c r="L28" s="4">
        <f>IF(ISNUMBER(debt_original!L28),debt_original!L28/100000000,debt_original!L28)</f>
        <v>1.9395629999999999</v>
      </c>
      <c r="M28" s="4">
        <f>IF(ISNUMBER(debt_original!M28),debt_original!M28/100000000,debt_original!M28)</f>
        <v>5.8286100000000003</v>
      </c>
      <c r="N28" s="4">
        <f>IF(ISNUMBER(debt_original!N28),debt_original!N28/100000000,debt_original!N28)</f>
        <v>3.6151650000000002</v>
      </c>
      <c r="O28" s="3">
        <v>989033900</v>
      </c>
      <c r="P28" s="3">
        <v>909890400</v>
      </c>
      <c r="Q28" s="3">
        <v>776047000</v>
      </c>
      <c r="R28" s="3">
        <v>721652500</v>
      </c>
      <c r="S28" s="3">
        <v>442903500</v>
      </c>
      <c r="T28" s="3">
        <v>162048800</v>
      </c>
      <c r="U28" s="3">
        <v>5776100</v>
      </c>
      <c r="V28" s="3" t="s">
        <v>133</v>
      </c>
      <c r="W28" s="3" t="s">
        <v>133</v>
      </c>
    </row>
    <row r="29" spans="1:23" x14ac:dyDescent="0.25">
      <c r="A29" s="3" t="s">
        <v>242</v>
      </c>
      <c r="B29" s="4" t="str">
        <f>IF(ISNUMBER(debt_original!B29),debt_original!B29/100000000,debt_original!B29)</f>
        <v>--</v>
      </c>
      <c r="C29" s="4" t="str">
        <f>IF(ISNUMBER(debt_original!C29),debt_original!C29/100000000,debt_original!C29)</f>
        <v>--</v>
      </c>
      <c r="D29" s="4" t="str">
        <f>IF(ISNUMBER(debt_original!D29),debt_original!D29/100000000,debt_original!D29)</f>
        <v>--</v>
      </c>
      <c r="E29" s="4" t="str">
        <f>IF(ISNUMBER(debt_original!E29),debt_original!E29/100000000,debt_original!E29)</f>
        <v>--</v>
      </c>
      <c r="F29" s="4">
        <f>IF(ISNUMBER(debt_original!F29),debt_original!F29/100000000,debt_original!F29)</f>
        <v>2.6090000000000002E-3</v>
      </c>
      <c r="G29" s="4">
        <f>IF(ISNUMBER(debt_original!G29),debt_original!G29/100000000,debt_original!G29)</f>
        <v>2.6090000000000002E-3</v>
      </c>
      <c r="H29" s="4">
        <f>IF(ISNUMBER(debt_original!H29),debt_original!H29/100000000,debt_original!H29)</f>
        <v>1.7250999999999999E-2</v>
      </c>
      <c r="I29" s="4">
        <f>IF(ISNUMBER(debt_original!I29),debt_original!I29/100000000,debt_original!I29)</f>
        <v>2.6769000000000001E-2</v>
      </c>
      <c r="J29" s="4">
        <f>IF(ISNUMBER(debt_original!J29),debt_original!J29/100000000,debt_original!J29)</f>
        <v>4.9182999999999998E-2</v>
      </c>
      <c r="K29" s="4">
        <f>IF(ISNUMBER(debt_original!K29),debt_original!K29/100000000,debt_original!K29)</f>
        <v>0.18528800000000001</v>
      </c>
      <c r="L29" s="4">
        <f>IF(ISNUMBER(debt_original!L29),debt_original!L29/100000000,debt_original!L29)</f>
        <v>0.24915000000000001</v>
      </c>
      <c r="M29" s="4">
        <f>IF(ISNUMBER(debt_original!M29),debt_original!M29/100000000,debt_original!M29)</f>
        <v>0.62368999999999997</v>
      </c>
      <c r="N29" s="4">
        <f>IF(ISNUMBER(debt_original!N29),debt_original!N29/100000000,debt_original!N29)</f>
        <v>0.119314</v>
      </c>
      <c r="O29" s="3">
        <v>47444700</v>
      </c>
      <c r="P29" s="3">
        <v>19108500</v>
      </c>
      <c r="Q29" s="3">
        <v>10991200</v>
      </c>
      <c r="R29" s="3" t="s">
        <v>133</v>
      </c>
      <c r="S29" s="3" t="s">
        <v>133</v>
      </c>
      <c r="T29" s="3" t="s">
        <v>133</v>
      </c>
      <c r="U29" s="3" t="s">
        <v>133</v>
      </c>
      <c r="V29" s="3" t="s">
        <v>133</v>
      </c>
      <c r="W29" s="3" t="s">
        <v>133</v>
      </c>
    </row>
    <row r="30" spans="1:23" x14ac:dyDescent="0.25">
      <c r="A30" s="3" t="s">
        <v>243</v>
      </c>
      <c r="B30" s="4">
        <f>IF(ISNUMBER(debt_original!B30),debt_original!B30/100000000,debt_original!B30)</f>
        <v>47.280273457</v>
      </c>
      <c r="C30" s="4">
        <f>IF(ISNUMBER(debt_original!C30),debt_original!C30/100000000,debt_original!C30)</f>
        <v>34.9917537452</v>
      </c>
      <c r="D30" s="4">
        <f>IF(ISNUMBER(debt_original!D30),debt_original!D30/100000000,debt_original!D30)</f>
        <v>34.5862223938</v>
      </c>
      <c r="E30" s="4">
        <f>IF(ISNUMBER(debt_original!E30),debt_original!E30/100000000,debt_original!E30)</f>
        <v>35.317406255999998</v>
      </c>
      <c r="F30" s="4">
        <f>IF(ISNUMBER(debt_original!F30),debt_original!F30/100000000,debt_original!F30)</f>
        <v>35.824624310399997</v>
      </c>
      <c r="G30" s="4">
        <f>IF(ISNUMBER(debt_original!G30),debt_original!G30/100000000,debt_original!G30)</f>
        <v>35.826236822399999</v>
      </c>
      <c r="H30" s="4">
        <f>IF(ISNUMBER(debt_original!H30),debt_original!H30/100000000,debt_original!H30)</f>
        <v>35.633081105100004</v>
      </c>
      <c r="I30" s="4">
        <f>IF(ISNUMBER(debt_original!I30),debt_original!I30/100000000,debt_original!I30)</f>
        <v>8.6261589920000006</v>
      </c>
      <c r="J30" s="4">
        <f>IF(ISNUMBER(debt_original!J30),debt_original!J30/100000000,debt_original!J30)</f>
        <v>8.0842551233000002</v>
      </c>
      <c r="K30" s="4">
        <f>IF(ISNUMBER(debt_original!K30),debt_original!K30/100000000,debt_original!K30)</f>
        <v>4.5231723572</v>
      </c>
      <c r="L30" s="4">
        <f>IF(ISNUMBER(debt_original!L30),debt_original!L30/100000000,debt_original!L30)</f>
        <v>4.6555082517000006</v>
      </c>
      <c r="M30" s="4">
        <f>IF(ISNUMBER(debt_original!M30),debt_original!M30/100000000,debt_original!M30)</f>
        <v>4.4520759571999999</v>
      </c>
      <c r="N30" s="4">
        <f>IF(ISNUMBER(debt_original!N30),debt_original!N30/100000000,debt_original!N30)</f>
        <v>2.492740934</v>
      </c>
      <c r="O30" s="3">
        <v>256943698.66</v>
      </c>
      <c r="P30" s="3">
        <v>57074911.579999998</v>
      </c>
      <c r="Q30" s="3">
        <v>37699499.840000004</v>
      </c>
      <c r="R30" s="3">
        <v>256204.88</v>
      </c>
      <c r="S30" s="3">
        <v>424999.92</v>
      </c>
      <c r="T30" s="3">
        <v>594999.96</v>
      </c>
      <c r="U30" s="3">
        <v>765000</v>
      </c>
      <c r="V30" s="3">
        <v>935000</v>
      </c>
      <c r="W30" s="3" t="s">
        <v>133</v>
      </c>
    </row>
    <row r="31" spans="1:23" x14ac:dyDescent="0.25">
      <c r="A31" s="3" t="s">
        <v>244</v>
      </c>
      <c r="B31" s="4">
        <f>IF(ISNUMBER(debt_original!B31),debt_original!B31/100000000,debt_original!B31)</f>
        <v>1.582843</v>
      </c>
      <c r="C31" s="4">
        <f>IF(ISNUMBER(debt_original!C31),debt_original!C31/100000000,debt_original!C31)</f>
        <v>1.6841470000000001</v>
      </c>
      <c r="D31" s="4">
        <f>IF(ISNUMBER(debt_original!D31),debt_original!D31/100000000,debt_original!D31)</f>
        <v>1.778597</v>
      </c>
      <c r="E31" s="4">
        <f>IF(ISNUMBER(debt_original!E31),debt_original!E31/100000000,debt_original!E31)</f>
        <v>1.8811880000000001</v>
      </c>
      <c r="F31" s="4">
        <f>IF(ISNUMBER(debt_original!F31),debt_original!F31/100000000,debt_original!F31)</f>
        <v>1.986035</v>
      </c>
      <c r="G31" s="4">
        <f>IF(ISNUMBER(debt_original!G31),debt_original!G31/100000000,debt_original!G31)</f>
        <v>5.4082999999999999E-2</v>
      </c>
      <c r="H31" s="4">
        <f>IF(ISNUMBER(debt_original!H31),debt_original!H31/100000000,debt_original!H31)</f>
        <v>8.0487000000000003E-2</v>
      </c>
      <c r="I31" s="4">
        <f>IF(ISNUMBER(debt_original!I31),debt_original!I31/100000000,debt_original!I31)</f>
        <v>0.10177</v>
      </c>
      <c r="J31" s="4">
        <f>IF(ISNUMBER(debt_original!J31),debt_original!J31/100000000,debt_original!J31)</f>
        <v>0.13805400000000001</v>
      </c>
      <c r="K31" s="4">
        <f>IF(ISNUMBER(debt_original!K31),debt_original!K31/100000000,debt_original!K31)</f>
        <v>0.18701599999999999</v>
      </c>
      <c r="L31" s="4">
        <f>IF(ISNUMBER(debt_original!L31),debt_original!L31/100000000,debt_original!L31)</f>
        <v>0.214696</v>
      </c>
      <c r="M31" s="4">
        <f>IF(ISNUMBER(debt_original!M31),debt_original!M31/100000000,debt_original!M31)</f>
        <v>0.101465</v>
      </c>
      <c r="N31" s="4">
        <f>IF(ISNUMBER(debt_original!N31),debt_original!N31/100000000,debt_original!N31)</f>
        <v>0.124773</v>
      </c>
      <c r="O31" s="3">
        <v>68664000</v>
      </c>
      <c r="P31" s="3">
        <v>60377200</v>
      </c>
      <c r="Q31" s="3">
        <v>50939000</v>
      </c>
      <c r="R31" s="3">
        <v>33607500</v>
      </c>
      <c r="S31" s="3">
        <v>22221500</v>
      </c>
      <c r="T31" s="3">
        <v>16579800</v>
      </c>
      <c r="U31" s="3">
        <v>11574800</v>
      </c>
      <c r="V31" s="3">
        <v>8442500</v>
      </c>
      <c r="W31" s="3">
        <v>7917900</v>
      </c>
    </row>
    <row r="32" spans="1:23" x14ac:dyDescent="0.25">
      <c r="A32" s="3" t="s">
        <v>245</v>
      </c>
      <c r="B32" s="4">
        <f>IF(ISNUMBER(debt_original!B32),debt_original!B32/100000000,debt_original!B32)</f>
        <v>10.999468999999999</v>
      </c>
      <c r="C32" s="4">
        <f>IF(ISNUMBER(debt_original!C32),debt_original!C32/100000000,debt_original!C32)</f>
        <v>10.492948</v>
      </c>
      <c r="D32" s="4">
        <f>IF(ISNUMBER(debt_original!D32),debt_original!D32/100000000,debt_original!D32)</f>
        <v>14.017974000000001</v>
      </c>
      <c r="E32" s="4">
        <f>IF(ISNUMBER(debt_original!E32),debt_original!E32/100000000,debt_original!E32)</f>
        <v>17.455390999999999</v>
      </c>
      <c r="F32" s="4">
        <f>IF(ISNUMBER(debt_original!F32),debt_original!F32/100000000,debt_original!F32)</f>
        <v>11.553361000000001</v>
      </c>
      <c r="G32" s="4">
        <f>IF(ISNUMBER(debt_original!G32),debt_original!G32/100000000,debt_original!G32)</f>
        <v>8.216011</v>
      </c>
      <c r="H32" s="4">
        <f>IF(ISNUMBER(debt_original!H32),debt_original!H32/100000000,debt_original!H32)</f>
        <v>8.2537249999999993</v>
      </c>
      <c r="I32" s="4">
        <f>IF(ISNUMBER(debt_original!I32),debt_original!I32/100000000,debt_original!I32)</f>
        <v>6.4365690000000004</v>
      </c>
      <c r="J32" s="4">
        <f>IF(ISNUMBER(debt_original!J32),debt_original!J32/100000000,debt_original!J32)</f>
        <v>5.0262900000000004</v>
      </c>
      <c r="K32" s="4">
        <f>IF(ISNUMBER(debt_original!K32),debt_original!K32/100000000,debt_original!K32)</f>
        <v>2.7843789999999999</v>
      </c>
      <c r="L32" s="4">
        <f>IF(ISNUMBER(debt_original!L32),debt_original!L32/100000000,debt_original!L32)</f>
        <v>2.2542080000000002</v>
      </c>
      <c r="M32" s="4">
        <f>IF(ISNUMBER(debt_original!M32),debt_original!M32/100000000,debt_original!M32)</f>
        <v>1.76681</v>
      </c>
      <c r="N32" s="4">
        <f>IF(ISNUMBER(debt_original!N32),debt_original!N32/100000000,debt_original!N32)</f>
        <v>0.52849599999999997</v>
      </c>
      <c r="O32" s="3">
        <v>170093500</v>
      </c>
      <c r="P32" s="3" t="s">
        <v>133</v>
      </c>
      <c r="Q32" s="3" t="s">
        <v>133</v>
      </c>
      <c r="R32" s="3" t="s">
        <v>133</v>
      </c>
      <c r="S32" s="3" t="s">
        <v>133</v>
      </c>
      <c r="T32" s="3" t="s">
        <v>133</v>
      </c>
      <c r="U32" s="3" t="s">
        <v>133</v>
      </c>
      <c r="V32" s="3" t="s">
        <v>133</v>
      </c>
      <c r="W32" s="3" t="s">
        <v>133</v>
      </c>
    </row>
    <row r="33" spans="1:23" x14ac:dyDescent="0.25">
      <c r="A33" s="3" t="s">
        <v>26</v>
      </c>
      <c r="B33" s="4">
        <f>IF(ISNUMBER(debt_original!B33),debt_original!B33/100000000,debt_original!B33)</f>
        <v>240.179</v>
      </c>
      <c r="C33" s="4">
        <f>IF(ISNUMBER(debt_original!C33),debt_original!C33/100000000,debt_original!C33)</f>
        <v>219.84839400000001</v>
      </c>
      <c r="D33" s="4">
        <f>IF(ISNUMBER(debt_original!D33),debt_original!D33/100000000,debt_original!D33)</f>
        <v>223.609309</v>
      </c>
      <c r="E33" s="4">
        <f>IF(ISNUMBER(debt_original!E33),debt_original!E33/100000000,debt_original!E33)</f>
        <v>227.539895</v>
      </c>
      <c r="F33" s="4">
        <f>IF(ISNUMBER(debt_original!F33),debt_original!F33/100000000,debt_original!F33)</f>
        <v>212.969494</v>
      </c>
      <c r="G33" s="4">
        <f>IF(ISNUMBER(debt_original!G33),debt_original!G33/100000000,debt_original!G33)</f>
        <v>183.02236199999999</v>
      </c>
      <c r="H33" s="4">
        <f>IF(ISNUMBER(debt_original!H33),debt_original!H33/100000000,debt_original!H33)</f>
        <v>135.225672</v>
      </c>
      <c r="I33" s="4">
        <f>IF(ISNUMBER(debt_original!I33),debt_original!I33/100000000,debt_original!I33)</f>
        <v>87.731323000000003</v>
      </c>
      <c r="J33" s="4">
        <f>IF(ISNUMBER(debt_original!J33),debt_original!J33/100000000,debt_original!J33)</f>
        <v>70.712367999999998</v>
      </c>
      <c r="K33" s="4">
        <f>IF(ISNUMBER(debt_original!K33),debt_original!K33/100000000,debt_original!K33)</f>
        <v>52.872951</v>
      </c>
      <c r="L33" s="4">
        <f>IF(ISNUMBER(debt_original!L33),debt_original!L33/100000000,debt_original!L33)</f>
        <v>41.140377999999998</v>
      </c>
      <c r="M33" s="4">
        <f>IF(ISNUMBER(debt_original!M33),debt_original!M33/100000000,debt_original!M33)</f>
        <v>35.134369999999997</v>
      </c>
      <c r="N33" s="4">
        <f>IF(ISNUMBER(debt_original!N33),debt_original!N33/100000000,debt_original!N33)</f>
        <v>25.770322</v>
      </c>
      <c r="O33" s="3">
        <v>2801847900</v>
      </c>
      <c r="P33" s="3">
        <v>2038076200</v>
      </c>
      <c r="Q33" s="3">
        <v>1601014500</v>
      </c>
      <c r="R33" s="3">
        <v>1200336800</v>
      </c>
      <c r="S33" s="3">
        <v>939648700</v>
      </c>
      <c r="T33" s="3">
        <v>593463400</v>
      </c>
      <c r="U33" s="3">
        <v>198886300</v>
      </c>
      <c r="V33" s="3">
        <v>194977700</v>
      </c>
      <c r="W33" s="3">
        <v>220941400</v>
      </c>
    </row>
    <row r="34" spans="1:23" x14ac:dyDescent="0.25">
      <c r="A34" s="3" t="s">
        <v>27</v>
      </c>
      <c r="B34" s="4">
        <f>IF(ISNUMBER(debt_original!B34),debt_original!B34/100000000,debt_original!B34)</f>
        <v>1830.42372</v>
      </c>
      <c r="C34" s="4">
        <f>IF(ISNUMBER(debt_original!C34),debt_original!C34/100000000,debt_original!C34)</f>
        <v>1598.4667469999999</v>
      </c>
      <c r="D34" s="4">
        <f>IF(ISNUMBER(debt_original!D34),debt_original!D34/100000000,debt_original!D34)</f>
        <v>1346.101169</v>
      </c>
      <c r="E34" s="4">
        <f>IF(ISNUMBER(debt_original!E34),debt_original!E34/100000000,debt_original!E34)</f>
        <v>1129.3453830000001</v>
      </c>
      <c r="F34" s="4">
        <f>IF(ISNUMBER(debt_original!F34),debt_original!F34/100000000,debt_original!F34)</f>
        <v>863.014634</v>
      </c>
      <c r="G34" s="4">
        <f>IF(ISNUMBER(debt_original!G34),debt_original!G34/100000000,debt_original!G34)</f>
        <v>658.73165200000005</v>
      </c>
      <c r="H34" s="4">
        <f>IF(ISNUMBER(debt_original!H34),debt_original!H34/100000000,debt_original!H34)</f>
        <v>554.54150700000002</v>
      </c>
      <c r="I34" s="4">
        <f>IF(ISNUMBER(debt_original!I34),debt_original!I34/100000000,debt_original!I34)</f>
        <v>449.98209000000003</v>
      </c>
      <c r="J34" s="4">
        <f>IF(ISNUMBER(debt_original!J34),debt_original!J34/100000000,debt_original!J34)</f>
        <v>349.00869</v>
      </c>
      <c r="K34" s="4">
        <f>IF(ISNUMBER(debt_original!K34),debt_original!K34/100000000,debt_original!K34)</f>
        <v>255.875799</v>
      </c>
      <c r="L34" s="4">
        <f>IF(ISNUMBER(debt_original!L34),debt_original!L34/100000000,debt_original!L34)</f>
        <v>197.69623100000001</v>
      </c>
      <c r="M34" s="4">
        <f>IF(ISNUMBER(debt_original!M34),debt_original!M34/100000000,debt_original!M34)</f>
        <v>157.541878</v>
      </c>
      <c r="N34" s="4">
        <f>IF(ISNUMBER(debt_original!N34),debt_original!N34/100000000,debt_original!N34)</f>
        <v>104.814718</v>
      </c>
      <c r="O34" s="3">
        <v>9570793600</v>
      </c>
      <c r="P34" s="3">
        <v>8057596500</v>
      </c>
      <c r="Q34" s="3">
        <v>6373653000</v>
      </c>
      <c r="R34" s="3">
        <v>4956365800</v>
      </c>
      <c r="S34" s="3">
        <v>3930905100</v>
      </c>
      <c r="T34" s="3">
        <v>3463388700</v>
      </c>
      <c r="U34" s="3">
        <v>1268856200</v>
      </c>
      <c r="V34" s="3">
        <v>915057000</v>
      </c>
      <c r="W34" s="3">
        <v>741849000</v>
      </c>
    </row>
    <row r="35" spans="1:23" x14ac:dyDescent="0.25">
      <c r="A35" s="3" t="s">
        <v>246</v>
      </c>
      <c r="B35" s="4">
        <f>IF(ISNUMBER(debt_original!B35),debt_original!B35/100000000,debt_original!B35)</f>
        <v>0</v>
      </c>
      <c r="C35" s="4">
        <f>IF(ISNUMBER(debt_original!C35),debt_original!C35/100000000,debt_original!C35)</f>
        <v>0</v>
      </c>
      <c r="D35" s="4">
        <f>IF(ISNUMBER(debt_original!D35),debt_original!D35/100000000,debt_original!D35)</f>
        <v>0</v>
      </c>
      <c r="E35" s="4">
        <f>IF(ISNUMBER(debt_original!E35),debt_original!E35/100000000,debt_original!E35)</f>
        <v>0</v>
      </c>
      <c r="F35" s="4">
        <f>IF(ISNUMBER(debt_original!F35),debt_original!F35/100000000,debt_original!F35)</f>
        <v>0</v>
      </c>
      <c r="G35" s="4">
        <f>IF(ISNUMBER(debt_original!G35),debt_original!G35/100000000,debt_original!G35)</f>
        <v>0</v>
      </c>
      <c r="H35" s="4">
        <f>IF(ISNUMBER(debt_original!H35),debt_original!H35/100000000,debt_original!H35)</f>
        <v>0</v>
      </c>
      <c r="I35" s="4">
        <f>IF(ISNUMBER(debt_original!I35),debt_original!I35/100000000,debt_original!I35)</f>
        <v>0</v>
      </c>
      <c r="J35" s="4">
        <f>IF(ISNUMBER(debt_original!J35),debt_original!J35/100000000,debt_original!J35)</f>
        <v>0</v>
      </c>
      <c r="K35" s="4">
        <f>IF(ISNUMBER(debt_original!K35),debt_original!K35/100000000,debt_original!K35)</f>
        <v>0</v>
      </c>
      <c r="L35" s="4">
        <f>IF(ISNUMBER(debt_original!L35),debt_original!L35/100000000,debt_original!L35)</f>
        <v>0</v>
      </c>
      <c r="M35" s="4">
        <f>IF(ISNUMBER(debt_original!M35),debt_original!M35/100000000,debt_original!M35)</f>
        <v>0</v>
      </c>
      <c r="N35" s="4">
        <f>IF(ISNUMBER(debt_original!N35),debt_original!N35/100000000,debt_original!N35)</f>
        <v>0</v>
      </c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25">
      <c r="A36" s="3" t="s">
        <v>247</v>
      </c>
      <c r="B36" s="4" t="str">
        <f>IF(ISNUMBER(debt_original!B36),debt_original!B36/100000000,debt_original!B36)</f>
        <v>--</v>
      </c>
      <c r="C36" s="4" t="str">
        <f>IF(ISNUMBER(debt_original!C36),debt_original!C36/100000000,debt_original!C36)</f>
        <v>--</v>
      </c>
      <c r="D36" s="4" t="str">
        <f>IF(ISNUMBER(debt_original!D36),debt_original!D36/100000000,debt_original!D36)</f>
        <v>--</v>
      </c>
      <c r="E36" s="4" t="str">
        <f>IF(ISNUMBER(debt_original!E36),debt_original!E36/100000000,debt_original!E36)</f>
        <v>--</v>
      </c>
      <c r="F36" s="4" t="str">
        <f>IF(ISNUMBER(debt_original!F36),debt_original!F36/100000000,debt_original!F36)</f>
        <v>--</v>
      </c>
      <c r="G36" s="4">
        <f>IF(ISNUMBER(debt_original!G36),debt_original!G36/100000000,debt_original!G36)</f>
        <v>0.625525</v>
      </c>
      <c r="H36" s="4" t="str">
        <f>IF(ISNUMBER(debt_original!H36),debt_original!H36/100000000,debt_original!H36)</f>
        <v>--</v>
      </c>
      <c r="I36" s="4" t="str">
        <f>IF(ISNUMBER(debt_original!I36),debt_original!I36/100000000,debt_original!I36)</f>
        <v>--</v>
      </c>
      <c r="J36" s="4" t="str">
        <f>IF(ISNUMBER(debt_original!J36),debt_original!J36/100000000,debt_original!J36)</f>
        <v>--</v>
      </c>
      <c r="K36" s="4" t="str">
        <f>IF(ISNUMBER(debt_original!K36),debt_original!K36/100000000,debt_original!K36)</f>
        <v>--</v>
      </c>
      <c r="L36" s="4" t="str">
        <f>IF(ISNUMBER(debt_original!L36),debt_original!L36/100000000,debt_original!L36)</f>
        <v>--</v>
      </c>
      <c r="M36" s="4" t="str">
        <f>IF(ISNUMBER(debt_original!M36),debt_original!M36/100000000,debt_original!M36)</f>
        <v>--</v>
      </c>
      <c r="N36" s="4" t="str">
        <f>IF(ISNUMBER(debt_original!N36),debt_original!N36/100000000,debt_original!N36)</f>
        <v>--</v>
      </c>
      <c r="O36" s="3" t="s">
        <v>133</v>
      </c>
      <c r="P36" s="3" t="s">
        <v>133</v>
      </c>
      <c r="Q36" s="3" t="s">
        <v>133</v>
      </c>
      <c r="R36" s="3" t="s">
        <v>133</v>
      </c>
      <c r="S36" s="3" t="s">
        <v>133</v>
      </c>
      <c r="T36" s="3" t="s">
        <v>133</v>
      </c>
      <c r="U36" s="3">
        <v>129000000</v>
      </c>
      <c r="V36" s="3">
        <v>117100000</v>
      </c>
      <c r="W36" s="3">
        <v>147000000</v>
      </c>
    </row>
    <row r="37" spans="1:23" x14ac:dyDescent="0.25">
      <c r="A37" s="3" t="s">
        <v>248</v>
      </c>
      <c r="B37" s="4">
        <f>IF(ISNUMBER(debt_original!B37),debt_original!B37/100000000,debt_original!B37)</f>
        <v>15.136766</v>
      </c>
      <c r="C37" s="4">
        <f>IF(ISNUMBER(debt_original!C37),debt_original!C37/100000000,debt_original!C37)</f>
        <v>11.782964</v>
      </c>
      <c r="D37" s="4">
        <f>IF(ISNUMBER(debt_original!D37),debt_original!D37/100000000,debt_original!D37)</f>
        <v>9.9205590000000008</v>
      </c>
      <c r="E37" s="4">
        <f>IF(ISNUMBER(debt_original!E37),debt_original!E37/100000000,debt_original!E37)</f>
        <v>10.406082</v>
      </c>
      <c r="F37" s="4">
        <f>IF(ISNUMBER(debt_original!F37),debt_original!F37/100000000,debt_original!F37)</f>
        <v>8.809761</v>
      </c>
      <c r="G37" s="4">
        <f>IF(ISNUMBER(debt_original!G37),debt_original!G37/100000000,debt_original!G37)</f>
        <v>7.0753459999999997</v>
      </c>
      <c r="H37" s="4">
        <f>IF(ISNUMBER(debt_original!H37),debt_original!H37/100000000,debt_original!H37)</f>
        <v>2.847483</v>
      </c>
      <c r="I37" s="4">
        <f>IF(ISNUMBER(debt_original!I37),debt_original!I37/100000000,debt_original!I37)</f>
        <v>3.4528099999999999</v>
      </c>
      <c r="J37" s="4">
        <f>IF(ISNUMBER(debt_original!J37),debt_original!J37/100000000,debt_original!J37)</f>
        <v>1.723436</v>
      </c>
      <c r="K37" s="4">
        <f>IF(ISNUMBER(debt_original!K37),debt_original!K37/100000000,debt_original!K37)</f>
        <v>2.3201309999999999</v>
      </c>
      <c r="L37" s="4">
        <f>IF(ISNUMBER(debt_original!L37),debt_original!L37/100000000,debt_original!L37)</f>
        <v>1.391214</v>
      </c>
      <c r="M37" s="4">
        <f>IF(ISNUMBER(debt_original!M37),debt_original!M37/100000000,debt_original!M37)</f>
        <v>1.2128909999999999</v>
      </c>
      <c r="N37" s="4">
        <f>IF(ISNUMBER(debt_original!N37),debt_original!N37/100000000,debt_original!N37)</f>
        <v>0.59682000000000002</v>
      </c>
      <c r="O37" s="3">
        <v>41247700</v>
      </c>
      <c r="P37" s="3">
        <v>30329200</v>
      </c>
      <c r="Q37" s="3">
        <v>35782800</v>
      </c>
      <c r="R37" s="3">
        <v>40004700</v>
      </c>
      <c r="S37" s="3">
        <v>24208800</v>
      </c>
      <c r="T37" s="3">
        <v>10085000</v>
      </c>
      <c r="U37" s="3">
        <v>29849900</v>
      </c>
      <c r="V37" s="3">
        <v>30919900</v>
      </c>
      <c r="W37" s="3">
        <v>25627000</v>
      </c>
    </row>
    <row r="38" spans="1:23" x14ac:dyDescent="0.25">
      <c r="A38" s="3" t="s">
        <v>249</v>
      </c>
      <c r="B38" s="4">
        <f>IF(ISNUMBER(debt_original!B38),debt_original!B38/100000000,debt_original!B38)</f>
        <v>15.136766</v>
      </c>
      <c r="C38" s="4">
        <f>IF(ISNUMBER(debt_original!C38),debt_original!C38/100000000,debt_original!C38)</f>
        <v>11.782964</v>
      </c>
      <c r="D38" s="4">
        <f>IF(ISNUMBER(debt_original!D38),debt_original!D38/100000000,debt_original!D38)</f>
        <v>9.9205590000000008</v>
      </c>
      <c r="E38" s="4">
        <f>IF(ISNUMBER(debt_original!E38),debt_original!E38/100000000,debt_original!E38)</f>
        <v>10.406082</v>
      </c>
      <c r="F38" s="4">
        <f>IF(ISNUMBER(debt_original!F38),debt_original!F38/100000000,debt_original!F38)</f>
        <v>8.809761</v>
      </c>
      <c r="G38" s="4">
        <f>IF(ISNUMBER(debt_original!G38),debt_original!G38/100000000,debt_original!G38)</f>
        <v>7.0753459999999997</v>
      </c>
      <c r="H38" s="4">
        <f>IF(ISNUMBER(debt_original!H38),debt_original!H38/100000000,debt_original!H38)</f>
        <v>2.847483</v>
      </c>
      <c r="I38" s="4">
        <f>IF(ISNUMBER(debt_original!I38),debt_original!I38/100000000,debt_original!I38)</f>
        <v>3.4528099999999999</v>
      </c>
      <c r="J38" s="4">
        <f>IF(ISNUMBER(debt_original!J38),debt_original!J38/100000000,debt_original!J38)</f>
        <v>1.723436</v>
      </c>
      <c r="K38" s="4">
        <f>IF(ISNUMBER(debt_original!K38),debt_original!K38/100000000,debt_original!K38)</f>
        <v>2.3201309999999999</v>
      </c>
      <c r="L38" s="4">
        <f>IF(ISNUMBER(debt_original!L38),debt_original!L38/100000000,debt_original!L38)</f>
        <v>1.391214</v>
      </c>
      <c r="M38" s="4">
        <f>IF(ISNUMBER(debt_original!M38),debt_original!M38/100000000,debt_original!M38)</f>
        <v>1.2128909999999999</v>
      </c>
      <c r="N38" s="4">
        <f>IF(ISNUMBER(debt_original!N38),debt_original!N38/100000000,debt_original!N38)</f>
        <v>0.59682000000000002</v>
      </c>
      <c r="O38" s="3">
        <v>41247700</v>
      </c>
      <c r="P38" s="3">
        <v>30329200</v>
      </c>
      <c r="Q38" s="3">
        <v>35782800</v>
      </c>
      <c r="R38" s="3">
        <v>40004700</v>
      </c>
      <c r="S38" s="3">
        <v>24208800</v>
      </c>
      <c r="T38" s="3">
        <v>10085000</v>
      </c>
      <c r="U38" s="3">
        <v>29849900</v>
      </c>
      <c r="V38" s="3">
        <v>30919900</v>
      </c>
      <c r="W38" s="3">
        <v>25627000</v>
      </c>
    </row>
    <row r="39" spans="1:23" x14ac:dyDescent="0.25">
      <c r="A39" s="3" t="s">
        <v>250</v>
      </c>
      <c r="B39" s="4">
        <f>IF(ISNUMBER(debt_original!B39),debt_original!B39/100000000,debt_original!B39)</f>
        <v>137.40329700000001</v>
      </c>
      <c r="C39" s="4">
        <f>IF(ISNUMBER(debt_original!C39),debt_original!C39/100000000,debt_original!C39)</f>
        <v>135.76516799999999</v>
      </c>
      <c r="D39" s="4">
        <f>IF(ISNUMBER(debt_original!D39),debt_original!D39/100000000,debt_original!D39)</f>
        <v>144.29106899999999</v>
      </c>
      <c r="E39" s="4">
        <f>IF(ISNUMBER(debt_original!E39),debt_original!E39/100000000,debt_original!E39)</f>
        <v>175.410822</v>
      </c>
      <c r="F39" s="4">
        <f>IF(ISNUMBER(debt_original!F39),debt_original!F39/100000000,debt_original!F39)</f>
        <v>82.615820999999997</v>
      </c>
      <c r="G39" s="4">
        <f>IF(ISNUMBER(debt_original!G39),debt_original!G39/100000000,debt_original!G39)</f>
        <v>14.762331</v>
      </c>
      <c r="H39" s="4">
        <f>IF(ISNUMBER(debt_original!H39),debt_original!H39/100000000,debt_original!H39)</f>
        <v>30.451136000000002</v>
      </c>
      <c r="I39" s="4">
        <f>IF(ISNUMBER(debt_original!I39),debt_original!I39/100000000,debt_original!I39)</f>
        <v>50.913862999999999</v>
      </c>
      <c r="J39" s="4">
        <f>IF(ISNUMBER(debt_original!J39),debt_original!J39/100000000,debt_original!J39)</f>
        <v>70.266487999999995</v>
      </c>
      <c r="K39" s="4">
        <f>IF(ISNUMBER(debt_original!K39),debt_original!K39/100000000,debt_original!K39)</f>
        <v>47.385708000000001</v>
      </c>
      <c r="L39" s="4">
        <f>IF(ISNUMBER(debt_original!L39),debt_original!L39/100000000,debt_original!L39)</f>
        <v>35.164239000000002</v>
      </c>
      <c r="M39" s="4">
        <f>IF(ISNUMBER(debt_original!M39),debt_original!M39/100000000,debt_original!M39)</f>
        <v>29.362663999999999</v>
      </c>
      <c r="N39" s="4">
        <f>IF(ISNUMBER(debt_original!N39),debt_original!N39/100000000,debt_original!N39)</f>
        <v>11.252882</v>
      </c>
      <c r="O39" s="3">
        <v>2141468800</v>
      </c>
      <c r="P39" s="3">
        <v>1543198300</v>
      </c>
      <c r="Q39" s="3">
        <v>1036893700</v>
      </c>
      <c r="R39" s="3">
        <v>745368400</v>
      </c>
      <c r="S39" s="3">
        <v>452516800</v>
      </c>
      <c r="T39" s="3">
        <v>306147000</v>
      </c>
      <c r="U39" s="3">
        <v>385340200</v>
      </c>
      <c r="V39" s="3">
        <v>86012400</v>
      </c>
      <c r="W39" s="3">
        <v>93845100</v>
      </c>
    </row>
    <row r="40" spans="1:23" x14ac:dyDescent="0.25">
      <c r="A40" s="3" t="s">
        <v>251</v>
      </c>
      <c r="B40" s="4" t="str">
        <f>IF(ISNUMBER(debt_original!B40),debt_original!B40/100000000,debt_original!B40)</f>
        <v>--</v>
      </c>
      <c r="C40" s="4" t="str">
        <f>IF(ISNUMBER(debt_original!C40),debt_original!C40/100000000,debt_original!C40)</f>
        <v>--</v>
      </c>
      <c r="D40" s="4" t="str">
        <f>IF(ISNUMBER(debt_original!D40),debt_original!D40/100000000,debt_original!D40)</f>
        <v>--</v>
      </c>
      <c r="E40" s="4" t="str">
        <f>IF(ISNUMBER(debt_original!E40),debt_original!E40/100000000,debt_original!E40)</f>
        <v>--</v>
      </c>
      <c r="F40" s="4" t="str">
        <f>IF(ISNUMBER(debt_original!F40),debt_original!F40/100000000,debt_original!F40)</f>
        <v>--</v>
      </c>
      <c r="G40" s="4" t="str">
        <f>IF(ISNUMBER(debt_original!G40),debt_original!G40/100000000,debt_original!G40)</f>
        <v>--</v>
      </c>
      <c r="H40" s="4" t="str">
        <f>IF(ISNUMBER(debt_original!H40),debt_original!H40/100000000,debt_original!H40)</f>
        <v>--</v>
      </c>
      <c r="I40" s="4" t="str">
        <f>IF(ISNUMBER(debt_original!I40),debt_original!I40/100000000,debt_original!I40)</f>
        <v>--</v>
      </c>
      <c r="J40" s="4" t="str">
        <f>IF(ISNUMBER(debt_original!J40),debt_original!J40/100000000,debt_original!J40)</f>
        <v>--</v>
      </c>
      <c r="K40" s="4" t="str">
        <f>IF(ISNUMBER(debt_original!K40),debt_original!K40/100000000,debt_original!K40)</f>
        <v>--</v>
      </c>
      <c r="L40" s="4" t="str">
        <f>IF(ISNUMBER(debt_original!L40),debt_original!L40/100000000,debt_original!L40)</f>
        <v>--</v>
      </c>
      <c r="M40" s="4" t="str">
        <f>IF(ISNUMBER(debt_original!M40),debt_original!M40/100000000,debt_original!M40)</f>
        <v>--</v>
      </c>
      <c r="N40" s="4" t="str">
        <f>IF(ISNUMBER(debt_original!N40),debt_original!N40/100000000,debt_original!N40)</f>
        <v>--</v>
      </c>
      <c r="O40" s="3" t="s">
        <v>133</v>
      </c>
      <c r="P40" s="3" t="s">
        <v>133</v>
      </c>
      <c r="Q40" s="3" t="s">
        <v>133</v>
      </c>
      <c r="R40" s="3" t="s">
        <v>133</v>
      </c>
      <c r="S40" s="3" t="s">
        <v>133</v>
      </c>
      <c r="T40" s="3" t="s">
        <v>133</v>
      </c>
      <c r="U40" s="3" t="s">
        <v>133</v>
      </c>
      <c r="V40" s="3" t="s">
        <v>133</v>
      </c>
      <c r="W40" s="3" t="s">
        <v>133</v>
      </c>
    </row>
    <row r="41" spans="1:23" x14ac:dyDescent="0.25">
      <c r="A41" s="3" t="s">
        <v>252</v>
      </c>
      <c r="B41" s="4">
        <f>IF(ISNUMBER(debt_original!B41),debt_original!B41/100000000,debt_original!B41)</f>
        <v>24.450710000000001</v>
      </c>
      <c r="C41" s="4">
        <f>IF(ISNUMBER(debt_original!C41),debt_original!C41/100000000,debt_original!C41)</f>
        <v>20.345147000000001</v>
      </c>
      <c r="D41" s="4">
        <f>IF(ISNUMBER(debt_original!D41),debt_original!D41/100000000,debt_original!D41)</f>
        <v>19.016442000000001</v>
      </c>
      <c r="E41" s="4">
        <f>IF(ISNUMBER(debt_original!E41),debt_original!E41/100000000,debt_original!E41)</f>
        <v>16.285073000000001</v>
      </c>
      <c r="F41" s="4">
        <f>IF(ISNUMBER(debt_original!F41),debt_original!F41/100000000,debt_original!F41)</f>
        <v>9.7547770000000007</v>
      </c>
      <c r="G41" s="4">
        <f>IF(ISNUMBER(debt_original!G41),debt_original!G41/100000000,debt_original!G41)</f>
        <v>9.8864380000000001</v>
      </c>
      <c r="H41" s="4">
        <f>IF(ISNUMBER(debt_original!H41),debt_original!H41/100000000,debt_original!H41)</f>
        <v>2.6028449999999999</v>
      </c>
      <c r="I41" s="4">
        <f>IF(ISNUMBER(debt_original!I41),debt_original!I41/100000000,debt_original!I41)</f>
        <v>2.6965780000000001</v>
      </c>
      <c r="J41" s="4">
        <f>IF(ISNUMBER(debt_original!J41),debt_original!J41/100000000,debt_original!J41)</f>
        <v>5.7752290000000004</v>
      </c>
      <c r="K41" s="4">
        <f>IF(ISNUMBER(debt_original!K41),debt_original!K41/100000000,debt_original!K41)</f>
        <v>5.0025870000000001</v>
      </c>
      <c r="L41" s="4">
        <f>IF(ISNUMBER(debt_original!L41),debt_original!L41/100000000,debt_original!L41)</f>
        <v>4.6394859999999998</v>
      </c>
      <c r="M41" s="4">
        <f>IF(ISNUMBER(debt_original!M41),debt_original!M41/100000000,debt_original!M41)</f>
        <v>3.6100750000000001</v>
      </c>
      <c r="N41" s="4">
        <f>IF(ISNUMBER(debt_original!N41),debt_original!N41/100000000,debt_original!N41)</f>
        <v>0.545964</v>
      </c>
      <c r="O41" s="3">
        <v>109191200</v>
      </c>
      <c r="P41" s="3">
        <v>94549200</v>
      </c>
      <c r="Q41" s="3">
        <v>62895100</v>
      </c>
      <c r="R41" s="3">
        <v>55513800</v>
      </c>
      <c r="S41" s="3">
        <v>61785500</v>
      </c>
      <c r="T41" s="3">
        <v>19823100</v>
      </c>
      <c r="U41" s="3">
        <v>6707000</v>
      </c>
      <c r="V41" s="3">
        <v>890300</v>
      </c>
      <c r="W41" s="3" t="s">
        <v>133</v>
      </c>
    </row>
    <row r="42" spans="1:23" x14ac:dyDescent="0.25">
      <c r="A42" s="3" t="s">
        <v>253</v>
      </c>
      <c r="B42" s="4">
        <f>IF(ISNUMBER(debt_original!B42),debt_original!B42/100000000,debt_original!B42)</f>
        <v>87.559493000000003</v>
      </c>
      <c r="C42" s="4">
        <f>IF(ISNUMBER(debt_original!C42),debt_original!C42/100000000,debt_original!C42)</f>
        <v>107.71075999999999</v>
      </c>
      <c r="D42" s="4">
        <f>IF(ISNUMBER(debt_original!D42),debt_original!D42/100000000,debt_original!D42)</f>
        <v>77.261357000000004</v>
      </c>
      <c r="E42" s="4">
        <f>IF(ISNUMBER(debt_original!E42),debt_original!E42/100000000,debt_original!E42)</f>
        <v>42.722892000000002</v>
      </c>
      <c r="F42" s="4">
        <f>IF(ISNUMBER(debt_original!F42),debt_original!F42/100000000,debt_original!F42)</f>
        <v>25.155162000000001</v>
      </c>
      <c r="G42" s="4">
        <f>IF(ISNUMBER(debt_original!G42),debt_original!G42/100000000,debt_original!G42)</f>
        <v>21.051781999999999</v>
      </c>
      <c r="H42" s="4">
        <f>IF(ISNUMBER(debt_original!H42),debt_original!H42/100000000,debt_original!H42)</f>
        <v>33.118808999999999</v>
      </c>
      <c r="I42" s="4">
        <f>IF(ISNUMBER(debt_original!I42),debt_original!I42/100000000,debt_original!I42)</f>
        <v>24.300934999999999</v>
      </c>
      <c r="J42" s="4">
        <f>IF(ISNUMBER(debt_original!J42),debt_original!J42/100000000,debt_original!J42)</f>
        <v>7.8808090000000002</v>
      </c>
      <c r="K42" s="4">
        <f>IF(ISNUMBER(debt_original!K42),debt_original!K42/100000000,debt_original!K42)</f>
        <v>4.1988300000000001</v>
      </c>
      <c r="L42" s="4">
        <f>IF(ISNUMBER(debt_original!L42),debt_original!L42/100000000,debt_original!L42)</f>
        <v>1.4052500000000001</v>
      </c>
      <c r="M42" s="4">
        <f>IF(ISNUMBER(debt_original!M42),debt_original!M42/100000000,debt_original!M42)</f>
        <v>2.5630030000000001</v>
      </c>
      <c r="N42" s="4">
        <f>IF(ISNUMBER(debt_original!N42),debt_original!N42/100000000,debt_original!N42)</f>
        <v>4.0774739999999996</v>
      </c>
      <c r="O42" s="3">
        <v>811005400</v>
      </c>
      <c r="P42" s="3">
        <v>919289000</v>
      </c>
      <c r="Q42" s="3">
        <v>600137500</v>
      </c>
      <c r="R42" s="3">
        <v>425108400</v>
      </c>
      <c r="S42" s="3">
        <v>331080100</v>
      </c>
      <c r="T42" s="3">
        <v>247668500</v>
      </c>
      <c r="U42" s="3">
        <v>162973500</v>
      </c>
      <c r="V42" s="3">
        <v>278351000</v>
      </c>
      <c r="W42" s="3">
        <v>162312200</v>
      </c>
    </row>
    <row r="43" spans="1:23" x14ac:dyDescent="0.25">
      <c r="A43" s="3" t="s">
        <v>254</v>
      </c>
      <c r="B43" s="4">
        <f>IF(ISNUMBER(debt_original!B43),debt_original!B43/100000000,debt_original!B43)</f>
        <v>35.895166000000003</v>
      </c>
      <c r="C43" s="4">
        <f>IF(ISNUMBER(debt_original!C43),debt_original!C43/100000000,debt_original!C43)</f>
        <v>34.047711</v>
      </c>
      <c r="D43" s="4">
        <f>IF(ISNUMBER(debt_original!D43),debt_original!D43/100000000,debt_original!D43)</f>
        <v>30.633628999999999</v>
      </c>
      <c r="E43" s="4">
        <f>IF(ISNUMBER(debt_original!E43),debt_original!E43/100000000,debt_original!E43)</f>
        <v>17.591201999999999</v>
      </c>
      <c r="F43" s="4">
        <f>IF(ISNUMBER(debt_original!F43),debt_original!F43/100000000,debt_original!F43)</f>
        <v>14.505487</v>
      </c>
      <c r="G43" s="4">
        <f>IF(ISNUMBER(debt_original!G43),debt_original!G43/100000000,debt_original!G43)</f>
        <v>12.472514</v>
      </c>
      <c r="H43" s="4">
        <f>IF(ISNUMBER(debt_original!H43),debt_original!H43/100000000,debt_original!H43)</f>
        <v>16.320720000000001</v>
      </c>
      <c r="I43" s="4">
        <f>IF(ISNUMBER(debt_original!I43),debt_original!I43/100000000,debt_original!I43)</f>
        <v>13.899841</v>
      </c>
      <c r="J43" s="4">
        <f>IF(ISNUMBER(debt_original!J43),debt_original!J43/100000000,debt_original!J43)</f>
        <v>9.161232</v>
      </c>
      <c r="K43" s="4">
        <f>IF(ISNUMBER(debt_original!K43),debt_original!K43/100000000,debt_original!K43)</f>
        <v>11.374647</v>
      </c>
      <c r="L43" s="4">
        <f>IF(ISNUMBER(debt_original!L43),debt_original!L43/100000000,debt_original!L43)</f>
        <v>8.4803890000000006</v>
      </c>
      <c r="M43" s="4">
        <f>IF(ISNUMBER(debt_original!M43),debt_original!M43/100000000,debt_original!M43)</f>
        <v>5.7590640000000004</v>
      </c>
      <c r="N43" s="4">
        <f>IF(ISNUMBER(debt_original!N43),debt_original!N43/100000000,debt_original!N43)</f>
        <v>4.653022</v>
      </c>
      <c r="O43" s="3">
        <v>300028400</v>
      </c>
      <c r="P43" s="3">
        <v>306530600</v>
      </c>
      <c r="Q43" s="3">
        <v>413485800</v>
      </c>
      <c r="R43" s="3">
        <v>214321800</v>
      </c>
      <c r="S43" s="3">
        <v>183031400</v>
      </c>
      <c r="T43" s="3">
        <v>341800000</v>
      </c>
      <c r="U43" s="3">
        <v>111197900</v>
      </c>
      <c r="V43" s="3">
        <v>59024900</v>
      </c>
      <c r="W43" s="3">
        <v>18613200</v>
      </c>
    </row>
    <row r="44" spans="1:23" x14ac:dyDescent="0.25">
      <c r="A44" s="3" t="s">
        <v>255</v>
      </c>
      <c r="B44" s="4">
        <f>IF(ISNUMBER(debt_original!B44),debt_original!B44/100000000,debt_original!B44)</f>
        <v>1.11E-4</v>
      </c>
      <c r="C44" s="4">
        <f>IF(ISNUMBER(debt_original!C44),debt_original!C44/100000000,debt_original!C44)</f>
        <v>0.427705</v>
      </c>
      <c r="D44" s="4">
        <f>IF(ISNUMBER(debt_original!D44),debt_original!D44/100000000,debt_original!D44)</f>
        <v>0.23414599999999999</v>
      </c>
      <c r="E44" s="4">
        <f>IF(ISNUMBER(debt_original!E44),debt_original!E44/100000000,debt_original!E44)</f>
        <v>0.34481600000000001</v>
      </c>
      <c r="F44" s="4">
        <f>IF(ISNUMBER(debt_original!F44),debt_original!F44/100000000,debt_original!F44)</f>
        <v>0.274094</v>
      </c>
      <c r="G44" s="4">
        <f>IF(ISNUMBER(debt_original!G44),debt_original!G44/100000000,debt_original!G44)</f>
        <v>0.15365200000000001</v>
      </c>
      <c r="H44" s="4">
        <f>IF(ISNUMBER(debt_original!H44),debt_original!H44/100000000,debt_original!H44)</f>
        <v>0.273839</v>
      </c>
      <c r="I44" s="4" t="str">
        <f>IF(ISNUMBER(debt_original!I44),debt_original!I44/100000000,debt_original!I44)</f>
        <v>--</v>
      </c>
      <c r="J44" s="4" t="str">
        <f>IF(ISNUMBER(debt_original!J44),debt_original!J44/100000000,debt_original!J44)</f>
        <v>--</v>
      </c>
      <c r="K44" s="4" t="str">
        <f>IF(ISNUMBER(debt_original!K44),debt_original!K44/100000000,debt_original!K44)</f>
        <v>--</v>
      </c>
      <c r="L44" s="4" t="str">
        <f>IF(ISNUMBER(debt_original!L44),debt_original!L44/100000000,debt_original!L44)</f>
        <v>--</v>
      </c>
      <c r="M44" s="4" t="str">
        <f>IF(ISNUMBER(debt_original!M44),debt_original!M44/100000000,debt_original!M44)</f>
        <v>--</v>
      </c>
      <c r="N44" s="4" t="str">
        <f>IF(ISNUMBER(debt_original!N44),debt_original!N44/100000000,debt_original!N44)</f>
        <v>--</v>
      </c>
      <c r="O44" s="3" t="s">
        <v>133</v>
      </c>
      <c r="P44" s="3" t="s">
        <v>133</v>
      </c>
      <c r="Q44" s="3" t="s">
        <v>133</v>
      </c>
      <c r="R44" s="3" t="s">
        <v>133</v>
      </c>
      <c r="S44" s="3" t="s">
        <v>133</v>
      </c>
      <c r="T44" s="3" t="s">
        <v>133</v>
      </c>
      <c r="U44" s="3" t="s">
        <v>133</v>
      </c>
      <c r="V44" s="3" t="s">
        <v>133</v>
      </c>
      <c r="W44" s="3" t="s">
        <v>133</v>
      </c>
    </row>
    <row r="45" spans="1:23" x14ac:dyDescent="0.25">
      <c r="A45" s="3" t="s">
        <v>256</v>
      </c>
      <c r="B45" s="4">
        <f>IF(ISNUMBER(debt_original!B45),debt_original!B45/100000000,debt_original!B45)</f>
        <v>4.4687999999999999</v>
      </c>
      <c r="C45" s="4" t="str">
        <f>IF(ISNUMBER(debt_original!C45),debt_original!C45/100000000,debt_original!C45)</f>
        <v>--</v>
      </c>
      <c r="D45" s="4" t="str">
        <f>IF(ISNUMBER(debt_original!D45),debt_original!D45/100000000,debt_original!D45)</f>
        <v>--</v>
      </c>
      <c r="E45" s="4" t="str">
        <f>IF(ISNUMBER(debt_original!E45),debt_original!E45/100000000,debt_original!E45)</f>
        <v>--</v>
      </c>
      <c r="F45" s="4" t="str">
        <f>IF(ISNUMBER(debt_original!F45),debt_original!F45/100000000,debt_original!F45)</f>
        <v>--</v>
      </c>
      <c r="G45" s="4" t="str">
        <f>IF(ISNUMBER(debt_original!G45),debt_original!G45/100000000,debt_original!G45)</f>
        <v>--</v>
      </c>
      <c r="H45" s="4" t="str">
        <f>IF(ISNUMBER(debt_original!H45),debt_original!H45/100000000,debt_original!H45)</f>
        <v>--</v>
      </c>
      <c r="I45" s="4" t="str">
        <f>IF(ISNUMBER(debt_original!I45),debt_original!I45/100000000,debt_original!I45)</f>
        <v>--</v>
      </c>
      <c r="J45" s="4" t="str">
        <f>IF(ISNUMBER(debt_original!J45),debt_original!J45/100000000,debt_original!J45)</f>
        <v>--</v>
      </c>
      <c r="K45" s="4">
        <f>IF(ISNUMBER(debt_original!K45),debt_original!K45/100000000,debt_original!K45)</f>
        <v>3.1858420000000001</v>
      </c>
      <c r="L45" s="4">
        <f>IF(ISNUMBER(debt_original!L45),debt_original!L45/100000000,debt_original!L45)</f>
        <v>1.372077</v>
      </c>
      <c r="M45" s="4" t="str">
        <f>IF(ISNUMBER(debt_original!M45),debt_original!M45/100000000,debt_original!M45)</f>
        <v>--</v>
      </c>
      <c r="N45" s="4">
        <f>IF(ISNUMBER(debt_original!N45),debt_original!N45/100000000,debt_original!N45)</f>
        <v>0.41807</v>
      </c>
      <c r="O45" s="3" t="s">
        <v>133</v>
      </c>
      <c r="P45" s="3">
        <v>37181800</v>
      </c>
      <c r="Q45" s="3">
        <v>17440900</v>
      </c>
      <c r="R45" s="3">
        <v>1212800</v>
      </c>
      <c r="S45" s="3">
        <v>55577500</v>
      </c>
      <c r="T45" s="3">
        <v>165107800</v>
      </c>
      <c r="U45" s="3">
        <v>5617000</v>
      </c>
      <c r="V45" s="3" t="s">
        <v>133</v>
      </c>
      <c r="W45" s="3" t="s">
        <v>133</v>
      </c>
    </row>
    <row r="46" spans="1:23" x14ac:dyDescent="0.25">
      <c r="A46" s="3" t="s">
        <v>257</v>
      </c>
      <c r="B46" s="4" t="str">
        <f>IF(ISNUMBER(debt_original!B46),debt_original!B46/100000000,debt_original!B46)</f>
        <v>--</v>
      </c>
      <c r="C46" s="4">
        <f>IF(ISNUMBER(debt_original!C46),debt_original!C46/100000000,debt_original!C46)</f>
        <v>33.620005999999997</v>
      </c>
      <c r="D46" s="4">
        <f>IF(ISNUMBER(debt_original!D46),debt_original!D46/100000000,debt_original!D46)</f>
        <v>30.399483</v>
      </c>
      <c r="E46" s="4">
        <f>IF(ISNUMBER(debt_original!E46),debt_original!E46/100000000,debt_original!E46)</f>
        <v>17.246386000000001</v>
      </c>
      <c r="F46" s="4">
        <f>IF(ISNUMBER(debt_original!F46),debt_original!F46/100000000,debt_original!F46)</f>
        <v>14.231392</v>
      </c>
      <c r="G46" s="4">
        <f>IF(ISNUMBER(debt_original!G46),debt_original!G46/100000000,debt_original!G46)</f>
        <v>12.318861999999999</v>
      </c>
      <c r="H46" s="4">
        <f>IF(ISNUMBER(debt_original!H46),debt_original!H46/100000000,debt_original!H46)</f>
        <v>16.046882</v>
      </c>
      <c r="I46" s="4">
        <f>IF(ISNUMBER(debt_original!I46),debt_original!I46/100000000,debt_original!I46)</f>
        <v>13.899841</v>
      </c>
      <c r="J46" s="4">
        <f>IF(ISNUMBER(debt_original!J46),debt_original!J46/100000000,debt_original!J46)</f>
        <v>9.161232</v>
      </c>
      <c r="K46" s="4">
        <f>IF(ISNUMBER(debt_original!K46),debt_original!K46/100000000,debt_original!K46)</f>
        <v>8.1888059999999996</v>
      </c>
      <c r="L46" s="4">
        <f>IF(ISNUMBER(debt_original!L46),debt_original!L46/100000000,debt_original!L46)</f>
        <v>7.1083119999999997</v>
      </c>
      <c r="M46" s="4">
        <f>IF(ISNUMBER(debt_original!M46),debt_original!M46/100000000,debt_original!M46)</f>
        <v>5.7590640000000004</v>
      </c>
      <c r="N46" s="4">
        <f>IF(ISNUMBER(debt_original!N46),debt_original!N46/100000000,debt_original!N46)</f>
        <v>4.2349519999999998</v>
      </c>
      <c r="O46" s="3">
        <v>300028400</v>
      </c>
      <c r="P46" s="3">
        <v>269348800</v>
      </c>
      <c r="Q46" s="3">
        <v>396044900</v>
      </c>
      <c r="R46" s="3">
        <v>213109000</v>
      </c>
      <c r="S46" s="3">
        <v>127453900</v>
      </c>
      <c r="T46" s="3">
        <v>176692100</v>
      </c>
      <c r="U46" s="3">
        <v>105580900</v>
      </c>
      <c r="V46" s="3">
        <v>59024900</v>
      </c>
      <c r="W46" s="3">
        <v>18613200</v>
      </c>
    </row>
    <row r="47" spans="1:23" x14ac:dyDescent="0.25">
      <c r="A47" s="3" t="s">
        <v>258</v>
      </c>
      <c r="B47" s="4" t="str">
        <f>IF(ISNUMBER(debt_original!B47),debt_original!B47/100000000,debt_original!B47)</f>
        <v>--</v>
      </c>
      <c r="C47" s="4" t="str">
        <f>IF(ISNUMBER(debt_original!C47),debt_original!C47/100000000,debt_original!C47)</f>
        <v>--</v>
      </c>
      <c r="D47" s="4" t="str">
        <f>IF(ISNUMBER(debt_original!D47),debt_original!D47/100000000,debt_original!D47)</f>
        <v>--</v>
      </c>
      <c r="E47" s="4" t="str">
        <f>IF(ISNUMBER(debt_original!E47),debt_original!E47/100000000,debt_original!E47)</f>
        <v>--</v>
      </c>
      <c r="F47" s="4" t="str">
        <f>IF(ISNUMBER(debt_original!F47),debt_original!F47/100000000,debt_original!F47)</f>
        <v>--</v>
      </c>
      <c r="G47" s="4" t="str">
        <f>IF(ISNUMBER(debt_original!G47),debt_original!G47/100000000,debt_original!G47)</f>
        <v>--</v>
      </c>
      <c r="H47" s="4" t="str">
        <f>IF(ISNUMBER(debt_original!H47),debt_original!H47/100000000,debt_original!H47)</f>
        <v>--</v>
      </c>
      <c r="I47" s="4" t="str">
        <f>IF(ISNUMBER(debt_original!I47),debt_original!I47/100000000,debt_original!I47)</f>
        <v>--</v>
      </c>
      <c r="J47" s="4" t="str">
        <f>IF(ISNUMBER(debt_original!J47),debt_original!J47/100000000,debt_original!J47)</f>
        <v>--</v>
      </c>
      <c r="K47" s="4" t="str">
        <f>IF(ISNUMBER(debt_original!K47),debt_original!K47/100000000,debt_original!K47)</f>
        <v>--</v>
      </c>
      <c r="L47" s="4" t="str">
        <f>IF(ISNUMBER(debt_original!L47),debt_original!L47/100000000,debt_original!L47)</f>
        <v>--</v>
      </c>
      <c r="M47" s="4" t="str">
        <f>IF(ISNUMBER(debt_original!M47),debt_original!M47/100000000,debt_original!M47)</f>
        <v>--</v>
      </c>
      <c r="N47" s="4" t="str">
        <f>IF(ISNUMBER(debt_original!N47),debt_original!N47/100000000,debt_original!N47)</f>
        <v>--</v>
      </c>
      <c r="O47" s="3" t="s">
        <v>133</v>
      </c>
      <c r="P47" s="3" t="s">
        <v>133</v>
      </c>
      <c r="Q47" s="3" t="s">
        <v>133</v>
      </c>
      <c r="R47" s="3" t="s">
        <v>133</v>
      </c>
      <c r="S47" s="3" t="s">
        <v>133</v>
      </c>
      <c r="T47" s="3" t="s">
        <v>133</v>
      </c>
      <c r="U47" s="3" t="s">
        <v>133</v>
      </c>
      <c r="V47" s="3">
        <v>57360000</v>
      </c>
      <c r="W47" s="3" t="s">
        <v>133</v>
      </c>
    </row>
    <row r="48" spans="1:23" x14ac:dyDescent="0.25">
      <c r="A48" s="3" t="s">
        <v>259</v>
      </c>
      <c r="B48" s="4" t="str">
        <f>IF(ISNUMBER(debt_original!B48),debt_original!B48/100000000,debt_original!B48)</f>
        <v>--</v>
      </c>
      <c r="C48" s="4" t="str">
        <f>IF(ISNUMBER(debt_original!C48),debt_original!C48/100000000,debt_original!C48)</f>
        <v>--</v>
      </c>
      <c r="D48" s="4" t="str">
        <f>IF(ISNUMBER(debt_original!D48),debt_original!D48/100000000,debt_original!D48)</f>
        <v>--</v>
      </c>
      <c r="E48" s="4" t="str">
        <f>IF(ISNUMBER(debt_original!E48),debt_original!E48/100000000,debt_original!E48)</f>
        <v>--</v>
      </c>
      <c r="F48" s="4" t="str">
        <f>IF(ISNUMBER(debt_original!F48),debt_original!F48/100000000,debt_original!F48)</f>
        <v>--</v>
      </c>
      <c r="G48" s="4" t="str">
        <f>IF(ISNUMBER(debt_original!G48),debt_original!G48/100000000,debt_original!G48)</f>
        <v>--</v>
      </c>
      <c r="H48" s="4" t="str">
        <f>IF(ISNUMBER(debt_original!H48),debt_original!H48/100000000,debt_original!H48)</f>
        <v>--</v>
      </c>
      <c r="I48" s="4" t="str">
        <f>IF(ISNUMBER(debt_original!I48),debt_original!I48/100000000,debt_original!I48)</f>
        <v>--</v>
      </c>
      <c r="J48" s="4" t="str">
        <f>IF(ISNUMBER(debt_original!J48),debt_original!J48/100000000,debt_original!J48)</f>
        <v>--</v>
      </c>
      <c r="K48" s="4" t="str">
        <f>IF(ISNUMBER(debt_original!K48),debt_original!K48/100000000,debt_original!K48)</f>
        <v>--</v>
      </c>
      <c r="L48" s="4" t="str">
        <f>IF(ISNUMBER(debt_original!L48),debt_original!L48/100000000,debt_original!L48)</f>
        <v>--</v>
      </c>
      <c r="M48" s="4" t="str">
        <f>IF(ISNUMBER(debt_original!M48),debt_original!M48/100000000,debt_original!M48)</f>
        <v>--</v>
      </c>
      <c r="N48" s="4" t="str">
        <f>IF(ISNUMBER(debt_original!N48),debt_original!N48/100000000,debt_original!N48)</f>
        <v>--</v>
      </c>
      <c r="O48" s="3" t="s">
        <v>133</v>
      </c>
      <c r="P48" s="3" t="s">
        <v>133</v>
      </c>
      <c r="Q48" s="3" t="s">
        <v>133</v>
      </c>
      <c r="R48" s="3" t="s">
        <v>133</v>
      </c>
      <c r="S48" s="3" t="s">
        <v>133</v>
      </c>
      <c r="T48" s="3" t="s">
        <v>133</v>
      </c>
      <c r="U48" s="3" t="s">
        <v>133</v>
      </c>
      <c r="V48" s="3" t="s">
        <v>133</v>
      </c>
      <c r="W48" s="3" t="s">
        <v>133</v>
      </c>
    </row>
    <row r="49" spans="1:23" x14ac:dyDescent="0.25">
      <c r="A49" s="3" t="s">
        <v>28</v>
      </c>
      <c r="B49" s="4">
        <f>IF(ISNUMBER(debt_original!B49),debt_original!B49/100000000,debt_original!B49)</f>
        <v>410.93299200000001</v>
      </c>
      <c r="C49" s="4">
        <f>IF(ISNUMBER(debt_original!C49),debt_original!C49/100000000,debt_original!C49)</f>
        <v>424.381868</v>
      </c>
      <c r="D49" s="4">
        <f>IF(ISNUMBER(debt_original!D49),debt_original!D49/100000000,debt_original!D49)</f>
        <v>385.74919399999999</v>
      </c>
      <c r="E49" s="4">
        <f>IF(ISNUMBER(debt_original!E49),debt_original!E49/100000000,debt_original!E49)</f>
        <v>370.20425399999999</v>
      </c>
      <c r="F49" s="4">
        <f>IF(ISNUMBER(debt_original!F49),debt_original!F49/100000000,debt_original!F49)</f>
        <v>200.51723000000001</v>
      </c>
      <c r="G49" s="4">
        <f>IF(ISNUMBER(debt_original!G49),debt_original!G49/100000000,debt_original!G49)</f>
        <v>105.438444</v>
      </c>
      <c r="H49" s="4">
        <f>IF(ISNUMBER(debt_original!H49),debt_original!H49/100000000,debt_original!H49)</f>
        <v>113.072884</v>
      </c>
      <c r="I49" s="4">
        <f>IF(ISNUMBER(debt_original!I49),debt_original!I49/100000000,debt_original!I49)</f>
        <v>95.264026000000001</v>
      </c>
      <c r="J49" s="4">
        <f>IF(ISNUMBER(debt_original!J49),debt_original!J49/100000000,debt_original!J49)</f>
        <v>94.807193999999996</v>
      </c>
      <c r="K49" s="4">
        <f>IF(ISNUMBER(debt_original!K49),debt_original!K49/100000000,debt_original!K49)</f>
        <v>70.281902000000002</v>
      </c>
      <c r="L49" s="4">
        <f>IF(ISNUMBER(debt_original!L49),debt_original!L49/100000000,debt_original!L49)</f>
        <v>51.080578000000003</v>
      </c>
      <c r="M49" s="4">
        <f>IF(ISNUMBER(debt_original!M49),debt_original!M49/100000000,debt_original!M49)</f>
        <v>42.507694999999998</v>
      </c>
      <c r="N49" s="4">
        <f>IF(ISNUMBER(debt_original!N49),debt_original!N49/100000000,debt_original!N49)</f>
        <v>21.126161</v>
      </c>
      <c r="O49" s="3">
        <v>3402941500</v>
      </c>
      <c r="P49" s="3">
        <v>2895201400</v>
      </c>
      <c r="Q49" s="3">
        <v>2156645200</v>
      </c>
      <c r="R49" s="3">
        <v>1485541700</v>
      </c>
      <c r="S49" s="3">
        <v>1056171100</v>
      </c>
      <c r="T49" s="3">
        <v>925757000</v>
      </c>
      <c r="U49" s="3">
        <v>825076600</v>
      </c>
      <c r="V49" s="3">
        <v>629695100</v>
      </c>
      <c r="W49" s="3">
        <v>447397500</v>
      </c>
    </row>
    <row r="50" spans="1:23" x14ac:dyDescent="0.25">
      <c r="A50" s="3" t="s">
        <v>260</v>
      </c>
      <c r="B50" s="4">
        <f>IF(ISNUMBER(debt_original!B50),debt_original!B50/100000000,debt_original!B50)</f>
        <v>0</v>
      </c>
      <c r="C50" s="4">
        <f>IF(ISNUMBER(debt_original!C50),debt_original!C50/100000000,debt_original!C50)</f>
        <v>0</v>
      </c>
      <c r="D50" s="4">
        <f>IF(ISNUMBER(debt_original!D50),debt_original!D50/100000000,debt_original!D50)</f>
        <v>0</v>
      </c>
      <c r="E50" s="4">
        <f>IF(ISNUMBER(debt_original!E50),debt_original!E50/100000000,debt_original!E50)</f>
        <v>0</v>
      </c>
      <c r="F50" s="4">
        <f>IF(ISNUMBER(debt_original!F50),debt_original!F50/100000000,debt_original!F50)</f>
        <v>0</v>
      </c>
      <c r="G50" s="4">
        <f>IF(ISNUMBER(debt_original!G50),debt_original!G50/100000000,debt_original!G50)</f>
        <v>0</v>
      </c>
      <c r="H50" s="4">
        <f>IF(ISNUMBER(debt_original!H50),debt_original!H50/100000000,debt_original!H50)</f>
        <v>0</v>
      </c>
      <c r="I50" s="4">
        <f>IF(ISNUMBER(debt_original!I50),debt_original!I50/100000000,debt_original!I50)</f>
        <v>0</v>
      </c>
      <c r="J50" s="4">
        <f>IF(ISNUMBER(debt_original!J50),debt_original!J50/100000000,debt_original!J50)</f>
        <v>0</v>
      </c>
      <c r="K50" s="4">
        <f>IF(ISNUMBER(debt_original!K50),debt_original!K50/100000000,debt_original!K50)</f>
        <v>0</v>
      </c>
      <c r="L50" s="4">
        <f>IF(ISNUMBER(debt_original!L50),debt_original!L50/100000000,debt_original!L50)</f>
        <v>0</v>
      </c>
      <c r="M50" s="4">
        <f>IF(ISNUMBER(debt_original!M50),debt_original!M50/100000000,debt_original!M50)</f>
        <v>0</v>
      </c>
      <c r="N50" s="4">
        <f>IF(ISNUMBER(debt_original!N50),debt_original!N50/100000000,debt_original!N50)</f>
        <v>0</v>
      </c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25">
      <c r="A51" s="3" t="s">
        <v>261</v>
      </c>
      <c r="B51" s="4" t="str">
        <f>IF(ISNUMBER(debt_original!B51),debt_original!B51/100000000,debt_original!B51)</f>
        <v>--</v>
      </c>
      <c r="C51" s="4" t="str">
        <f>IF(ISNUMBER(debt_original!C51),debt_original!C51/100000000,debt_original!C51)</f>
        <v>--</v>
      </c>
      <c r="D51" s="4" t="str">
        <f>IF(ISNUMBER(debt_original!D51),debt_original!D51/100000000,debt_original!D51)</f>
        <v>--</v>
      </c>
      <c r="E51" s="4" t="str">
        <f>IF(ISNUMBER(debt_original!E51),debt_original!E51/100000000,debt_original!E51)</f>
        <v>--</v>
      </c>
      <c r="F51" s="4" t="str">
        <f>IF(ISNUMBER(debt_original!F51),debt_original!F51/100000000,debt_original!F51)</f>
        <v>--</v>
      </c>
      <c r="G51" s="4" t="str">
        <f>IF(ISNUMBER(debt_original!G51),debt_original!G51/100000000,debt_original!G51)</f>
        <v>--</v>
      </c>
      <c r="H51" s="4" t="str">
        <f>IF(ISNUMBER(debt_original!H51),debt_original!H51/100000000,debt_original!H51)</f>
        <v>--</v>
      </c>
      <c r="I51" s="4" t="str">
        <f>IF(ISNUMBER(debt_original!I51),debt_original!I51/100000000,debt_original!I51)</f>
        <v>--</v>
      </c>
      <c r="J51" s="4" t="str">
        <f>IF(ISNUMBER(debt_original!J51),debt_original!J51/100000000,debt_original!J51)</f>
        <v>--</v>
      </c>
      <c r="K51" s="4" t="str">
        <f>IF(ISNUMBER(debt_original!K51),debt_original!K51/100000000,debt_original!K51)</f>
        <v>--</v>
      </c>
      <c r="L51" s="4" t="str">
        <f>IF(ISNUMBER(debt_original!L51),debt_original!L51/100000000,debt_original!L51)</f>
        <v>--</v>
      </c>
      <c r="M51" s="4" t="str">
        <f>IF(ISNUMBER(debt_original!M51),debt_original!M51/100000000,debt_original!M51)</f>
        <v>--</v>
      </c>
      <c r="N51" s="4" t="str">
        <f>IF(ISNUMBER(debt_original!N51),debt_original!N51/100000000,debt_original!N51)</f>
        <v>--</v>
      </c>
      <c r="O51" s="3" t="s">
        <v>133</v>
      </c>
      <c r="P51" s="3" t="s">
        <v>133</v>
      </c>
      <c r="Q51" s="3" t="s">
        <v>133</v>
      </c>
      <c r="R51" s="3" t="s">
        <v>133</v>
      </c>
      <c r="S51" s="3" t="s">
        <v>133</v>
      </c>
      <c r="T51" s="3" t="s">
        <v>133</v>
      </c>
      <c r="U51" s="3" t="s">
        <v>133</v>
      </c>
      <c r="V51" s="3" t="s">
        <v>133</v>
      </c>
      <c r="W51" s="3">
        <v>60360000</v>
      </c>
    </row>
    <row r="52" spans="1:23" x14ac:dyDescent="0.25">
      <c r="A52" s="3" t="s">
        <v>262</v>
      </c>
      <c r="B52" s="4" t="str">
        <f>IF(ISNUMBER(debt_original!B52),debt_original!B52/100000000,debt_original!B52)</f>
        <v>--</v>
      </c>
      <c r="C52" s="4" t="str">
        <f>IF(ISNUMBER(debt_original!C52),debt_original!C52/100000000,debt_original!C52)</f>
        <v>--</v>
      </c>
      <c r="D52" s="4">
        <f>IF(ISNUMBER(debt_original!D52),debt_original!D52/100000000,debt_original!D52)</f>
        <v>0.15570000000000001</v>
      </c>
      <c r="E52" s="4">
        <f>IF(ISNUMBER(debt_original!E52),debt_original!E52/100000000,debt_original!E52)</f>
        <v>0.15570000000000001</v>
      </c>
      <c r="F52" s="4">
        <f>IF(ISNUMBER(debt_original!F52),debt_original!F52/100000000,debt_original!F52)</f>
        <v>0.15570000000000001</v>
      </c>
      <c r="G52" s="4">
        <f>IF(ISNUMBER(debt_original!G52),debt_original!G52/100000000,debt_original!G52)</f>
        <v>0.1777</v>
      </c>
      <c r="H52" s="4">
        <f>IF(ISNUMBER(debt_original!H52),debt_original!H52/100000000,debt_original!H52)</f>
        <v>0.1777</v>
      </c>
      <c r="I52" s="4">
        <f>IF(ISNUMBER(debt_original!I52),debt_original!I52/100000000,debt_original!I52)</f>
        <v>0.1777</v>
      </c>
      <c r="J52" s="4">
        <f>IF(ISNUMBER(debt_original!J52),debt_original!J52/100000000,debt_original!J52)</f>
        <v>0.16769999999999999</v>
      </c>
      <c r="K52" s="4">
        <f>IF(ISNUMBER(debt_original!K52),debt_original!K52/100000000,debt_original!K52)</f>
        <v>0.1</v>
      </c>
      <c r="L52" s="4">
        <f>IF(ISNUMBER(debt_original!L52),debt_original!L52/100000000,debt_original!L52)</f>
        <v>0.1</v>
      </c>
      <c r="M52" s="4" t="str">
        <f>IF(ISNUMBER(debt_original!M52),debt_original!M52/100000000,debt_original!M52)</f>
        <v>--</v>
      </c>
      <c r="N52" s="4" t="str">
        <f>IF(ISNUMBER(debt_original!N52),debt_original!N52/100000000,debt_original!N52)</f>
        <v>--</v>
      </c>
      <c r="O52" s="3" t="s">
        <v>133</v>
      </c>
      <c r="P52" s="3" t="s">
        <v>133</v>
      </c>
      <c r="Q52" s="3">
        <v>300000</v>
      </c>
      <c r="R52" s="3">
        <v>300000</v>
      </c>
      <c r="S52" s="3" t="s">
        <v>133</v>
      </c>
      <c r="T52" s="3" t="s">
        <v>133</v>
      </c>
      <c r="U52" s="3" t="s">
        <v>133</v>
      </c>
      <c r="V52" s="3" t="s">
        <v>133</v>
      </c>
      <c r="W52" s="3" t="s">
        <v>133</v>
      </c>
    </row>
    <row r="53" spans="1:23" x14ac:dyDescent="0.25">
      <c r="A53" s="3" t="s">
        <v>263</v>
      </c>
      <c r="B53" s="4" t="str">
        <f>IF(ISNUMBER(debt_original!B53),debt_original!B53/100000000,debt_original!B53)</f>
        <v>--</v>
      </c>
      <c r="C53" s="4" t="str">
        <f>IF(ISNUMBER(debt_original!C53),debt_original!C53/100000000,debt_original!C53)</f>
        <v>--</v>
      </c>
      <c r="D53" s="4" t="str">
        <f>IF(ISNUMBER(debt_original!D53),debt_original!D53/100000000,debt_original!D53)</f>
        <v>--</v>
      </c>
      <c r="E53" s="4" t="str">
        <f>IF(ISNUMBER(debt_original!E53),debt_original!E53/100000000,debt_original!E53)</f>
        <v>--</v>
      </c>
      <c r="F53" s="4" t="str">
        <f>IF(ISNUMBER(debt_original!F53),debt_original!F53/100000000,debt_original!F53)</f>
        <v>--</v>
      </c>
      <c r="G53" s="4" t="str">
        <f>IF(ISNUMBER(debt_original!G53),debt_original!G53/100000000,debt_original!G53)</f>
        <v>--</v>
      </c>
      <c r="H53" s="4" t="str">
        <f>IF(ISNUMBER(debt_original!H53),debt_original!H53/100000000,debt_original!H53)</f>
        <v>--</v>
      </c>
      <c r="I53" s="4" t="str">
        <f>IF(ISNUMBER(debt_original!I53),debt_original!I53/100000000,debt_original!I53)</f>
        <v>--</v>
      </c>
      <c r="J53" s="4" t="str">
        <f>IF(ISNUMBER(debt_original!J53),debt_original!J53/100000000,debt_original!J53)</f>
        <v>--</v>
      </c>
      <c r="K53" s="4" t="str">
        <f>IF(ISNUMBER(debt_original!K53),debt_original!K53/100000000,debt_original!K53)</f>
        <v>--</v>
      </c>
      <c r="L53" s="4" t="str">
        <f>IF(ISNUMBER(debt_original!L53),debt_original!L53/100000000,debt_original!L53)</f>
        <v>--</v>
      </c>
      <c r="M53" s="4" t="str">
        <f>IF(ISNUMBER(debt_original!M53),debt_original!M53/100000000,debt_original!M53)</f>
        <v>--</v>
      </c>
      <c r="N53" s="4" t="str">
        <f>IF(ISNUMBER(debt_original!N53),debt_original!N53/100000000,debt_original!N53)</f>
        <v>--</v>
      </c>
      <c r="O53" s="3" t="s">
        <v>133</v>
      </c>
      <c r="P53" s="3" t="s">
        <v>133</v>
      </c>
      <c r="Q53" s="3" t="s">
        <v>133</v>
      </c>
      <c r="R53" s="3" t="s">
        <v>133</v>
      </c>
      <c r="S53" s="3" t="s">
        <v>133</v>
      </c>
      <c r="T53" s="3" t="s">
        <v>133</v>
      </c>
      <c r="U53" s="3" t="s">
        <v>133</v>
      </c>
      <c r="V53" s="3" t="s">
        <v>133</v>
      </c>
      <c r="W53" s="3" t="s">
        <v>133</v>
      </c>
    </row>
    <row r="54" spans="1:23" x14ac:dyDescent="0.25">
      <c r="A54" s="3" t="s">
        <v>264</v>
      </c>
      <c r="B54" s="4" t="str">
        <f>IF(ISNUMBER(debt_original!B54),debt_original!B54/100000000,debt_original!B54)</f>
        <v>--</v>
      </c>
      <c r="C54" s="4" t="str">
        <f>IF(ISNUMBER(debt_original!C54),debt_original!C54/100000000,debt_original!C54)</f>
        <v>--</v>
      </c>
      <c r="D54" s="4">
        <f>IF(ISNUMBER(debt_original!D54),debt_original!D54/100000000,debt_original!D54)</f>
        <v>0.15570000000000001</v>
      </c>
      <c r="E54" s="4">
        <f>IF(ISNUMBER(debt_original!E54),debt_original!E54/100000000,debt_original!E54)</f>
        <v>0.15570000000000001</v>
      </c>
      <c r="F54" s="4">
        <f>IF(ISNUMBER(debt_original!F54),debt_original!F54/100000000,debt_original!F54)</f>
        <v>0.15570000000000001</v>
      </c>
      <c r="G54" s="4">
        <f>IF(ISNUMBER(debt_original!G54),debt_original!G54/100000000,debt_original!G54)</f>
        <v>0.1777</v>
      </c>
      <c r="H54" s="4">
        <f>IF(ISNUMBER(debt_original!H54),debt_original!H54/100000000,debt_original!H54)</f>
        <v>0.1777</v>
      </c>
      <c r="I54" s="4">
        <f>IF(ISNUMBER(debt_original!I54),debt_original!I54/100000000,debt_original!I54)</f>
        <v>0.1777</v>
      </c>
      <c r="J54" s="4">
        <f>IF(ISNUMBER(debt_original!J54),debt_original!J54/100000000,debt_original!J54)</f>
        <v>0.16769999999999999</v>
      </c>
      <c r="K54" s="4">
        <f>IF(ISNUMBER(debt_original!K54),debt_original!K54/100000000,debt_original!K54)</f>
        <v>0.1</v>
      </c>
      <c r="L54" s="4">
        <f>IF(ISNUMBER(debt_original!L54),debt_original!L54/100000000,debt_original!L54)</f>
        <v>0.1</v>
      </c>
      <c r="M54" s="4" t="str">
        <f>IF(ISNUMBER(debt_original!M54),debt_original!M54/100000000,debt_original!M54)</f>
        <v>--</v>
      </c>
      <c r="N54" s="4" t="str">
        <f>IF(ISNUMBER(debt_original!N54),debt_original!N54/100000000,debt_original!N54)</f>
        <v>--</v>
      </c>
      <c r="O54" s="3" t="s">
        <v>133</v>
      </c>
      <c r="P54" s="3" t="s">
        <v>133</v>
      </c>
      <c r="Q54" s="3">
        <v>300000</v>
      </c>
      <c r="R54" s="3">
        <v>300000</v>
      </c>
      <c r="S54" s="3" t="s">
        <v>133</v>
      </c>
      <c r="T54" s="3" t="s">
        <v>133</v>
      </c>
      <c r="U54" s="3" t="s">
        <v>133</v>
      </c>
      <c r="V54" s="3" t="s">
        <v>133</v>
      </c>
      <c r="W54" s="3" t="s">
        <v>133</v>
      </c>
    </row>
    <row r="55" spans="1:23" x14ac:dyDescent="0.25">
      <c r="A55" s="3" t="s">
        <v>265</v>
      </c>
      <c r="B55" s="4">
        <f>IF(ISNUMBER(debt_original!B55),debt_original!B55/100000000,debt_original!B55)</f>
        <v>0.72692599999999996</v>
      </c>
      <c r="C55" s="4" t="str">
        <f>IF(ISNUMBER(debt_original!C55),debt_original!C55/100000000,debt_original!C55)</f>
        <v>--</v>
      </c>
      <c r="D55" s="4" t="str">
        <f>IF(ISNUMBER(debt_original!D55),debt_original!D55/100000000,debt_original!D55)</f>
        <v>--</v>
      </c>
      <c r="E55" s="4" t="str">
        <f>IF(ISNUMBER(debt_original!E55),debt_original!E55/100000000,debt_original!E55)</f>
        <v>--</v>
      </c>
      <c r="F55" s="4" t="str">
        <f>IF(ISNUMBER(debt_original!F55),debt_original!F55/100000000,debt_original!F55)</f>
        <v>--</v>
      </c>
      <c r="G55" s="4" t="str">
        <f>IF(ISNUMBER(debt_original!G55),debt_original!G55/100000000,debt_original!G55)</f>
        <v>--</v>
      </c>
      <c r="H55" s="4" t="str">
        <f>IF(ISNUMBER(debt_original!H55),debt_original!H55/100000000,debt_original!H55)</f>
        <v>--</v>
      </c>
      <c r="I55" s="4" t="str">
        <f>IF(ISNUMBER(debt_original!I55),debt_original!I55/100000000,debt_original!I55)</f>
        <v>--</v>
      </c>
      <c r="J55" s="4" t="str">
        <f>IF(ISNUMBER(debt_original!J55),debt_original!J55/100000000,debt_original!J55)</f>
        <v>--</v>
      </c>
      <c r="K55" s="4" t="str">
        <f>IF(ISNUMBER(debt_original!K55),debt_original!K55/100000000,debt_original!K55)</f>
        <v>--</v>
      </c>
      <c r="L55" s="4" t="str">
        <f>IF(ISNUMBER(debt_original!L55),debt_original!L55/100000000,debt_original!L55)</f>
        <v>--</v>
      </c>
      <c r="M55" s="4" t="str">
        <f>IF(ISNUMBER(debt_original!M55),debt_original!M55/100000000,debt_original!M55)</f>
        <v>--</v>
      </c>
      <c r="N55" s="4" t="str">
        <f>IF(ISNUMBER(debt_original!N55),debt_original!N55/100000000,debt_original!N55)</f>
        <v>--</v>
      </c>
      <c r="O55" s="3" t="s">
        <v>133</v>
      </c>
      <c r="P55" s="3" t="s">
        <v>133</v>
      </c>
      <c r="Q55" s="3" t="s">
        <v>133</v>
      </c>
      <c r="R55" s="3" t="s">
        <v>133</v>
      </c>
      <c r="S55" s="3" t="s">
        <v>133</v>
      </c>
      <c r="T55" s="3" t="s">
        <v>133</v>
      </c>
      <c r="U55" s="3" t="s">
        <v>133</v>
      </c>
      <c r="V55" s="3" t="s">
        <v>133</v>
      </c>
      <c r="W55" s="3" t="s">
        <v>133</v>
      </c>
    </row>
    <row r="56" spans="1:23" x14ac:dyDescent="0.25">
      <c r="A56" s="3" t="s">
        <v>29</v>
      </c>
      <c r="B56" s="4">
        <f>IF(ISNUMBER(debt_original!B56),debt_original!B56/100000000,debt_original!B56)</f>
        <v>0.72692599999999996</v>
      </c>
      <c r="C56" s="4" t="str">
        <f>IF(ISNUMBER(debt_original!C56),debt_original!C56/100000000,debt_original!C56)</f>
        <v>--</v>
      </c>
      <c r="D56" s="4">
        <f>IF(ISNUMBER(debt_original!D56),debt_original!D56/100000000,debt_original!D56)</f>
        <v>0.15570000000000001</v>
      </c>
      <c r="E56" s="4">
        <f>IF(ISNUMBER(debt_original!E56),debt_original!E56/100000000,debt_original!E56)</f>
        <v>0.15570000000000001</v>
      </c>
      <c r="F56" s="4">
        <f>IF(ISNUMBER(debt_original!F56),debt_original!F56/100000000,debt_original!F56)</f>
        <v>0.15570000000000001</v>
      </c>
      <c r="G56" s="4">
        <f>IF(ISNUMBER(debt_original!G56),debt_original!G56/100000000,debt_original!G56)</f>
        <v>0.1777</v>
      </c>
      <c r="H56" s="4">
        <f>IF(ISNUMBER(debt_original!H56),debt_original!H56/100000000,debt_original!H56)</f>
        <v>0.1777</v>
      </c>
      <c r="I56" s="4">
        <f>IF(ISNUMBER(debt_original!I56),debt_original!I56/100000000,debt_original!I56)</f>
        <v>0.1777</v>
      </c>
      <c r="J56" s="4">
        <f>IF(ISNUMBER(debt_original!J56),debt_original!J56/100000000,debt_original!J56)</f>
        <v>0.16769999999999999</v>
      </c>
      <c r="K56" s="4">
        <f>IF(ISNUMBER(debt_original!K56),debt_original!K56/100000000,debt_original!K56)</f>
        <v>0.1</v>
      </c>
      <c r="L56" s="4">
        <f>IF(ISNUMBER(debt_original!L56),debt_original!L56/100000000,debt_original!L56)</f>
        <v>0.1</v>
      </c>
      <c r="M56" s="4" t="str">
        <f>IF(ISNUMBER(debt_original!M56),debt_original!M56/100000000,debt_original!M56)</f>
        <v>--</v>
      </c>
      <c r="N56" s="4" t="str">
        <f>IF(ISNUMBER(debt_original!N56),debt_original!N56/100000000,debt_original!N56)</f>
        <v>--</v>
      </c>
      <c r="O56" s="3" t="s">
        <v>133</v>
      </c>
      <c r="P56" s="3" t="s">
        <v>133</v>
      </c>
      <c r="Q56" s="3">
        <v>300000</v>
      </c>
      <c r="R56" s="3">
        <v>300000</v>
      </c>
      <c r="S56" s="3" t="s">
        <v>133</v>
      </c>
      <c r="T56" s="3" t="s">
        <v>133</v>
      </c>
      <c r="U56" s="3" t="s">
        <v>133</v>
      </c>
      <c r="V56" s="3" t="s">
        <v>133</v>
      </c>
      <c r="W56" s="3">
        <v>60360000</v>
      </c>
    </row>
    <row r="57" spans="1:23" x14ac:dyDescent="0.25">
      <c r="A57" s="3" t="s">
        <v>30</v>
      </c>
      <c r="B57" s="4">
        <f>IF(ISNUMBER(debt_original!B57),debt_original!B57/100000000,debt_original!B57)</f>
        <v>411.659918</v>
      </c>
      <c r="C57" s="4">
        <f>IF(ISNUMBER(debt_original!C57),debt_original!C57/100000000,debt_original!C57)</f>
        <v>424.381868</v>
      </c>
      <c r="D57" s="4">
        <f>IF(ISNUMBER(debt_original!D57),debt_original!D57/100000000,debt_original!D57)</f>
        <v>385.90489400000001</v>
      </c>
      <c r="E57" s="4">
        <f>IF(ISNUMBER(debt_original!E57),debt_original!E57/100000000,debt_original!E57)</f>
        <v>370.35995400000002</v>
      </c>
      <c r="F57" s="4">
        <f>IF(ISNUMBER(debt_original!F57),debt_original!F57/100000000,debt_original!F57)</f>
        <v>200.67293000000001</v>
      </c>
      <c r="G57" s="4">
        <f>IF(ISNUMBER(debt_original!G57),debt_original!G57/100000000,debt_original!G57)</f>
        <v>105.61614400000001</v>
      </c>
      <c r="H57" s="4">
        <f>IF(ISNUMBER(debt_original!H57),debt_original!H57/100000000,debt_original!H57)</f>
        <v>113.250584</v>
      </c>
      <c r="I57" s="4">
        <f>IF(ISNUMBER(debt_original!I57),debt_original!I57/100000000,debt_original!I57)</f>
        <v>95.441726000000003</v>
      </c>
      <c r="J57" s="4">
        <f>IF(ISNUMBER(debt_original!J57),debt_original!J57/100000000,debt_original!J57)</f>
        <v>94.974894000000006</v>
      </c>
      <c r="K57" s="4">
        <f>IF(ISNUMBER(debt_original!K57),debt_original!K57/100000000,debt_original!K57)</f>
        <v>70.381901999999997</v>
      </c>
      <c r="L57" s="4">
        <f>IF(ISNUMBER(debt_original!L57),debt_original!L57/100000000,debt_original!L57)</f>
        <v>51.180577999999997</v>
      </c>
      <c r="M57" s="4">
        <f>IF(ISNUMBER(debt_original!M57),debt_original!M57/100000000,debt_original!M57)</f>
        <v>42.507694999999998</v>
      </c>
      <c r="N57" s="4">
        <f>IF(ISNUMBER(debt_original!N57),debt_original!N57/100000000,debt_original!N57)</f>
        <v>21.126161</v>
      </c>
      <c r="O57" s="3">
        <v>3402941500</v>
      </c>
      <c r="P57" s="3">
        <v>2895201400</v>
      </c>
      <c r="Q57" s="3">
        <v>2156945200</v>
      </c>
      <c r="R57" s="3">
        <v>1485841700</v>
      </c>
      <c r="S57" s="3">
        <v>1056171100</v>
      </c>
      <c r="T57" s="3">
        <v>925757000</v>
      </c>
      <c r="U57" s="3">
        <v>825076600</v>
      </c>
      <c r="V57" s="3">
        <v>629695100</v>
      </c>
      <c r="W57" s="3">
        <v>507757500</v>
      </c>
    </row>
    <row r="58" spans="1:23" x14ac:dyDescent="0.25">
      <c r="A58" s="3" t="s">
        <v>266</v>
      </c>
      <c r="B58" s="4">
        <f>IF(ISNUMBER(debt_original!B58),debt_original!B58/100000000,debt_original!B58)</f>
        <v>0</v>
      </c>
      <c r="C58" s="4">
        <f>IF(ISNUMBER(debt_original!C58),debt_original!C58/100000000,debt_original!C58)</f>
        <v>0</v>
      </c>
      <c r="D58" s="4">
        <f>IF(ISNUMBER(debt_original!D58),debt_original!D58/100000000,debt_original!D58)</f>
        <v>0</v>
      </c>
      <c r="E58" s="4">
        <f>IF(ISNUMBER(debt_original!E58),debt_original!E58/100000000,debt_original!E58)</f>
        <v>0</v>
      </c>
      <c r="F58" s="4">
        <f>IF(ISNUMBER(debt_original!F58),debt_original!F58/100000000,debt_original!F58)</f>
        <v>0</v>
      </c>
      <c r="G58" s="4">
        <f>IF(ISNUMBER(debt_original!G58),debt_original!G58/100000000,debt_original!G58)</f>
        <v>0</v>
      </c>
      <c r="H58" s="4">
        <f>IF(ISNUMBER(debt_original!H58),debt_original!H58/100000000,debt_original!H58)</f>
        <v>0</v>
      </c>
      <c r="I58" s="4">
        <f>IF(ISNUMBER(debt_original!I58),debt_original!I58/100000000,debt_original!I58)</f>
        <v>0</v>
      </c>
      <c r="J58" s="4">
        <f>IF(ISNUMBER(debt_original!J58),debt_original!J58/100000000,debt_original!J58)</f>
        <v>0</v>
      </c>
      <c r="K58" s="4">
        <f>IF(ISNUMBER(debt_original!K58),debt_original!K58/100000000,debt_original!K58)</f>
        <v>0</v>
      </c>
      <c r="L58" s="4">
        <f>IF(ISNUMBER(debt_original!L58),debt_original!L58/100000000,debt_original!L58)</f>
        <v>0</v>
      </c>
      <c r="M58" s="4">
        <f>IF(ISNUMBER(debt_original!M58),debt_original!M58/100000000,debt_original!M58)</f>
        <v>0</v>
      </c>
      <c r="N58" s="4">
        <f>IF(ISNUMBER(debt_original!N58),debt_original!N58/100000000,debt_original!N58)</f>
        <v>0</v>
      </c>
      <c r="O58" s="3"/>
      <c r="P58" s="3"/>
      <c r="Q58" s="3"/>
      <c r="R58" s="3"/>
      <c r="S58" s="3"/>
      <c r="T58" s="3"/>
      <c r="U58" s="3"/>
      <c r="V58" s="3"/>
      <c r="W58" s="3"/>
    </row>
    <row r="59" spans="1:23" x14ac:dyDescent="0.25">
      <c r="A59" s="3" t="s">
        <v>267</v>
      </c>
      <c r="B59" s="4">
        <f>IF(ISNUMBER(debt_original!B59),debt_original!B59/100000000,debt_original!B59)</f>
        <v>12.561978</v>
      </c>
      <c r="C59" s="4">
        <f>IF(ISNUMBER(debt_original!C59),debt_original!C59/100000000,debt_original!C59)</f>
        <v>12.561978</v>
      </c>
      <c r="D59" s="4">
        <f>IF(ISNUMBER(debt_original!D59),debt_original!D59/100000000,debt_original!D59)</f>
        <v>12.561978</v>
      </c>
      <c r="E59" s="4">
        <f>IF(ISNUMBER(debt_original!E59),debt_original!E59/100000000,debt_original!E59)</f>
        <v>12.561978</v>
      </c>
      <c r="F59" s="4">
        <f>IF(ISNUMBER(debt_original!F59),debt_original!F59/100000000,debt_original!F59)</f>
        <v>12.561978</v>
      </c>
      <c r="G59" s="4">
        <f>IF(ISNUMBER(debt_original!G59),debt_original!G59/100000000,debt_original!G59)</f>
        <v>11.419980000000001</v>
      </c>
      <c r="H59" s="4">
        <f>IF(ISNUMBER(debt_original!H59),debt_original!H59/100000000,debt_original!H59)</f>
        <v>10.3818</v>
      </c>
      <c r="I59" s="4">
        <f>IF(ISNUMBER(debt_original!I59),debt_original!I59/100000000,debt_original!I59)</f>
        <v>10.3818</v>
      </c>
      <c r="J59" s="4">
        <f>IF(ISNUMBER(debt_original!J59),debt_original!J59/100000000,debt_original!J59)</f>
        <v>10.3818</v>
      </c>
      <c r="K59" s="4">
        <f>IF(ISNUMBER(debt_original!K59),debt_original!K59/100000000,debt_original!K59)</f>
        <v>9.4380000000000006</v>
      </c>
      <c r="L59" s="4">
        <f>IF(ISNUMBER(debt_original!L59),debt_original!L59/100000000,debt_original!L59)</f>
        <v>9.4380000000000006</v>
      </c>
      <c r="M59" s="4">
        <f>IF(ISNUMBER(debt_original!M59),debt_original!M59/100000000,debt_original!M59)</f>
        <v>9.4380000000000006</v>
      </c>
      <c r="N59" s="4">
        <f>IF(ISNUMBER(debt_original!N59),debt_original!N59/100000000,debt_original!N59)</f>
        <v>9.4380000000000006</v>
      </c>
      <c r="O59" s="3">
        <v>943800000</v>
      </c>
      <c r="P59" s="3">
        <v>471900000</v>
      </c>
      <c r="Q59" s="3">
        <v>393250000</v>
      </c>
      <c r="R59" s="3">
        <v>275000000</v>
      </c>
      <c r="S59" s="3">
        <v>275000000</v>
      </c>
      <c r="T59" s="3">
        <v>250000000</v>
      </c>
      <c r="U59" s="3">
        <v>185000000</v>
      </c>
      <c r="V59" s="3">
        <v>185000000</v>
      </c>
      <c r="W59" s="3" t="s">
        <v>133</v>
      </c>
    </row>
    <row r="60" spans="1:23" x14ac:dyDescent="0.25">
      <c r="A60" s="3" t="s">
        <v>268</v>
      </c>
      <c r="B60" s="4">
        <f>IF(ISNUMBER(debt_original!B60),debt_original!B60/100000000,debt_original!B60)</f>
        <v>13.749644157200001</v>
      </c>
      <c r="C60" s="4">
        <f>IF(ISNUMBER(debt_original!C60),debt_original!C60/100000000,debt_original!C60)</f>
        <v>13.749644157200001</v>
      </c>
      <c r="D60" s="4">
        <f>IF(ISNUMBER(debt_original!D60),debt_original!D60/100000000,debt_original!D60)</f>
        <v>13.749644157200001</v>
      </c>
      <c r="E60" s="4">
        <f>IF(ISNUMBER(debt_original!E60),debt_original!E60/100000000,debt_original!E60)</f>
        <v>13.749644157200001</v>
      </c>
      <c r="F60" s="4">
        <f>IF(ISNUMBER(debt_original!F60),debt_original!F60/100000000,debt_original!F60)</f>
        <v>13.749644157200001</v>
      </c>
      <c r="G60" s="4">
        <f>IF(ISNUMBER(debt_original!G60),debt_original!G60/100000000,debt_original!G60)</f>
        <v>13.749644157200001</v>
      </c>
      <c r="H60" s="4">
        <f>IF(ISNUMBER(debt_original!H60),debt_original!H60/100000000,debt_original!H60)</f>
        <v>13.749644157200001</v>
      </c>
      <c r="I60" s="4">
        <f>IF(ISNUMBER(debt_original!I60),debt_original!I60/100000000,debt_original!I60)</f>
        <v>13.749644157200001</v>
      </c>
      <c r="J60" s="4">
        <f>IF(ISNUMBER(debt_original!J60),debt_original!J60/100000000,debt_original!J60)</f>
        <v>13.749644157200001</v>
      </c>
      <c r="K60" s="4">
        <f>IF(ISNUMBER(debt_original!K60),debt_original!K60/100000000,debt_original!K60)</f>
        <v>13.749644157200001</v>
      </c>
      <c r="L60" s="4">
        <f>IF(ISNUMBER(debt_original!L60),debt_original!L60/100000000,debt_original!L60)</f>
        <v>13.749644157200001</v>
      </c>
      <c r="M60" s="4">
        <f>IF(ISNUMBER(debt_original!M60),debt_original!M60/100000000,debt_original!M60)</f>
        <v>13.749644157200001</v>
      </c>
      <c r="N60" s="4">
        <f>IF(ISNUMBER(debt_original!N60),debt_original!N60/100000000,debt_original!N60)</f>
        <v>13.749644157200001</v>
      </c>
      <c r="O60" s="3">
        <v>1374449260.6099999</v>
      </c>
      <c r="P60" s="3">
        <v>1846119450.6099999</v>
      </c>
      <c r="Q60" s="3">
        <v>1923937320.54</v>
      </c>
      <c r="R60" s="3">
        <v>2014484980.54</v>
      </c>
      <c r="S60" s="3">
        <v>2014320830.54</v>
      </c>
      <c r="T60" s="3">
        <v>2039189510.54</v>
      </c>
      <c r="U60" s="3">
        <v>88432681.620000005</v>
      </c>
      <c r="V60" s="3">
        <v>88432681.620000005</v>
      </c>
      <c r="W60" s="3" t="s">
        <v>133</v>
      </c>
    </row>
    <row r="61" spans="1:23" x14ac:dyDescent="0.25">
      <c r="A61" s="3" t="s">
        <v>269</v>
      </c>
      <c r="B61" s="4">
        <f>IF(ISNUMBER(debt_original!B61),debt_original!B61/100000000,debt_original!B61)</f>
        <v>-7.1986999999999995E-2</v>
      </c>
      <c r="C61" s="4">
        <f>IF(ISNUMBER(debt_original!C61),debt_original!C61/100000000,debt_original!C61)</f>
        <v>-7.0656999999999998E-2</v>
      </c>
      <c r="D61" s="4">
        <f>IF(ISNUMBER(debt_original!D61),debt_original!D61/100000000,debt_original!D61)</f>
        <v>-7.4015999999999998E-2</v>
      </c>
      <c r="E61" s="4">
        <f>IF(ISNUMBER(debt_original!E61),debt_original!E61/100000000,debt_original!E61)</f>
        <v>-0.11240799999999999</v>
      </c>
      <c r="F61" s="4">
        <f>IF(ISNUMBER(debt_original!F61),debt_original!F61/100000000,debt_original!F61)</f>
        <v>-0.13034100000000001</v>
      </c>
      <c r="G61" s="4">
        <f>IF(ISNUMBER(debt_original!G61),debt_original!G61/100000000,debt_original!G61)</f>
        <v>-6.1900000000000002E-3</v>
      </c>
      <c r="H61" s="4" t="str">
        <f>IF(ISNUMBER(debt_original!H61),debt_original!H61/100000000,debt_original!H61)</f>
        <v>--</v>
      </c>
      <c r="I61" s="4" t="str">
        <f>IF(ISNUMBER(debt_original!I61),debt_original!I61/100000000,debt_original!I61)</f>
        <v>--</v>
      </c>
      <c r="J61" s="4" t="str">
        <f>IF(ISNUMBER(debt_original!J61),debt_original!J61/100000000,debt_original!J61)</f>
        <v>--</v>
      </c>
      <c r="K61" s="4" t="str">
        <f>IF(ISNUMBER(debt_original!K61),debt_original!K61/100000000,debt_original!K61)</f>
        <v>--</v>
      </c>
      <c r="L61" s="4" t="str">
        <f>IF(ISNUMBER(debt_original!L61),debt_original!L61/100000000,debt_original!L61)</f>
        <v>--</v>
      </c>
      <c r="M61" s="4" t="str">
        <f>IF(ISNUMBER(debt_original!M61),debt_original!M61/100000000,debt_original!M61)</f>
        <v>--</v>
      </c>
      <c r="N61" s="4" t="str">
        <f>IF(ISNUMBER(debt_original!N61),debt_original!N61/100000000,debt_original!N61)</f>
        <v>--</v>
      </c>
      <c r="O61" s="3" t="s">
        <v>133</v>
      </c>
      <c r="P61" s="3" t="s">
        <v>133</v>
      </c>
      <c r="Q61" s="3" t="s">
        <v>133</v>
      </c>
      <c r="R61" s="3" t="s">
        <v>133</v>
      </c>
      <c r="S61" s="3" t="s">
        <v>133</v>
      </c>
      <c r="T61" s="3" t="s">
        <v>133</v>
      </c>
      <c r="U61" s="3" t="s">
        <v>133</v>
      </c>
      <c r="V61" s="3" t="s">
        <v>133</v>
      </c>
      <c r="W61" s="3" t="s">
        <v>133</v>
      </c>
    </row>
    <row r="62" spans="1:23" x14ac:dyDescent="0.25">
      <c r="A62" s="3" t="s">
        <v>270</v>
      </c>
      <c r="B62" s="4">
        <f>IF(ISNUMBER(debt_original!B62),debt_original!B62/100000000,debt_original!B62)</f>
        <v>165.95698999999999</v>
      </c>
      <c r="C62" s="4">
        <f>IF(ISNUMBER(debt_original!C62),debt_original!C62/100000000,debt_original!C62)</f>
        <v>134.44221200000001</v>
      </c>
      <c r="D62" s="4">
        <f>IF(ISNUMBER(debt_original!D62),debt_original!D62/100000000,debt_original!D62)</f>
        <v>82.155955000000006</v>
      </c>
      <c r="E62" s="4">
        <f>IF(ISNUMBER(debt_original!E62),debt_original!E62/100000000,debt_original!E62)</f>
        <v>71.356499999999997</v>
      </c>
      <c r="F62" s="4">
        <f>IF(ISNUMBER(debt_original!F62),debt_original!F62/100000000,debt_original!F62)</f>
        <v>62.105244999999996</v>
      </c>
      <c r="G62" s="4">
        <f>IF(ISNUMBER(debt_original!G62),debt_original!G62/100000000,debt_original!G62)</f>
        <v>52.494072000000003</v>
      </c>
      <c r="H62" s="4">
        <f>IF(ISNUMBER(debt_original!H62),debt_original!H62/100000000,debt_original!H62)</f>
        <v>42.208038999999999</v>
      </c>
      <c r="I62" s="4">
        <f>IF(ISNUMBER(debt_original!I62),debt_original!I62/100000000,debt_original!I62)</f>
        <v>30.364345</v>
      </c>
      <c r="J62" s="4">
        <f>IF(ISNUMBER(debt_original!J62),debt_original!J62/100000000,debt_original!J62)</f>
        <v>26.409164000000001</v>
      </c>
      <c r="K62" s="4">
        <f>IF(ISNUMBER(debt_original!K62),debt_original!K62/100000000,debt_original!K62)</f>
        <v>21.767541999999999</v>
      </c>
      <c r="L62" s="4">
        <f>IF(ISNUMBER(debt_original!L62),debt_original!L62/100000000,debt_original!L62)</f>
        <v>15.856661000000001</v>
      </c>
      <c r="M62" s="4">
        <f>IF(ISNUMBER(debt_original!M62),debt_original!M62/100000000,debt_original!M62)</f>
        <v>10.011338</v>
      </c>
      <c r="N62" s="4">
        <f>IF(ISNUMBER(debt_original!N62),debt_original!N62/100000000,debt_original!N62)</f>
        <v>8.3832100000000001</v>
      </c>
      <c r="O62" s="3">
        <v>620731200</v>
      </c>
      <c r="P62" s="3">
        <v>967252300</v>
      </c>
      <c r="Q62" s="3">
        <v>648560900</v>
      </c>
      <c r="R62" s="3">
        <v>424392200</v>
      </c>
      <c r="S62" s="3">
        <v>275187800</v>
      </c>
      <c r="T62" s="3">
        <v>163612500</v>
      </c>
      <c r="U62" s="3">
        <v>63435400</v>
      </c>
      <c r="V62" s="3">
        <v>6166100</v>
      </c>
      <c r="W62" s="3" t="s">
        <v>133</v>
      </c>
    </row>
    <row r="63" spans="1:23" x14ac:dyDescent="0.25">
      <c r="A63" s="3" t="s">
        <v>271</v>
      </c>
      <c r="B63" s="4">
        <f>IF(ISNUMBER(debt_original!B63),debt_original!B63/100000000,debt_original!B63)</f>
        <v>1158.923374</v>
      </c>
      <c r="C63" s="4">
        <f>IF(ISNUMBER(debt_original!C63),debt_original!C63/100000000,debt_original!C63)</f>
        <v>959.81943999999999</v>
      </c>
      <c r="D63" s="4">
        <f>IF(ISNUMBER(debt_original!D63),debt_original!D63/100000000,debt_original!D63)</f>
        <v>800.11307499999998</v>
      </c>
      <c r="E63" s="4">
        <f>IF(ISNUMBER(debt_original!E63),debt_original!E63/100000000,debt_original!E63)</f>
        <v>627.17808000000002</v>
      </c>
      <c r="F63" s="4">
        <f>IF(ISNUMBER(debt_original!F63),debt_original!F63/100000000,debt_original!F63)</f>
        <v>548.78964499999995</v>
      </c>
      <c r="G63" s="4">
        <f>IF(ISNUMBER(debt_original!G63),debt_original!G63/100000000,debt_original!G63)</f>
        <v>455.660573</v>
      </c>
      <c r="H63" s="4">
        <f>IF(ISNUMBER(debt_original!H63),debt_original!H63/100000000,debt_original!H63)</f>
        <v>359.74971900000003</v>
      </c>
      <c r="I63" s="4">
        <f>IF(ISNUMBER(debt_original!I63),debt_original!I63/100000000,debt_original!I63)</f>
        <v>287.00075199999998</v>
      </c>
      <c r="J63" s="4">
        <f>IF(ISNUMBER(debt_original!J63),debt_original!J63/100000000,debt_original!J63)</f>
        <v>199.37119200000001</v>
      </c>
      <c r="K63" s="4">
        <f>IF(ISNUMBER(debt_original!K63),debt_original!K63/100000000,debt_original!K63)</f>
        <v>139.032555</v>
      </c>
      <c r="L63" s="4">
        <f>IF(ISNUMBER(debt_original!L63),debt_original!L63/100000000,debt_original!L63)</f>
        <v>105.615523</v>
      </c>
      <c r="M63" s="4">
        <f>IF(ISNUMBER(debt_original!M63),debt_original!M63/100000000,debt_original!M63)</f>
        <v>79.246713</v>
      </c>
      <c r="N63" s="4">
        <f>IF(ISNUMBER(debt_original!N63),debt_original!N63/100000000,debt_original!N63)</f>
        <v>50.770204</v>
      </c>
      <c r="O63" s="3">
        <v>3124438500</v>
      </c>
      <c r="P63" s="3">
        <v>1665055800</v>
      </c>
      <c r="Q63" s="3">
        <v>1006775600</v>
      </c>
      <c r="R63" s="3">
        <v>634515300</v>
      </c>
      <c r="S63" s="3">
        <v>287721800</v>
      </c>
      <c r="T63" s="3">
        <v>78113600</v>
      </c>
      <c r="U63" s="3">
        <v>105552600</v>
      </c>
      <c r="V63" s="3">
        <v>5763100</v>
      </c>
      <c r="W63" s="3" t="s">
        <v>133</v>
      </c>
    </row>
    <row r="64" spans="1:23" x14ac:dyDescent="0.25">
      <c r="A64" s="3" t="s">
        <v>31</v>
      </c>
      <c r="B64" s="4">
        <f>IF(ISNUMBER(debt_original!B64),debt_original!B64/100000000,debt_original!B64)</f>
        <v>1360.1034990000001</v>
      </c>
      <c r="C64" s="4">
        <f>IF(ISNUMBER(debt_original!C64),debt_original!C64/100000000,debt_original!C64)</f>
        <v>1128.3856430000001</v>
      </c>
      <c r="D64" s="4">
        <f>IF(ISNUMBER(debt_original!D64),debt_original!D64/100000000,debt_original!D64)</f>
        <v>914.51522799999998</v>
      </c>
      <c r="E64" s="4">
        <f>IF(ISNUMBER(debt_original!E64),debt_original!E64/100000000,debt_original!E64)</f>
        <v>728.94137799999999</v>
      </c>
      <c r="F64" s="4">
        <f>IF(ISNUMBER(debt_original!F64),debt_original!F64/100000000,debt_original!F64)</f>
        <v>639.25978399999997</v>
      </c>
      <c r="G64" s="4">
        <f>IF(ISNUMBER(debt_original!G64),debt_original!G64/100000000,debt_original!G64)</f>
        <v>534.30402400000003</v>
      </c>
      <c r="H64" s="4">
        <f>IF(ISNUMBER(debt_original!H64),debt_original!H64/100000000,debt_original!H64)</f>
        <v>426.22216500000002</v>
      </c>
      <c r="I64" s="4">
        <f>IF(ISNUMBER(debt_original!I64),debt_original!I64/100000000,debt_original!I64)</f>
        <v>341.49654099999998</v>
      </c>
      <c r="J64" s="4">
        <f>IF(ISNUMBER(debt_original!J64),debt_original!J64/100000000,debt_original!J64)</f>
        <v>249.9118</v>
      </c>
      <c r="K64" s="4">
        <f>IF(ISNUMBER(debt_original!K64),debt_original!K64/100000000,debt_original!K64)</f>
        <v>183.987741</v>
      </c>
      <c r="L64" s="4">
        <f>IF(ISNUMBER(debt_original!L64),debt_original!L64/100000000,debt_original!L64)</f>
        <v>144.659828</v>
      </c>
      <c r="M64" s="4">
        <f>IF(ISNUMBER(debt_original!M64),debt_original!M64/100000000,debt_original!M64)</f>
        <v>112.445695</v>
      </c>
      <c r="N64" s="4">
        <f>IF(ISNUMBER(debt_original!N64),debt_original!N64/100000000,debt_original!N64)</f>
        <v>82.341058000000004</v>
      </c>
      <c r="O64" s="3">
        <v>6063419000</v>
      </c>
      <c r="P64" s="3">
        <v>5091897600</v>
      </c>
      <c r="Q64" s="3">
        <v>4169148800</v>
      </c>
      <c r="R64" s="3">
        <v>3439142500</v>
      </c>
      <c r="S64" s="3">
        <v>2852230500</v>
      </c>
      <c r="T64" s="3">
        <v>2530915700</v>
      </c>
      <c r="U64" s="3">
        <v>442420700</v>
      </c>
      <c r="V64" s="3">
        <v>285361900</v>
      </c>
      <c r="W64" s="3">
        <v>234091500</v>
      </c>
    </row>
    <row r="65" spans="1:23" x14ac:dyDescent="0.25">
      <c r="A65" s="3" t="s">
        <v>272</v>
      </c>
      <c r="B65" s="4">
        <f>IF(ISNUMBER(debt_original!B65),debt_original!B65/100000000,debt_original!B65)</f>
        <v>58.660303999999996</v>
      </c>
      <c r="C65" s="4">
        <f>IF(ISNUMBER(debt_original!C65),debt_original!C65/100000000,debt_original!C65)</f>
        <v>45.699235999999999</v>
      </c>
      <c r="D65" s="4">
        <f>IF(ISNUMBER(debt_original!D65),debt_original!D65/100000000,debt_original!D65)</f>
        <v>45.681046000000002</v>
      </c>
      <c r="E65" s="4">
        <f>IF(ISNUMBER(debt_original!E65),debt_original!E65/100000000,debt_original!E65)</f>
        <v>30.044051</v>
      </c>
      <c r="F65" s="4">
        <f>IF(ISNUMBER(debt_original!F65),debt_original!F65/100000000,debt_original!F65)</f>
        <v>23.08192</v>
      </c>
      <c r="G65" s="4">
        <f>IF(ISNUMBER(debt_original!G65),debt_original!G65/100000000,debt_original!G65)</f>
        <v>18.811484</v>
      </c>
      <c r="H65" s="4">
        <f>IF(ISNUMBER(debt_original!H65),debt_original!H65/100000000,debt_original!H65)</f>
        <v>15.068758000000001</v>
      </c>
      <c r="I65" s="4">
        <f>IF(ISNUMBER(debt_original!I65),debt_original!I65/100000000,debt_original!I65)</f>
        <v>13.043823</v>
      </c>
      <c r="J65" s="4">
        <f>IF(ISNUMBER(debt_original!J65),debt_original!J65/100000000,debt_original!J65)</f>
        <v>4.1219960000000002</v>
      </c>
      <c r="K65" s="4">
        <f>IF(ISNUMBER(debt_original!K65),debt_original!K65/100000000,debt_original!K65)</f>
        <v>1.5061560000000001</v>
      </c>
      <c r="L65" s="4">
        <f>IF(ISNUMBER(debt_original!L65),debt_original!L65/100000000,debt_original!L65)</f>
        <v>1.855826</v>
      </c>
      <c r="M65" s="4">
        <f>IF(ISNUMBER(debt_original!M65),debt_original!M65/100000000,debt_original!M65)</f>
        <v>2.5884879999999999</v>
      </c>
      <c r="N65" s="4">
        <f>IF(ISNUMBER(debt_original!N65),debt_original!N65/100000000,debt_original!N65)</f>
        <v>1.3474999999999999</v>
      </c>
      <c r="O65" s="3">
        <v>104433000</v>
      </c>
      <c r="P65" s="3">
        <v>70497500</v>
      </c>
      <c r="Q65" s="3">
        <v>47558900</v>
      </c>
      <c r="R65" s="3">
        <v>31381600</v>
      </c>
      <c r="S65" s="3">
        <v>22503500</v>
      </c>
      <c r="T65" s="3">
        <v>6716000</v>
      </c>
      <c r="U65" s="3">
        <v>1358900</v>
      </c>
      <c r="V65" s="3" t="s">
        <v>133</v>
      </c>
      <c r="W65" s="3" t="s">
        <v>133</v>
      </c>
    </row>
    <row r="66" spans="1:23" x14ac:dyDescent="0.25">
      <c r="A66" s="3" t="s">
        <v>32</v>
      </c>
      <c r="B66" s="4">
        <f>IF(ISNUMBER(debt_original!B66),debt_original!B66/100000000,debt_original!B66)</f>
        <v>1418.7638019999999</v>
      </c>
      <c r="C66" s="4">
        <f>IF(ISNUMBER(debt_original!C66),debt_original!C66/100000000,debt_original!C66)</f>
        <v>1174.084879</v>
      </c>
      <c r="D66" s="4">
        <f>IF(ISNUMBER(debt_original!D66),debt_original!D66/100000000,debt_original!D66)</f>
        <v>960.19627500000001</v>
      </c>
      <c r="E66" s="4">
        <f>IF(ISNUMBER(debt_original!E66),debt_original!E66/100000000,debt_original!E66)</f>
        <v>758.98542899999995</v>
      </c>
      <c r="F66" s="4">
        <f>IF(ISNUMBER(debt_original!F66),debt_original!F66/100000000,debt_original!F66)</f>
        <v>662.34170400000005</v>
      </c>
      <c r="G66" s="4">
        <f>IF(ISNUMBER(debt_original!G66),debt_original!G66/100000000,debt_original!G66)</f>
        <v>553.11550799999998</v>
      </c>
      <c r="H66" s="4">
        <f>IF(ISNUMBER(debt_original!H66),debt_original!H66/100000000,debt_original!H66)</f>
        <v>441.29092300000002</v>
      </c>
      <c r="I66" s="4">
        <f>IF(ISNUMBER(debt_original!I66),debt_original!I66/100000000,debt_original!I66)</f>
        <v>354.54036400000001</v>
      </c>
      <c r="J66" s="4">
        <f>IF(ISNUMBER(debt_original!J66),debt_original!J66/100000000,debt_original!J66)</f>
        <v>254.033796</v>
      </c>
      <c r="K66" s="4">
        <f>IF(ISNUMBER(debt_original!K66),debt_original!K66/100000000,debt_original!K66)</f>
        <v>185.493897</v>
      </c>
      <c r="L66" s="4">
        <f>IF(ISNUMBER(debt_original!L66),debt_original!L66/100000000,debt_original!L66)</f>
        <v>146.51565400000001</v>
      </c>
      <c r="M66" s="4">
        <f>IF(ISNUMBER(debt_original!M66),debt_original!M66/100000000,debt_original!M66)</f>
        <v>115.034183</v>
      </c>
      <c r="N66" s="4">
        <f>IF(ISNUMBER(debt_original!N66),debt_original!N66/100000000,debt_original!N66)</f>
        <v>83.688558</v>
      </c>
      <c r="O66" s="3">
        <v>6167852000</v>
      </c>
      <c r="P66" s="3">
        <v>5162395100</v>
      </c>
      <c r="Q66" s="3">
        <v>4216707700</v>
      </c>
      <c r="R66" s="3">
        <v>3470524100</v>
      </c>
      <c r="S66" s="3">
        <v>2874734000</v>
      </c>
      <c r="T66" s="3">
        <v>2537631700</v>
      </c>
      <c r="U66" s="3">
        <v>443779600</v>
      </c>
      <c r="V66" s="3">
        <v>285361900</v>
      </c>
      <c r="W66" s="3">
        <v>234091500</v>
      </c>
    </row>
    <row r="67" spans="1:23" x14ac:dyDescent="0.25">
      <c r="A67" s="3" t="s">
        <v>273</v>
      </c>
      <c r="B67" s="4">
        <f>IF(ISNUMBER(debt_original!B67),debt_original!B67/100000000,debt_original!B67)</f>
        <v>1830.42372</v>
      </c>
      <c r="C67" s="4">
        <f>IF(ISNUMBER(debt_original!C67),debt_original!C67/100000000,debt_original!C67)</f>
        <v>1598.4667469999999</v>
      </c>
      <c r="D67" s="4">
        <f>IF(ISNUMBER(debt_original!D67),debt_original!D67/100000000,debt_original!D67)</f>
        <v>1346.101169</v>
      </c>
      <c r="E67" s="4">
        <f>IF(ISNUMBER(debt_original!E67),debt_original!E67/100000000,debt_original!E67)</f>
        <v>1129.3453830000001</v>
      </c>
      <c r="F67" s="4">
        <f>IF(ISNUMBER(debt_original!F67),debt_original!F67/100000000,debt_original!F67)</f>
        <v>863.014634</v>
      </c>
      <c r="G67" s="4">
        <f>IF(ISNUMBER(debt_original!G67),debt_original!G67/100000000,debt_original!G67)</f>
        <v>658.73165200000005</v>
      </c>
      <c r="H67" s="4">
        <f>IF(ISNUMBER(debt_original!H67),debt_original!H67/100000000,debt_original!H67)</f>
        <v>554.54150700000002</v>
      </c>
      <c r="I67" s="4">
        <f>IF(ISNUMBER(debt_original!I67),debt_original!I67/100000000,debt_original!I67)</f>
        <v>449.98209000000003</v>
      </c>
      <c r="J67" s="4">
        <f>IF(ISNUMBER(debt_original!J67),debt_original!J67/100000000,debt_original!J67)</f>
        <v>349.00869</v>
      </c>
      <c r="K67" s="4">
        <f>IF(ISNUMBER(debt_original!K67),debt_original!K67/100000000,debt_original!K67)</f>
        <v>255.875799</v>
      </c>
      <c r="L67" s="4">
        <f>IF(ISNUMBER(debt_original!L67),debt_original!L67/100000000,debt_original!L67)</f>
        <v>197.69623100000001</v>
      </c>
      <c r="M67" s="4">
        <f>IF(ISNUMBER(debt_original!M67),debt_original!M67/100000000,debt_original!M67)</f>
        <v>157.541878</v>
      </c>
      <c r="N67" s="4">
        <f>IF(ISNUMBER(debt_original!N67),debt_original!N67/100000000,debt_original!N67)</f>
        <v>104.814718</v>
      </c>
      <c r="O67" s="3">
        <v>9570793600</v>
      </c>
      <c r="P67" s="3">
        <v>8057596500</v>
      </c>
      <c r="Q67" s="3">
        <v>6373653000</v>
      </c>
      <c r="R67" s="3">
        <v>4956365800</v>
      </c>
      <c r="S67" s="3">
        <v>3930905100</v>
      </c>
      <c r="T67" s="3">
        <v>3463388700</v>
      </c>
      <c r="U67" s="3">
        <v>1268856200</v>
      </c>
      <c r="V67" s="3">
        <v>915057000</v>
      </c>
      <c r="W67" s="3">
        <v>741849000</v>
      </c>
    </row>
    <row r="68" spans="1:23" x14ac:dyDescent="0.25">
      <c r="B68" s="4">
        <f>IF(ISNUMBER(debt_original!B68),debt_original!B68/100000000,debt_original!B68)</f>
        <v>0</v>
      </c>
      <c r="C68" s="4">
        <f>IF(ISNUMBER(debt_original!C68),debt_original!C68/100000000,debt_original!C68)</f>
        <v>0</v>
      </c>
      <c r="D68" s="4">
        <f>IF(ISNUMBER(debt_original!D68),debt_original!D68/100000000,debt_original!D68)</f>
        <v>0</v>
      </c>
      <c r="E68" s="4">
        <f>IF(ISNUMBER(debt_original!E68),debt_original!E68/100000000,debt_original!E68)</f>
        <v>0</v>
      </c>
      <c r="F68" s="4">
        <f>IF(ISNUMBER(debt_original!F68),debt_original!F68/100000000,debt_original!F68)</f>
        <v>0</v>
      </c>
      <c r="G68" s="4">
        <f>IF(ISNUMBER(debt_original!G68),debt_original!G68/100000000,debt_original!G68)</f>
        <v>0</v>
      </c>
      <c r="H68" s="4">
        <f>IF(ISNUMBER(debt_original!H68),debt_original!H68/100000000,debt_original!H68)</f>
        <v>0</v>
      </c>
      <c r="I68" s="4">
        <f>IF(ISNUMBER(debt_original!I68),debt_original!I68/100000000,debt_original!I68)</f>
        <v>0</v>
      </c>
      <c r="J68" s="4">
        <f>IF(ISNUMBER(debt_original!J68),debt_original!J68/100000000,debt_original!J68)</f>
        <v>0</v>
      </c>
      <c r="K68" s="4">
        <f>IF(ISNUMBER(debt_original!K68),debt_original!K68/100000000,debt_original!K68)</f>
        <v>0</v>
      </c>
      <c r="L68" s="4">
        <f>IF(ISNUMBER(debt_original!L68),debt_original!L68/100000000,debt_original!L68)</f>
        <v>0</v>
      </c>
      <c r="M68" s="4">
        <f>IF(ISNUMBER(debt_original!M68),debt_original!M68/100000000,debt_original!M68)</f>
        <v>0</v>
      </c>
      <c r="N68" s="4">
        <f>IF(ISNUMBER(debt_original!N68),debt_original!N68/100000000,debt_original!N68)</f>
        <v>0</v>
      </c>
    </row>
    <row r="69" spans="1:23" x14ac:dyDescent="0.25">
      <c r="B69" s="4">
        <f>IF(ISNUMBER(debt_original!B69),debt_original!B69/100000000,debt_original!B69)</f>
        <v>0</v>
      </c>
      <c r="C69" s="4">
        <f>IF(ISNUMBER(debt_original!C69),debt_original!C69/100000000,debt_original!C69)</f>
        <v>0</v>
      </c>
      <c r="D69" s="4">
        <f>IF(ISNUMBER(debt_original!D69),debt_original!D69/100000000,debt_original!D69)</f>
        <v>0</v>
      </c>
      <c r="E69" s="4">
        <f>IF(ISNUMBER(debt_original!E69),debt_original!E69/100000000,debt_original!E69)</f>
        <v>0</v>
      </c>
      <c r="F69" s="4">
        <f>IF(ISNUMBER(debt_original!F69),debt_original!F69/100000000,debt_original!F69)</f>
        <v>0</v>
      </c>
      <c r="G69" s="4">
        <f>IF(ISNUMBER(debt_original!G69),debt_original!G69/100000000,debt_original!G69)</f>
        <v>0</v>
      </c>
      <c r="H69" s="4">
        <f>IF(ISNUMBER(debt_original!H69),debt_original!H69/100000000,debt_original!H69)</f>
        <v>0</v>
      </c>
      <c r="I69" s="4">
        <f>IF(ISNUMBER(debt_original!I69),debt_original!I69/100000000,debt_original!I69)</f>
        <v>0</v>
      </c>
      <c r="J69" s="4">
        <f>IF(ISNUMBER(debt_original!J69),debt_original!J69/100000000,debt_original!J69)</f>
        <v>0</v>
      </c>
      <c r="K69" s="4">
        <f>IF(ISNUMBER(debt_original!K69),debt_original!K69/100000000,debt_original!K69)</f>
        <v>0</v>
      </c>
      <c r="L69" s="4">
        <f>IF(ISNUMBER(debt_original!L69),debt_original!L69/100000000,debt_original!L69)</f>
        <v>0</v>
      </c>
      <c r="M69" s="4">
        <f>IF(ISNUMBER(debt_original!M69),debt_original!M69/100000000,debt_original!M69)</f>
        <v>0</v>
      </c>
      <c r="N69" s="4">
        <f>IF(ISNUMBER(debt_original!N69),debt_original!N69/100000000,debt_original!N69)</f>
        <v>0</v>
      </c>
    </row>
    <row r="70" spans="1:23" x14ac:dyDescent="0.25">
      <c r="B70" s="4">
        <f>IF(ISNUMBER(debt_original!B70),debt_original!B70/100000000,debt_original!B70)</f>
        <v>0</v>
      </c>
      <c r="C70" s="4">
        <f>IF(ISNUMBER(debt_original!C70),debt_original!C70/100000000,debt_original!C70)</f>
        <v>0</v>
      </c>
      <c r="D70" s="4">
        <f>IF(ISNUMBER(debt_original!D70),debt_original!D70/100000000,debt_original!D70)</f>
        <v>0</v>
      </c>
      <c r="E70" s="4">
        <f>IF(ISNUMBER(debt_original!E70),debt_original!E70/100000000,debt_original!E70)</f>
        <v>0</v>
      </c>
      <c r="F70" s="4">
        <f>IF(ISNUMBER(debt_original!F70),debt_original!F70/100000000,debt_original!F70)</f>
        <v>0</v>
      </c>
      <c r="G70" s="4">
        <f>IF(ISNUMBER(debt_original!G70),debt_original!G70/100000000,debt_original!G70)</f>
        <v>0</v>
      </c>
      <c r="H70" s="4">
        <f>IF(ISNUMBER(debt_original!H70),debt_original!H70/100000000,debt_original!H70)</f>
        <v>0</v>
      </c>
      <c r="I70" s="4">
        <f>IF(ISNUMBER(debt_original!I70),debt_original!I70/100000000,debt_original!I70)</f>
        <v>0</v>
      </c>
      <c r="J70" s="4">
        <f>IF(ISNUMBER(debt_original!J70),debt_original!J70/100000000,debt_original!J70)</f>
        <v>0</v>
      </c>
      <c r="K70" s="4">
        <f>IF(ISNUMBER(debt_original!K70),debt_original!K70/100000000,debt_original!K70)</f>
        <v>0</v>
      </c>
      <c r="L70" s="4">
        <f>IF(ISNUMBER(debt_original!L70),debt_original!L70/100000000,debt_original!L70)</f>
        <v>0</v>
      </c>
      <c r="M70" s="4">
        <f>IF(ISNUMBER(debt_original!M70),debt_original!M70/100000000,debt_original!M70)</f>
        <v>0</v>
      </c>
      <c r="N70" s="4">
        <f>IF(ISNUMBER(debt_original!N70),debt_original!N70/100000000,debt_original!N70)</f>
        <v>0</v>
      </c>
    </row>
    <row r="71" spans="1:23" x14ac:dyDescent="0.25">
      <c r="B71" s="4">
        <f>IF(ISNUMBER(debt_original!B71),debt_original!B71/100000000,debt_original!B71)</f>
        <v>0</v>
      </c>
      <c r="C71" s="4">
        <f>IF(ISNUMBER(debt_original!C71),debt_original!C71/100000000,debt_original!C71)</f>
        <v>0</v>
      </c>
      <c r="D71" s="4">
        <f>IF(ISNUMBER(debt_original!D71),debt_original!D71/100000000,debt_original!D71)</f>
        <v>0</v>
      </c>
      <c r="E71" s="4">
        <f>IF(ISNUMBER(debt_original!E71),debt_original!E71/100000000,debt_original!E71)</f>
        <v>0</v>
      </c>
      <c r="F71" s="4">
        <f>IF(ISNUMBER(debt_original!F71),debt_original!F71/100000000,debt_original!F71)</f>
        <v>0</v>
      </c>
      <c r="G71" s="4">
        <f>IF(ISNUMBER(debt_original!G71),debt_original!G71/100000000,debt_original!G71)</f>
        <v>0</v>
      </c>
      <c r="H71" s="4">
        <f>IF(ISNUMBER(debt_original!H71),debt_original!H71/100000000,debt_original!H71)</f>
        <v>0</v>
      </c>
      <c r="I71" s="4">
        <f>IF(ISNUMBER(debt_original!I71),debt_original!I71/100000000,debt_original!I71)</f>
        <v>0</v>
      </c>
      <c r="J71" s="4">
        <f>IF(ISNUMBER(debt_original!J71),debt_original!J71/100000000,debt_original!J71)</f>
        <v>0</v>
      </c>
      <c r="K71" s="4">
        <f>IF(ISNUMBER(debt_original!K71),debt_original!K71/100000000,debt_original!K71)</f>
        <v>0</v>
      </c>
      <c r="L71" s="4">
        <f>IF(ISNUMBER(debt_original!L71),debt_original!L71/100000000,debt_original!L71)</f>
        <v>0</v>
      </c>
      <c r="M71" s="4">
        <f>IF(ISNUMBER(debt_original!M71),debt_original!M71/100000000,debt_original!M71)</f>
        <v>0</v>
      </c>
      <c r="N71" s="4">
        <f>IF(ISNUMBER(debt_original!N71),debt_original!N71/100000000,debt_original!N71)</f>
        <v>0</v>
      </c>
    </row>
    <row r="72" spans="1:23" x14ac:dyDescent="0.25">
      <c r="B72" s="4">
        <f>IF(ISNUMBER(debt_original!B72),debt_original!B72/100000000,debt_original!B72)</f>
        <v>0</v>
      </c>
      <c r="C72" s="4">
        <f>IF(ISNUMBER(debt_original!C72),debt_original!C72/100000000,debt_original!C72)</f>
        <v>0</v>
      </c>
      <c r="D72" s="4">
        <f>IF(ISNUMBER(debt_original!D72),debt_original!D72/100000000,debt_original!D72)</f>
        <v>0</v>
      </c>
      <c r="E72" s="4">
        <f>IF(ISNUMBER(debt_original!E72),debt_original!E72/100000000,debt_original!E72)</f>
        <v>0</v>
      </c>
      <c r="F72" s="4">
        <f>IF(ISNUMBER(debt_original!F72),debt_original!F72/100000000,debt_original!F72)</f>
        <v>0</v>
      </c>
      <c r="G72" s="4">
        <f>IF(ISNUMBER(debt_original!G72),debt_original!G72/100000000,debt_original!G72)</f>
        <v>0</v>
      </c>
      <c r="H72" s="4">
        <f>IF(ISNUMBER(debt_original!H72),debt_original!H72/100000000,debt_original!H72)</f>
        <v>0</v>
      </c>
      <c r="I72" s="4">
        <f>IF(ISNUMBER(debt_original!I72),debt_original!I72/100000000,debt_original!I72)</f>
        <v>0</v>
      </c>
      <c r="J72" s="4">
        <f>IF(ISNUMBER(debt_original!J72),debt_original!J72/100000000,debt_original!J72)</f>
        <v>0</v>
      </c>
      <c r="K72" s="4">
        <f>IF(ISNUMBER(debt_original!K72),debt_original!K72/100000000,debt_original!K72)</f>
        <v>0</v>
      </c>
      <c r="L72" s="4">
        <f>IF(ISNUMBER(debt_original!L72),debt_original!L72/100000000,debt_original!L72)</f>
        <v>0</v>
      </c>
      <c r="M72" s="4">
        <f>IF(ISNUMBER(debt_original!M72),debt_original!M72/100000000,debt_original!M72)</f>
        <v>0</v>
      </c>
      <c r="N72" s="4">
        <f>IF(ISNUMBER(debt_original!N72),debt_original!N72/100000000,debt_original!N72)</f>
        <v>0</v>
      </c>
    </row>
    <row r="73" spans="1:23" x14ac:dyDescent="0.25">
      <c r="B73" s="4">
        <f>IF(ISNUMBER(debt_original!B73),debt_original!B73/100000000,debt_original!B73)</f>
        <v>0</v>
      </c>
      <c r="C73" s="4">
        <f>IF(ISNUMBER(debt_original!C73),debt_original!C73/100000000,debt_original!C73)</f>
        <v>0</v>
      </c>
      <c r="D73" s="4">
        <f>IF(ISNUMBER(debt_original!D73),debt_original!D73/100000000,debt_original!D73)</f>
        <v>0</v>
      </c>
      <c r="E73" s="4">
        <f>IF(ISNUMBER(debt_original!E73),debt_original!E73/100000000,debt_original!E73)</f>
        <v>0</v>
      </c>
      <c r="F73" s="4">
        <f>IF(ISNUMBER(debt_original!F73),debt_original!F73/100000000,debt_original!F73)</f>
        <v>0</v>
      </c>
      <c r="G73" s="4">
        <f>IF(ISNUMBER(debt_original!G73),debt_original!G73/100000000,debt_original!G73)</f>
        <v>0</v>
      </c>
      <c r="H73" s="4">
        <f>IF(ISNUMBER(debt_original!H73),debt_original!H73/100000000,debt_original!H73)</f>
        <v>0</v>
      </c>
      <c r="I73" s="4">
        <f>IF(ISNUMBER(debt_original!I73),debt_original!I73/100000000,debt_original!I73)</f>
        <v>0</v>
      </c>
      <c r="J73" s="4">
        <f>IF(ISNUMBER(debt_original!J73),debt_original!J73/100000000,debt_original!J73)</f>
        <v>0</v>
      </c>
      <c r="K73" s="4">
        <f>IF(ISNUMBER(debt_original!K73),debt_original!K73/100000000,debt_original!K73)</f>
        <v>0</v>
      </c>
      <c r="L73" s="4">
        <f>IF(ISNUMBER(debt_original!L73),debt_original!L73/100000000,debt_original!L73)</f>
        <v>0</v>
      </c>
      <c r="M73" s="4">
        <f>IF(ISNUMBER(debt_original!M73),debt_original!M73/100000000,debt_original!M73)</f>
        <v>0</v>
      </c>
      <c r="N73" s="4">
        <f>IF(ISNUMBER(debt_original!N73),debt_original!N73/100000000,debt_original!N73)</f>
        <v>0</v>
      </c>
    </row>
    <row r="74" spans="1:23" x14ac:dyDescent="0.25">
      <c r="B74" s="4">
        <f>IF(ISNUMBER(debt_original!B74),debt_original!B74/100000000,debt_original!B74)</f>
        <v>0</v>
      </c>
      <c r="C74" s="4">
        <f>IF(ISNUMBER(debt_original!C74),debt_original!C74/100000000,debt_original!C74)</f>
        <v>0</v>
      </c>
      <c r="D74" s="4">
        <f>IF(ISNUMBER(debt_original!D74),debt_original!D74/100000000,debt_original!D74)</f>
        <v>0</v>
      </c>
      <c r="E74" s="4">
        <f>IF(ISNUMBER(debt_original!E74),debt_original!E74/100000000,debt_original!E74)</f>
        <v>0</v>
      </c>
      <c r="F74" s="4">
        <f>IF(ISNUMBER(debt_original!F74),debt_original!F74/100000000,debt_original!F74)</f>
        <v>0</v>
      </c>
      <c r="G74" s="4">
        <f>IF(ISNUMBER(debt_original!G74),debt_original!G74/100000000,debt_original!G74)</f>
        <v>0</v>
      </c>
      <c r="H74" s="4">
        <f>IF(ISNUMBER(debt_original!H74),debt_original!H74/100000000,debt_original!H74)</f>
        <v>0</v>
      </c>
      <c r="I74" s="4">
        <f>IF(ISNUMBER(debt_original!I74),debt_original!I74/100000000,debt_original!I74)</f>
        <v>0</v>
      </c>
      <c r="J74" s="4">
        <f>IF(ISNUMBER(debt_original!J74),debt_original!J74/100000000,debt_original!J74)</f>
        <v>0</v>
      </c>
      <c r="K74" s="4">
        <f>IF(ISNUMBER(debt_original!K74),debt_original!K74/100000000,debt_original!K74)</f>
        <v>0</v>
      </c>
      <c r="L74" s="4">
        <f>IF(ISNUMBER(debt_original!L74),debt_original!L74/100000000,debt_original!L74)</f>
        <v>0</v>
      </c>
      <c r="M74" s="4">
        <f>IF(ISNUMBER(debt_original!M74),debt_original!M74/100000000,debt_original!M74)</f>
        <v>0</v>
      </c>
      <c r="N74" s="4">
        <f>IF(ISNUMBER(debt_original!N74),debt_original!N74/100000000,debt_original!N74)</f>
        <v>0</v>
      </c>
    </row>
    <row r="75" spans="1:23" x14ac:dyDescent="0.25">
      <c r="B75" s="4">
        <f>IF(ISNUMBER(debt_original!B75),debt_original!B75/100000000,debt_original!B75)</f>
        <v>0</v>
      </c>
      <c r="C75" s="4">
        <f>IF(ISNUMBER(debt_original!C75),debt_original!C75/100000000,debt_original!C75)</f>
        <v>0</v>
      </c>
      <c r="D75" s="4">
        <f>IF(ISNUMBER(debt_original!D75),debt_original!D75/100000000,debt_original!D75)</f>
        <v>0</v>
      </c>
      <c r="E75" s="4">
        <f>IF(ISNUMBER(debt_original!E75),debt_original!E75/100000000,debt_original!E75)</f>
        <v>0</v>
      </c>
      <c r="F75" s="4">
        <f>IF(ISNUMBER(debt_original!F75),debt_original!F75/100000000,debt_original!F75)</f>
        <v>0</v>
      </c>
      <c r="G75" s="4">
        <f>IF(ISNUMBER(debt_original!G75),debt_original!G75/100000000,debt_original!G75)</f>
        <v>0</v>
      </c>
      <c r="H75" s="4">
        <f>IF(ISNUMBER(debt_original!H75),debt_original!H75/100000000,debt_original!H75)</f>
        <v>0</v>
      </c>
      <c r="I75" s="4">
        <f>IF(ISNUMBER(debt_original!I75),debt_original!I75/100000000,debt_original!I75)</f>
        <v>0</v>
      </c>
      <c r="J75" s="4">
        <f>IF(ISNUMBER(debt_original!J75),debt_original!J75/100000000,debt_original!J75)</f>
        <v>0</v>
      </c>
      <c r="K75" s="4">
        <f>IF(ISNUMBER(debt_original!K75),debt_original!K75/100000000,debt_original!K75)</f>
        <v>0</v>
      </c>
      <c r="L75" s="4">
        <f>IF(ISNUMBER(debt_original!L75),debt_original!L75/100000000,debt_original!L75)</f>
        <v>0</v>
      </c>
      <c r="M75" s="4">
        <f>IF(ISNUMBER(debt_original!M75),debt_original!M75/100000000,debt_original!M75)</f>
        <v>0</v>
      </c>
      <c r="N75" s="4">
        <f>IF(ISNUMBER(debt_original!N75),debt_original!N75/100000000,debt_original!N75)</f>
        <v>0</v>
      </c>
    </row>
    <row r="76" spans="1:23" x14ac:dyDescent="0.25">
      <c r="B76" s="4">
        <f>IF(ISNUMBER(debt_original!B76),debt_original!B76/100000000,debt_original!B76)</f>
        <v>0</v>
      </c>
      <c r="C76" s="4">
        <f>IF(ISNUMBER(debt_original!C76),debt_original!C76/100000000,debt_original!C76)</f>
        <v>0</v>
      </c>
      <c r="D76" s="4">
        <f>IF(ISNUMBER(debt_original!D76),debt_original!D76/100000000,debt_original!D76)</f>
        <v>0</v>
      </c>
      <c r="E76" s="4">
        <f>IF(ISNUMBER(debt_original!E76),debt_original!E76/100000000,debt_original!E76)</f>
        <v>0</v>
      </c>
      <c r="F76" s="4">
        <f>IF(ISNUMBER(debt_original!F76),debt_original!F76/100000000,debt_original!F76)</f>
        <v>0</v>
      </c>
      <c r="G76" s="4">
        <f>IF(ISNUMBER(debt_original!G76),debt_original!G76/100000000,debt_original!G76)</f>
        <v>0</v>
      </c>
      <c r="H76" s="4">
        <f>IF(ISNUMBER(debt_original!H76),debt_original!H76/100000000,debt_original!H76)</f>
        <v>0</v>
      </c>
      <c r="I76" s="4">
        <f>IF(ISNUMBER(debt_original!I76),debt_original!I76/100000000,debt_original!I76)</f>
        <v>0</v>
      </c>
      <c r="J76" s="4">
        <f>IF(ISNUMBER(debt_original!J76),debt_original!J76/100000000,debt_original!J76)</f>
        <v>0</v>
      </c>
      <c r="K76" s="4">
        <f>IF(ISNUMBER(debt_original!K76),debt_original!K76/100000000,debt_original!K76)</f>
        <v>0</v>
      </c>
      <c r="L76" s="4">
        <f>IF(ISNUMBER(debt_original!L76),debt_original!L76/100000000,debt_original!L76)</f>
        <v>0</v>
      </c>
      <c r="M76" s="4">
        <f>IF(ISNUMBER(debt_original!M76),debt_original!M76/100000000,debt_original!M76)</f>
        <v>0</v>
      </c>
      <c r="N76" s="4">
        <f>IF(ISNUMBER(debt_original!N76),debt_original!N76/100000000,debt_original!N76)</f>
        <v>0</v>
      </c>
    </row>
    <row r="77" spans="1:23" x14ac:dyDescent="0.25">
      <c r="B77" s="4">
        <f>IF(ISNUMBER(debt_original!B77),debt_original!B77/100000000,debt_original!B77)</f>
        <v>0</v>
      </c>
      <c r="C77" s="4">
        <f>IF(ISNUMBER(debt_original!C77),debt_original!C77/100000000,debt_original!C77)</f>
        <v>0</v>
      </c>
      <c r="D77" s="4">
        <f>IF(ISNUMBER(debt_original!D77),debt_original!D77/100000000,debt_original!D77)</f>
        <v>0</v>
      </c>
      <c r="E77" s="4">
        <f>IF(ISNUMBER(debt_original!E77),debt_original!E77/100000000,debt_original!E77)</f>
        <v>0</v>
      </c>
      <c r="F77" s="4">
        <f>IF(ISNUMBER(debt_original!F77),debt_original!F77/100000000,debt_original!F77)</f>
        <v>0</v>
      </c>
      <c r="G77" s="4">
        <f>IF(ISNUMBER(debt_original!G77),debt_original!G77/100000000,debt_original!G77)</f>
        <v>0</v>
      </c>
      <c r="H77" s="4">
        <f>IF(ISNUMBER(debt_original!H77),debt_original!H77/100000000,debt_original!H77)</f>
        <v>0</v>
      </c>
      <c r="I77" s="4">
        <f>IF(ISNUMBER(debt_original!I77),debt_original!I77/100000000,debt_original!I77)</f>
        <v>0</v>
      </c>
      <c r="J77" s="4">
        <f>IF(ISNUMBER(debt_original!J77),debt_original!J77/100000000,debt_original!J77)</f>
        <v>0</v>
      </c>
      <c r="K77" s="4">
        <f>IF(ISNUMBER(debt_original!K77),debt_original!K77/100000000,debt_original!K77)</f>
        <v>0</v>
      </c>
      <c r="L77" s="4">
        <f>IF(ISNUMBER(debt_original!L77),debt_original!L77/100000000,debt_original!L77)</f>
        <v>0</v>
      </c>
      <c r="M77" s="4">
        <f>IF(ISNUMBER(debt_original!M77),debt_original!M77/100000000,debt_original!M77)</f>
        <v>0</v>
      </c>
      <c r="N77" s="4">
        <f>IF(ISNUMBER(debt_original!N77),debt_original!N77/100000000,debt_original!N77)</f>
        <v>0</v>
      </c>
    </row>
    <row r="78" spans="1:23" x14ac:dyDescent="0.25">
      <c r="B78" s="4">
        <f>IF(ISNUMBER(debt_original!B78),debt_original!B78/100000000,debt_original!B78)</f>
        <v>0</v>
      </c>
      <c r="C78" s="4">
        <f>IF(ISNUMBER(debt_original!C78),debt_original!C78/100000000,debt_original!C78)</f>
        <v>0</v>
      </c>
      <c r="D78" s="4">
        <f>IF(ISNUMBER(debt_original!D78),debt_original!D78/100000000,debt_original!D78)</f>
        <v>0</v>
      </c>
      <c r="E78" s="4">
        <f>IF(ISNUMBER(debt_original!E78),debt_original!E78/100000000,debt_original!E78)</f>
        <v>0</v>
      </c>
      <c r="F78" s="4">
        <f>IF(ISNUMBER(debt_original!F78),debt_original!F78/100000000,debt_original!F78)</f>
        <v>0</v>
      </c>
      <c r="G78" s="4">
        <f>IF(ISNUMBER(debt_original!G78),debt_original!G78/100000000,debt_original!G78)</f>
        <v>0</v>
      </c>
      <c r="H78" s="4">
        <f>IF(ISNUMBER(debt_original!H78),debt_original!H78/100000000,debt_original!H78)</f>
        <v>0</v>
      </c>
      <c r="I78" s="4">
        <f>IF(ISNUMBER(debt_original!I78),debt_original!I78/100000000,debt_original!I78)</f>
        <v>0</v>
      </c>
      <c r="J78" s="4">
        <f>IF(ISNUMBER(debt_original!J78),debt_original!J78/100000000,debt_original!J78)</f>
        <v>0</v>
      </c>
      <c r="K78" s="4">
        <f>IF(ISNUMBER(debt_original!K78),debt_original!K78/100000000,debt_original!K78)</f>
        <v>0</v>
      </c>
      <c r="L78" s="4">
        <f>IF(ISNUMBER(debt_original!L78),debt_original!L78/100000000,debt_original!L78)</f>
        <v>0</v>
      </c>
      <c r="M78" s="4">
        <f>IF(ISNUMBER(debt_original!M78),debt_original!M78/100000000,debt_original!M78)</f>
        <v>0</v>
      </c>
      <c r="N78" s="4">
        <f>IF(ISNUMBER(debt_original!N78),debt_original!N78/100000000,debt_original!N78)</f>
        <v>0</v>
      </c>
    </row>
    <row r="79" spans="1:23" x14ac:dyDescent="0.25">
      <c r="B79" s="4">
        <f>IF(ISNUMBER(debt_original!B79),debt_original!B79/100000000,debt_original!B79)</f>
        <v>0</v>
      </c>
      <c r="C79" s="4">
        <f>IF(ISNUMBER(debt_original!C79),debt_original!C79/100000000,debt_original!C79)</f>
        <v>0</v>
      </c>
      <c r="D79" s="4">
        <f>IF(ISNUMBER(debt_original!D79),debt_original!D79/100000000,debt_original!D79)</f>
        <v>0</v>
      </c>
      <c r="E79" s="4">
        <f>IF(ISNUMBER(debt_original!E79),debt_original!E79/100000000,debt_original!E79)</f>
        <v>0</v>
      </c>
      <c r="F79" s="4">
        <f>IF(ISNUMBER(debt_original!F79),debt_original!F79/100000000,debt_original!F79)</f>
        <v>0</v>
      </c>
      <c r="G79" s="4">
        <f>IF(ISNUMBER(debt_original!G79),debt_original!G79/100000000,debt_original!G79)</f>
        <v>0</v>
      </c>
      <c r="H79" s="4">
        <f>IF(ISNUMBER(debt_original!H79),debt_original!H79/100000000,debt_original!H79)</f>
        <v>0</v>
      </c>
      <c r="I79" s="4">
        <f>IF(ISNUMBER(debt_original!I79),debt_original!I79/100000000,debt_original!I79)</f>
        <v>0</v>
      </c>
      <c r="J79" s="4">
        <f>IF(ISNUMBER(debt_original!J79),debt_original!J79/100000000,debt_original!J79)</f>
        <v>0</v>
      </c>
      <c r="K79" s="4">
        <f>IF(ISNUMBER(debt_original!K79),debt_original!K79/100000000,debt_original!K79)</f>
        <v>0</v>
      </c>
      <c r="L79" s="4">
        <f>IF(ISNUMBER(debt_original!L79),debt_original!L79/100000000,debt_original!L79)</f>
        <v>0</v>
      </c>
      <c r="M79" s="4">
        <f>IF(ISNUMBER(debt_original!M79),debt_original!M79/100000000,debt_original!M79)</f>
        <v>0</v>
      </c>
      <c r="N79" s="4">
        <f>IF(ISNUMBER(debt_original!N79),debt_original!N79/100000000,debt_original!N79)</f>
        <v>0</v>
      </c>
    </row>
    <row r="80" spans="1:23" x14ac:dyDescent="0.25">
      <c r="B80" s="4">
        <f>IF(ISNUMBER(debt_original!B80),debt_original!B80/100000000,debt_original!B80)</f>
        <v>0</v>
      </c>
      <c r="C80" s="4">
        <f>IF(ISNUMBER(debt_original!C80),debt_original!C80/100000000,debt_original!C80)</f>
        <v>0</v>
      </c>
      <c r="D80" s="4">
        <f>IF(ISNUMBER(debt_original!D80),debt_original!D80/100000000,debt_original!D80)</f>
        <v>0</v>
      </c>
      <c r="E80" s="4">
        <f>IF(ISNUMBER(debt_original!E80),debt_original!E80/100000000,debt_original!E80)</f>
        <v>0</v>
      </c>
      <c r="F80" s="4">
        <f>IF(ISNUMBER(debt_original!F80),debt_original!F80/100000000,debt_original!F80)</f>
        <v>0</v>
      </c>
      <c r="G80" s="4">
        <f>IF(ISNUMBER(debt_original!G80),debt_original!G80/100000000,debt_original!G80)</f>
        <v>0</v>
      </c>
      <c r="H80" s="4">
        <f>IF(ISNUMBER(debt_original!H80),debt_original!H80/100000000,debt_original!H80)</f>
        <v>0</v>
      </c>
      <c r="I80" s="4">
        <f>IF(ISNUMBER(debt_original!I80),debt_original!I80/100000000,debt_original!I80)</f>
        <v>0</v>
      </c>
      <c r="J80" s="4">
        <f>IF(ISNUMBER(debt_original!J80),debt_original!J80/100000000,debt_original!J80)</f>
        <v>0</v>
      </c>
      <c r="K80" s="4">
        <f>IF(ISNUMBER(debt_original!K80),debt_original!K80/100000000,debt_original!K80)</f>
        <v>0</v>
      </c>
      <c r="L80" s="4">
        <f>IF(ISNUMBER(debt_original!L80),debt_original!L80/100000000,debt_original!L80)</f>
        <v>0</v>
      </c>
      <c r="M80" s="4">
        <f>IF(ISNUMBER(debt_original!M80),debt_original!M80/100000000,debt_original!M80)</f>
        <v>0</v>
      </c>
      <c r="N80" s="4">
        <f>IF(ISNUMBER(debt_original!N80),debt_original!N80/100000000,debt_original!N80)</f>
        <v>0</v>
      </c>
    </row>
    <row r="81" spans="2:14" x14ac:dyDescent="0.25">
      <c r="B81" s="4">
        <f>IF(ISNUMBER(debt_original!B81),debt_original!B81/100000000,debt_original!B81)</f>
        <v>0</v>
      </c>
      <c r="C81" s="4">
        <f>IF(ISNUMBER(debt_original!C81),debt_original!C81/100000000,debt_original!C81)</f>
        <v>0</v>
      </c>
      <c r="D81" s="4">
        <f>IF(ISNUMBER(debt_original!D81),debt_original!D81/100000000,debt_original!D81)</f>
        <v>0</v>
      </c>
      <c r="E81" s="4">
        <f>IF(ISNUMBER(debt_original!E81),debt_original!E81/100000000,debt_original!E81)</f>
        <v>0</v>
      </c>
      <c r="F81" s="4">
        <f>IF(ISNUMBER(debt_original!F81),debt_original!F81/100000000,debt_original!F81)</f>
        <v>0</v>
      </c>
      <c r="G81" s="4">
        <f>IF(ISNUMBER(debt_original!G81),debt_original!G81/100000000,debt_original!G81)</f>
        <v>0</v>
      </c>
      <c r="H81" s="4">
        <f>IF(ISNUMBER(debt_original!H81),debt_original!H81/100000000,debt_original!H81)</f>
        <v>0</v>
      </c>
      <c r="I81" s="4">
        <f>IF(ISNUMBER(debt_original!I81),debt_original!I81/100000000,debt_original!I81)</f>
        <v>0</v>
      </c>
      <c r="J81" s="4">
        <f>IF(ISNUMBER(debt_original!J81),debt_original!J81/100000000,debt_original!J81)</f>
        <v>0</v>
      </c>
      <c r="K81" s="4">
        <f>IF(ISNUMBER(debt_original!K81),debt_original!K81/100000000,debt_original!K81)</f>
        <v>0</v>
      </c>
      <c r="L81" s="4">
        <f>IF(ISNUMBER(debt_original!L81),debt_original!L81/100000000,debt_original!L81)</f>
        <v>0</v>
      </c>
      <c r="M81" s="4">
        <f>IF(ISNUMBER(debt_original!M81),debt_original!M81/100000000,debt_original!M81)</f>
        <v>0</v>
      </c>
      <c r="N81" s="4">
        <f>IF(ISNUMBER(debt_original!N81),debt_original!N81/100000000,debt_original!N81)</f>
        <v>0</v>
      </c>
    </row>
    <row r="82" spans="2:14" x14ac:dyDescent="0.25">
      <c r="B82" s="4">
        <f>IF(ISNUMBER(debt_original!B82),debt_original!B82/100000000,debt_original!B82)</f>
        <v>0</v>
      </c>
      <c r="C82" s="4">
        <f>IF(ISNUMBER(debt_original!C82),debt_original!C82/100000000,debt_original!C82)</f>
        <v>0</v>
      </c>
      <c r="D82" s="4">
        <f>IF(ISNUMBER(debt_original!D82),debt_original!D82/100000000,debt_original!D82)</f>
        <v>0</v>
      </c>
      <c r="E82" s="4">
        <f>IF(ISNUMBER(debt_original!E82),debt_original!E82/100000000,debt_original!E82)</f>
        <v>0</v>
      </c>
      <c r="F82" s="4">
        <f>IF(ISNUMBER(debt_original!F82),debt_original!F82/100000000,debt_original!F82)</f>
        <v>0</v>
      </c>
      <c r="G82" s="4">
        <f>IF(ISNUMBER(debt_original!G82),debt_original!G82/100000000,debt_original!G82)</f>
        <v>0</v>
      </c>
      <c r="H82" s="4">
        <f>IF(ISNUMBER(debt_original!H82),debt_original!H82/100000000,debt_original!H82)</f>
        <v>0</v>
      </c>
      <c r="I82" s="4">
        <f>IF(ISNUMBER(debt_original!I82),debt_original!I82/100000000,debt_original!I82)</f>
        <v>0</v>
      </c>
      <c r="J82" s="4">
        <f>IF(ISNUMBER(debt_original!J82),debt_original!J82/100000000,debt_original!J82)</f>
        <v>0</v>
      </c>
      <c r="K82" s="4">
        <f>IF(ISNUMBER(debt_original!K82),debt_original!K82/100000000,debt_original!K82)</f>
        <v>0</v>
      </c>
      <c r="L82" s="4">
        <f>IF(ISNUMBER(debt_original!L82),debt_original!L82/100000000,debt_original!L82)</f>
        <v>0</v>
      </c>
      <c r="M82" s="4">
        <f>IF(ISNUMBER(debt_original!M82),debt_original!M82/100000000,debt_original!M82)</f>
        <v>0</v>
      </c>
      <c r="N82" s="4">
        <f>IF(ISNUMBER(debt_original!N82),debt_original!N82/100000000,debt_original!N82)</f>
        <v>0</v>
      </c>
    </row>
    <row r="83" spans="2:14" x14ac:dyDescent="0.25">
      <c r="B83" s="4">
        <f>IF(ISNUMBER(debt_original!B83),debt_original!B83/100000000,debt_original!B83)</f>
        <v>0</v>
      </c>
      <c r="C83" s="4">
        <f>IF(ISNUMBER(debt_original!C83),debt_original!C83/100000000,debt_original!C83)</f>
        <v>0</v>
      </c>
      <c r="D83" s="4">
        <f>IF(ISNUMBER(debt_original!D83),debt_original!D83/100000000,debt_original!D83)</f>
        <v>0</v>
      </c>
      <c r="E83" s="4">
        <f>IF(ISNUMBER(debt_original!E83),debt_original!E83/100000000,debt_original!E83)</f>
        <v>0</v>
      </c>
      <c r="F83" s="4">
        <f>IF(ISNUMBER(debt_original!F83),debt_original!F83/100000000,debt_original!F83)</f>
        <v>0</v>
      </c>
      <c r="G83" s="4">
        <f>IF(ISNUMBER(debt_original!G83),debt_original!G83/100000000,debt_original!G83)</f>
        <v>0</v>
      </c>
      <c r="H83" s="4">
        <f>IF(ISNUMBER(debt_original!H83),debt_original!H83/100000000,debt_original!H83)</f>
        <v>0</v>
      </c>
      <c r="I83" s="4">
        <f>IF(ISNUMBER(debt_original!I83),debt_original!I83/100000000,debt_original!I83)</f>
        <v>0</v>
      </c>
      <c r="J83" s="4">
        <f>IF(ISNUMBER(debt_original!J83),debt_original!J83/100000000,debt_original!J83)</f>
        <v>0</v>
      </c>
      <c r="K83" s="4">
        <f>IF(ISNUMBER(debt_original!K83),debt_original!K83/100000000,debt_original!K83)</f>
        <v>0</v>
      </c>
      <c r="L83" s="4">
        <f>IF(ISNUMBER(debt_original!L83),debt_original!L83/100000000,debt_original!L83)</f>
        <v>0</v>
      </c>
      <c r="M83" s="4">
        <f>IF(ISNUMBER(debt_original!M83),debt_original!M83/100000000,debt_original!M83)</f>
        <v>0</v>
      </c>
      <c r="N83" s="4">
        <f>IF(ISNUMBER(debt_original!N83),debt_original!N83/100000000,debt_original!N83)</f>
        <v>0</v>
      </c>
    </row>
    <row r="84" spans="2:14" x14ac:dyDescent="0.25">
      <c r="B84" s="4">
        <f>IF(ISNUMBER(debt_original!B84),debt_original!B84/100000000,debt_original!B84)</f>
        <v>0</v>
      </c>
      <c r="C84" s="4">
        <f>IF(ISNUMBER(debt_original!C84),debt_original!C84/100000000,debt_original!C84)</f>
        <v>0</v>
      </c>
      <c r="D84" s="4">
        <f>IF(ISNUMBER(debt_original!D84),debt_original!D84/100000000,debt_original!D84)</f>
        <v>0</v>
      </c>
      <c r="E84" s="4">
        <f>IF(ISNUMBER(debt_original!E84),debt_original!E84/100000000,debt_original!E84)</f>
        <v>0</v>
      </c>
      <c r="F84" s="4">
        <f>IF(ISNUMBER(debt_original!F84),debt_original!F84/100000000,debt_original!F84)</f>
        <v>0</v>
      </c>
      <c r="G84" s="4">
        <f>IF(ISNUMBER(debt_original!G84),debt_original!G84/100000000,debt_original!G84)</f>
        <v>0</v>
      </c>
      <c r="H84" s="4">
        <f>IF(ISNUMBER(debt_original!H84),debt_original!H84/100000000,debt_original!H84)</f>
        <v>0</v>
      </c>
      <c r="I84" s="4">
        <f>IF(ISNUMBER(debt_original!I84),debt_original!I84/100000000,debt_original!I84)</f>
        <v>0</v>
      </c>
      <c r="J84" s="4">
        <f>IF(ISNUMBER(debt_original!J84),debt_original!J84/100000000,debt_original!J84)</f>
        <v>0</v>
      </c>
      <c r="K84" s="4">
        <f>IF(ISNUMBER(debt_original!K84),debt_original!K84/100000000,debt_original!K84)</f>
        <v>0</v>
      </c>
      <c r="L84" s="4">
        <f>IF(ISNUMBER(debt_original!L84),debt_original!L84/100000000,debt_original!L84)</f>
        <v>0</v>
      </c>
      <c r="M84" s="4">
        <f>IF(ISNUMBER(debt_original!M84),debt_original!M84/100000000,debt_original!M84)</f>
        <v>0</v>
      </c>
      <c r="N84" s="4">
        <f>IF(ISNUMBER(debt_original!N84),debt_original!N84/100000000,debt_original!N84)</f>
        <v>0</v>
      </c>
    </row>
    <row r="85" spans="2:14" x14ac:dyDescent="0.25">
      <c r="B85" s="4">
        <f>IF(ISNUMBER(debt_original!B85),debt_original!B85/100000000,debt_original!B85)</f>
        <v>0</v>
      </c>
      <c r="C85" s="4">
        <f>IF(ISNUMBER(debt_original!C85),debt_original!C85/100000000,debt_original!C85)</f>
        <v>0</v>
      </c>
      <c r="D85" s="4">
        <f>IF(ISNUMBER(debt_original!D85),debt_original!D85/100000000,debt_original!D85)</f>
        <v>0</v>
      </c>
      <c r="E85" s="4">
        <f>IF(ISNUMBER(debt_original!E85),debt_original!E85/100000000,debt_original!E85)</f>
        <v>0</v>
      </c>
      <c r="F85" s="4">
        <f>IF(ISNUMBER(debt_original!F85),debt_original!F85/100000000,debt_original!F85)</f>
        <v>0</v>
      </c>
      <c r="G85" s="4">
        <f>IF(ISNUMBER(debt_original!G85),debt_original!G85/100000000,debt_original!G85)</f>
        <v>0</v>
      </c>
      <c r="H85" s="4">
        <f>IF(ISNUMBER(debt_original!H85),debt_original!H85/100000000,debt_original!H85)</f>
        <v>0</v>
      </c>
      <c r="I85" s="4">
        <f>IF(ISNUMBER(debt_original!I85),debt_original!I85/100000000,debt_original!I85)</f>
        <v>0</v>
      </c>
      <c r="J85" s="4">
        <f>IF(ISNUMBER(debt_original!J85),debt_original!J85/100000000,debt_original!J85)</f>
        <v>0</v>
      </c>
      <c r="K85" s="4">
        <f>IF(ISNUMBER(debt_original!K85),debt_original!K85/100000000,debt_original!K85)</f>
        <v>0</v>
      </c>
      <c r="L85" s="4">
        <f>IF(ISNUMBER(debt_original!L85),debt_original!L85/100000000,debt_original!L85)</f>
        <v>0</v>
      </c>
      <c r="M85" s="4">
        <f>IF(ISNUMBER(debt_original!M85),debt_original!M85/100000000,debt_original!M85)</f>
        <v>0</v>
      </c>
      <c r="N85" s="4">
        <f>IF(ISNUMBER(debt_original!N85),debt_original!N85/100000000,debt_original!N85)</f>
        <v>0</v>
      </c>
    </row>
    <row r="86" spans="2:14" x14ac:dyDescent="0.25">
      <c r="B86" s="4">
        <f>IF(ISNUMBER(debt_original!B86),debt_original!B86/100000000,debt_original!B86)</f>
        <v>0</v>
      </c>
      <c r="C86" s="4">
        <f>IF(ISNUMBER(debt_original!C86),debt_original!C86/100000000,debt_original!C86)</f>
        <v>0</v>
      </c>
      <c r="D86" s="4">
        <f>IF(ISNUMBER(debt_original!D86),debt_original!D86/100000000,debt_original!D86)</f>
        <v>0</v>
      </c>
      <c r="E86" s="4">
        <f>IF(ISNUMBER(debt_original!E86),debt_original!E86/100000000,debt_original!E86)</f>
        <v>0</v>
      </c>
      <c r="F86" s="4">
        <f>IF(ISNUMBER(debt_original!F86),debt_original!F86/100000000,debt_original!F86)</f>
        <v>0</v>
      </c>
      <c r="G86" s="4">
        <f>IF(ISNUMBER(debt_original!G86),debt_original!G86/100000000,debt_original!G86)</f>
        <v>0</v>
      </c>
      <c r="H86" s="4">
        <f>IF(ISNUMBER(debt_original!H86),debt_original!H86/100000000,debt_original!H86)</f>
        <v>0</v>
      </c>
      <c r="I86" s="4">
        <f>IF(ISNUMBER(debt_original!I86),debt_original!I86/100000000,debt_original!I86)</f>
        <v>0</v>
      </c>
      <c r="J86" s="4">
        <f>IF(ISNUMBER(debt_original!J86),debt_original!J86/100000000,debt_original!J86)</f>
        <v>0</v>
      </c>
      <c r="K86" s="4">
        <f>IF(ISNUMBER(debt_original!K86),debt_original!K86/100000000,debt_original!K86)</f>
        <v>0</v>
      </c>
      <c r="L86" s="4">
        <f>IF(ISNUMBER(debt_original!L86),debt_original!L86/100000000,debt_original!L86)</f>
        <v>0</v>
      </c>
      <c r="M86" s="4">
        <f>IF(ISNUMBER(debt_original!M86),debt_original!M86/100000000,debt_original!M86)</f>
        <v>0</v>
      </c>
      <c r="N86" s="4">
        <f>IF(ISNUMBER(debt_original!N86),debt_original!N86/100000000,debt_original!N86)</f>
        <v>0</v>
      </c>
    </row>
    <row r="87" spans="2:14" x14ac:dyDescent="0.25">
      <c r="B87" s="4">
        <f>IF(ISNUMBER(debt_original!B87),debt_original!B87/100000000,debt_original!B87)</f>
        <v>0</v>
      </c>
      <c r="C87" s="4">
        <f>IF(ISNUMBER(debt_original!C87),debt_original!C87/100000000,debt_original!C87)</f>
        <v>0</v>
      </c>
      <c r="D87" s="4">
        <f>IF(ISNUMBER(debt_original!D87),debt_original!D87/100000000,debt_original!D87)</f>
        <v>0</v>
      </c>
      <c r="E87" s="4">
        <f>IF(ISNUMBER(debt_original!E87),debt_original!E87/100000000,debt_original!E87)</f>
        <v>0</v>
      </c>
      <c r="F87" s="4">
        <f>IF(ISNUMBER(debt_original!F87),debt_original!F87/100000000,debt_original!F87)</f>
        <v>0</v>
      </c>
      <c r="G87" s="4">
        <f>IF(ISNUMBER(debt_original!G87),debt_original!G87/100000000,debt_original!G87)</f>
        <v>0</v>
      </c>
      <c r="H87" s="4">
        <f>IF(ISNUMBER(debt_original!H87),debt_original!H87/100000000,debt_original!H87)</f>
        <v>0</v>
      </c>
      <c r="I87" s="4">
        <f>IF(ISNUMBER(debt_original!I87),debt_original!I87/100000000,debt_original!I87)</f>
        <v>0</v>
      </c>
      <c r="J87" s="4">
        <f>IF(ISNUMBER(debt_original!J87),debt_original!J87/100000000,debt_original!J87)</f>
        <v>0</v>
      </c>
      <c r="K87" s="4">
        <f>IF(ISNUMBER(debt_original!K87),debt_original!K87/100000000,debt_original!K87)</f>
        <v>0</v>
      </c>
      <c r="L87" s="4">
        <f>IF(ISNUMBER(debt_original!L87),debt_original!L87/100000000,debt_original!L87)</f>
        <v>0</v>
      </c>
      <c r="M87" s="4">
        <f>IF(ISNUMBER(debt_original!M87),debt_original!M87/100000000,debt_original!M87)</f>
        <v>0</v>
      </c>
      <c r="N87" s="4">
        <f>IF(ISNUMBER(debt_original!N87),debt_original!N87/100000000,debt_original!N87)</f>
        <v>0</v>
      </c>
    </row>
    <row r="88" spans="2:14" x14ac:dyDescent="0.25">
      <c r="B88" s="4">
        <f>IF(ISNUMBER(debt_original!B88),debt_original!B88/100000000,debt_original!B88)</f>
        <v>0</v>
      </c>
      <c r="C88" s="4">
        <f>IF(ISNUMBER(debt_original!C88),debt_original!C88/100000000,debt_original!C88)</f>
        <v>0</v>
      </c>
      <c r="D88" s="4">
        <f>IF(ISNUMBER(debt_original!D88),debt_original!D88/100000000,debt_original!D88)</f>
        <v>0</v>
      </c>
      <c r="E88" s="4">
        <f>IF(ISNUMBER(debt_original!E88),debt_original!E88/100000000,debt_original!E88)</f>
        <v>0</v>
      </c>
      <c r="F88" s="4">
        <f>IF(ISNUMBER(debt_original!F88),debt_original!F88/100000000,debt_original!F88)</f>
        <v>0</v>
      </c>
      <c r="G88" s="4">
        <f>IF(ISNUMBER(debt_original!G88),debt_original!G88/100000000,debt_original!G88)</f>
        <v>0</v>
      </c>
      <c r="H88" s="4">
        <f>IF(ISNUMBER(debt_original!H88),debt_original!H88/100000000,debt_original!H88)</f>
        <v>0</v>
      </c>
      <c r="I88" s="4">
        <f>IF(ISNUMBER(debt_original!I88),debt_original!I88/100000000,debt_original!I88)</f>
        <v>0</v>
      </c>
      <c r="J88" s="4">
        <f>IF(ISNUMBER(debt_original!J88),debt_original!J88/100000000,debt_original!J88)</f>
        <v>0</v>
      </c>
      <c r="K88" s="4">
        <f>IF(ISNUMBER(debt_original!K88),debt_original!K88/100000000,debt_original!K88)</f>
        <v>0</v>
      </c>
      <c r="L88" s="4">
        <f>IF(ISNUMBER(debt_original!L88),debt_original!L88/100000000,debt_original!L88)</f>
        <v>0</v>
      </c>
      <c r="M88" s="4">
        <f>IF(ISNUMBER(debt_original!M88),debt_original!M88/100000000,debt_original!M88)</f>
        <v>0</v>
      </c>
      <c r="N88" s="4">
        <f>IF(ISNUMBER(debt_original!N88),debt_original!N88/100000000,debt_original!N88)</f>
        <v>0</v>
      </c>
    </row>
    <row r="89" spans="2:14" x14ac:dyDescent="0.25">
      <c r="B89" s="4">
        <f>IF(ISNUMBER(debt_original!B89),debt_original!B89/100000000,debt_original!B89)</f>
        <v>0</v>
      </c>
      <c r="C89" s="4">
        <f>IF(ISNUMBER(debt_original!C89),debt_original!C89/100000000,debt_original!C89)</f>
        <v>0</v>
      </c>
      <c r="D89" s="4">
        <f>IF(ISNUMBER(debt_original!D89),debt_original!D89/100000000,debt_original!D89)</f>
        <v>0</v>
      </c>
      <c r="E89" s="4">
        <f>IF(ISNUMBER(debt_original!E89),debt_original!E89/100000000,debt_original!E89)</f>
        <v>0</v>
      </c>
      <c r="F89" s="4">
        <f>IF(ISNUMBER(debt_original!F89),debt_original!F89/100000000,debt_original!F89)</f>
        <v>0</v>
      </c>
      <c r="G89" s="4">
        <f>IF(ISNUMBER(debt_original!G89),debt_original!G89/100000000,debt_original!G89)</f>
        <v>0</v>
      </c>
      <c r="H89" s="4">
        <f>IF(ISNUMBER(debt_original!H89),debt_original!H89/100000000,debt_original!H89)</f>
        <v>0</v>
      </c>
      <c r="I89" s="4">
        <f>IF(ISNUMBER(debt_original!I89),debt_original!I89/100000000,debt_original!I89)</f>
        <v>0</v>
      </c>
      <c r="J89" s="4">
        <f>IF(ISNUMBER(debt_original!J89),debt_original!J89/100000000,debt_original!J89)</f>
        <v>0</v>
      </c>
      <c r="K89" s="4">
        <f>IF(ISNUMBER(debt_original!K89),debt_original!K89/100000000,debt_original!K89)</f>
        <v>0</v>
      </c>
      <c r="L89" s="4">
        <f>IF(ISNUMBER(debt_original!L89),debt_original!L89/100000000,debt_original!L89)</f>
        <v>0</v>
      </c>
      <c r="M89" s="4">
        <f>IF(ISNUMBER(debt_original!M89),debt_original!M89/100000000,debt_original!M89)</f>
        <v>0</v>
      </c>
      <c r="N89" s="4">
        <f>IF(ISNUMBER(debt_original!N89),debt_original!N89/100000000,debt_original!N89)</f>
        <v>0</v>
      </c>
    </row>
    <row r="90" spans="2:14" x14ac:dyDescent="0.25">
      <c r="B90" s="4">
        <f>IF(ISNUMBER(debt_original!B90),debt_original!B90/100000000,debt_original!B90)</f>
        <v>0</v>
      </c>
      <c r="C90" s="4">
        <f>IF(ISNUMBER(debt_original!C90),debt_original!C90/100000000,debt_original!C90)</f>
        <v>0</v>
      </c>
      <c r="D90" s="4">
        <f>IF(ISNUMBER(debt_original!D90),debt_original!D90/100000000,debt_original!D90)</f>
        <v>0</v>
      </c>
      <c r="E90" s="4">
        <f>IF(ISNUMBER(debt_original!E90),debt_original!E90/100000000,debt_original!E90)</f>
        <v>0</v>
      </c>
      <c r="F90" s="4">
        <f>IF(ISNUMBER(debt_original!F90),debt_original!F90/100000000,debt_original!F90)</f>
        <v>0</v>
      </c>
      <c r="G90" s="4">
        <f>IF(ISNUMBER(debt_original!G90),debt_original!G90/100000000,debt_original!G90)</f>
        <v>0</v>
      </c>
      <c r="H90" s="4">
        <f>IF(ISNUMBER(debt_original!H90),debt_original!H90/100000000,debt_original!H90)</f>
        <v>0</v>
      </c>
      <c r="I90" s="4">
        <f>IF(ISNUMBER(debt_original!I90),debt_original!I90/100000000,debt_original!I90)</f>
        <v>0</v>
      </c>
      <c r="J90" s="4">
        <f>IF(ISNUMBER(debt_original!J90),debt_original!J90/100000000,debt_original!J90)</f>
        <v>0</v>
      </c>
      <c r="K90" s="4">
        <f>IF(ISNUMBER(debt_original!K90),debt_original!K90/100000000,debt_original!K90)</f>
        <v>0</v>
      </c>
      <c r="L90" s="4">
        <f>IF(ISNUMBER(debt_original!L90),debt_original!L90/100000000,debt_original!L90)</f>
        <v>0</v>
      </c>
      <c r="M90" s="4">
        <f>IF(ISNUMBER(debt_original!M90),debt_original!M90/100000000,debt_original!M90)</f>
        <v>0</v>
      </c>
      <c r="N90" s="4">
        <f>IF(ISNUMBER(debt_original!N90),debt_original!N90/100000000,debt_original!N90)</f>
        <v>0</v>
      </c>
    </row>
    <row r="91" spans="2:14" x14ac:dyDescent="0.25">
      <c r="B91" s="4">
        <f>IF(ISNUMBER(debt_original!B91),debt_original!B91/100000000,debt_original!B91)</f>
        <v>0</v>
      </c>
      <c r="C91" s="4">
        <f>IF(ISNUMBER(debt_original!C91),debt_original!C91/100000000,debt_original!C91)</f>
        <v>0</v>
      </c>
      <c r="D91" s="4">
        <f>IF(ISNUMBER(debt_original!D91),debt_original!D91/100000000,debt_original!D91)</f>
        <v>0</v>
      </c>
      <c r="E91" s="4">
        <f>IF(ISNUMBER(debt_original!E91),debt_original!E91/100000000,debt_original!E91)</f>
        <v>0</v>
      </c>
      <c r="F91" s="4">
        <f>IF(ISNUMBER(debt_original!F91),debt_original!F91/100000000,debt_original!F91)</f>
        <v>0</v>
      </c>
      <c r="G91" s="4">
        <f>IF(ISNUMBER(debt_original!G91),debt_original!G91/100000000,debt_original!G91)</f>
        <v>0</v>
      </c>
      <c r="H91" s="4">
        <f>IF(ISNUMBER(debt_original!H91),debt_original!H91/100000000,debt_original!H91)</f>
        <v>0</v>
      </c>
      <c r="I91" s="4">
        <f>IF(ISNUMBER(debt_original!I91),debt_original!I91/100000000,debt_original!I91)</f>
        <v>0</v>
      </c>
      <c r="J91" s="4">
        <f>IF(ISNUMBER(debt_original!J91),debt_original!J91/100000000,debt_original!J91)</f>
        <v>0</v>
      </c>
      <c r="K91" s="4">
        <f>IF(ISNUMBER(debt_original!K91),debt_original!K91/100000000,debt_original!K91)</f>
        <v>0</v>
      </c>
      <c r="L91" s="4">
        <f>IF(ISNUMBER(debt_original!L91),debt_original!L91/100000000,debt_original!L91)</f>
        <v>0</v>
      </c>
      <c r="M91" s="4">
        <f>IF(ISNUMBER(debt_original!M91),debt_original!M91/100000000,debt_original!M91)</f>
        <v>0</v>
      </c>
      <c r="N91" s="4">
        <f>IF(ISNUMBER(debt_original!N91),debt_original!N91/100000000,debt_original!N91)</f>
        <v>0</v>
      </c>
    </row>
    <row r="92" spans="2:14" x14ac:dyDescent="0.25">
      <c r="B92" s="4">
        <f>IF(ISNUMBER(debt_original!B92),debt_original!B92/100000000,debt_original!B92)</f>
        <v>0</v>
      </c>
      <c r="C92" s="4">
        <f>IF(ISNUMBER(debt_original!C92),debt_original!C92/100000000,debt_original!C92)</f>
        <v>0</v>
      </c>
      <c r="D92" s="4">
        <f>IF(ISNUMBER(debt_original!D92),debt_original!D92/100000000,debt_original!D92)</f>
        <v>0</v>
      </c>
      <c r="E92" s="4">
        <f>IF(ISNUMBER(debt_original!E92),debt_original!E92/100000000,debt_original!E92)</f>
        <v>0</v>
      </c>
      <c r="F92" s="4">
        <f>IF(ISNUMBER(debt_original!F92),debt_original!F92/100000000,debt_original!F92)</f>
        <v>0</v>
      </c>
      <c r="G92" s="4">
        <f>IF(ISNUMBER(debt_original!G92),debt_original!G92/100000000,debt_original!G92)</f>
        <v>0</v>
      </c>
      <c r="H92" s="4">
        <f>IF(ISNUMBER(debt_original!H92),debt_original!H92/100000000,debt_original!H92)</f>
        <v>0</v>
      </c>
      <c r="I92" s="4">
        <f>IF(ISNUMBER(debt_original!I92),debt_original!I92/100000000,debt_original!I92)</f>
        <v>0</v>
      </c>
      <c r="J92" s="4">
        <f>IF(ISNUMBER(debt_original!J92),debt_original!J92/100000000,debt_original!J92)</f>
        <v>0</v>
      </c>
      <c r="K92" s="4">
        <f>IF(ISNUMBER(debt_original!K92),debt_original!K92/100000000,debt_original!K92)</f>
        <v>0</v>
      </c>
      <c r="L92" s="4">
        <f>IF(ISNUMBER(debt_original!L92),debt_original!L92/100000000,debt_original!L92)</f>
        <v>0</v>
      </c>
      <c r="M92" s="4">
        <f>IF(ISNUMBER(debt_original!M92),debt_original!M92/100000000,debt_original!M92)</f>
        <v>0</v>
      </c>
      <c r="N92" s="4">
        <f>IF(ISNUMBER(debt_original!N92),debt_original!N92/100000000,debt_original!N92)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2909B-1BE2-42C4-B859-20108BBADCCE}">
  <sheetPr codeName="Sheet8"/>
  <dimension ref="A2:BT95"/>
  <sheetViews>
    <sheetView workbookViewId="0">
      <selection activeCell="B4" sqref="B4:AU95"/>
    </sheetView>
  </sheetViews>
  <sheetFormatPr defaultRowHeight="15" x14ac:dyDescent="0.25"/>
  <cols>
    <col min="1" max="1" width="59.85546875" style="2" bestFit="1" customWidth="1"/>
    <col min="2" max="72" width="10" style="2" customWidth="1"/>
    <col min="73" max="256" width="9.140625" style="2"/>
    <col min="257" max="257" width="25" style="2" customWidth="1"/>
    <col min="258" max="328" width="10" style="2" customWidth="1"/>
    <col min="329" max="512" width="9.140625" style="2"/>
    <col min="513" max="513" width="25" style="2" customWidth="1"/>
    <col min="514" max="584" width="10" style="2" customWidth="1"/>
    <col min="585" max="768" width="9.140625" style="2"/>
    <col min="769" max="769" width="25" style="2" customWidth="1"/>
    <col min="770" max="840" width="10" style="2" customWidth="1"/>
    <col min="841" max="1024" width="9.140625" style="2"/>
    <col min="1025" max="1025" width="25" style="2" customWidth="1"/>
    <col min="1026" max="1096" width="10" style="2" customWidth="1"/>
    <col min="1097" max="1280" width="9.140625" style="2"/>
    <col min="1281" max="1281" width="25" style="2" customWidth="1"/>
    <col min="1282" max="1352" width="10" style="2" customWidth="1"/>
    <col min="1353" max="1536" width="9.140625" style="2"/>
    <col min="1537" max="1537" width="25" style="2" customWidth="1"/>
    <col min="1538" max="1608" width="10" style="2" customWidth="1"/>
    <col min="1609" max="1792" width="9.140625" style="2"/>
    <col min="1793" max="1793" width="25" style="2" customWidth="1"/>
    <col min="1794" max="1864" width="10" style="2" customWidth="1"/>
    <col min="1865" max="2048" width="9.140625" style="2"/>
    <col min="2049" max="2049" width="25" style="2" customWidth="1"/>
    <col min="2050" max="2120" width="10" style="2" customWidth="1"/>
    <col min="2121" max="2304" width="9.140625" style="2"/>
    <col min="2305" max="2305" width="25" style="2" customWidth="1"/>
    <col min="2306" max="2376" width="10" style="2" customWidth="1"/>
    <col min="2377" max="2560" width="9.140625" style="2"/>
    <col min="2561" max="2561" width="25" style="2" customWidth="1"/>
    <col min="2562" max="2632" width="10" style="2" customWidth="1"/>
    <col min="2633" max="2816" width="9.140625" style="2"/>
    <col min="2817" max="2817" width="25" style="2" customWidth="1"/>
    <col min="2818" max="2888" width="10" style="2" customWidth="1"/>
    <col min="2889" max="3072" width="9.140625" style="2"/>
    <col min="3073" max="3073" width="25" style="2" customWidth="1"/>
    <col min="3074" max="3144" width="10" style="2" customWidth="1"/>
    <col min="3145" max="3328" width="9.140625" style="2"/>
    <col min="3329" max="3329" width="25" style="2" customWidth="1"/>
    <col min="3330" max="3400" width="10" style="2" customWidth="1"/>
    <col min="3401" max="3584" width="9.140625" style="2"/>
    <col min="3585" max="3585" width="25" style="2" customWidth="1"/>
    <col min="3586" max="3656" width="10" style="2" customWidth="1"/>
    <col min="3657" max="3840" width="9.140625" style="2"/>
    <col min="3841" max="3841" width="25" style="2" customWidth="1"/>
    <col min="3842" max="3912" width="10" style="2" customWidth="1"/>
    <col min="3913" max="4096" width="9.140625" style="2"/>
    <col min="4097" max="4097" width="25" style="2" customWidth="1"/>
    <col min="4098" max="4168" width="10" style="2" customWidth="1"/>
    <col min="4169" max="4352" width="9.140625" style="2"/>
    <col min="4353" max="4353" width="25" style="2" customWidth="1"/>
    <col min="4354" max="4424" width="10" style="2" customWidth="1"/>
    <col min="4425" max="4608" width="9.140625" style="2"/>
    <col min="4609" max="4609" width="25" style="2" customWidth="1"/>
    <col min="4610" max="4680" width="10" style="2" customWidth="1"/>
    <col min="4681" max="4864" width="9.140625" style="2"/>
    <col min="4865" max="4865" width="25" style="2" customWidth="1"/>
    <col min="4866" max="4936" width="10" style="2" customWidth="1"/>
    <col min="4937" max="5120" width="9.140625" style="2"/>
    <col min="5121" max="5121" width="25" style="2" customWidth="1"/>
    <col min="5122" max="5192" width="10" style="2" customWidth="1"/>
    <col min="5193" max="5376" width="9.140625" style="2"/>
    <col min="5377" max="5377" width="25" style="2" customWidth="1"/>
    <col min="5378" max="5448" width="10" style="2" customWidth="1"/>
    <col min="5449" max="5632" width="9.140625" style="2"/>
    <col min="5633" max="5633" width="25" style="2" customWidth="1"/>
    <col min="5634" max="5704" width="10" style="2" customWidth="1"/>
    <col min="5705" max="5888" width="9.140625" style="2"/>
    <col min="5889" max="5889" width="25" style="2" customWidth="1"/>
    <col min="5890" max="5960" width="10" style="2" customWidth="1"/>
    <col min="5961" max="6144" width="9.140625" style="2"/>
    <col min="6145" max="6145" width="25" style="2" customWidth="1"/>
    <col min="6146" max="6216" width="10" style="2" customWidth="1"/>
    <col min="6217" max="6400" width="9.140625" style="2"/>
    <col min="6401" max="6401" width="25" style="2" customWidth="1"/>
    <col min="6402" max="6472" width="10" style="2" customWidth="1"/>
    <col min="6473" max="6656" width="9.140625" style="2"/>
    <col min="6657" max="6657" width="25" style="2" customWidth="1"/>
    <col min="6658" max="6728" width="10" style="2" customWidth="1"/>
    <col min="6729" max="6912" width="9.140625" style="2"/>
    <col min="6913" max="6913" width="25" style="2" customWidth="1"/>
    <col min="6914" max="6984" width="10" style="2" customWidth="1"/>
    <col min="6985" max="7168" width="9.140625" style="2"/>
    <col min="7169" max="7169" width="25" style="2" customWidth="1"/>
    <col min="7170" max="7240" width="10" style="2" customWidth="1"/>
    <col min="7241" max="7424" width="9.140625" style="2"/>
    <col min="7425" max="7425" width="25" style="2" customWidth="1"/>
    <col min="7426" max="7496" width="10" style="2" customWidth="1"/>
    <col min="7497" max="7680" width="9.140625" style="2"/>
    <col min="7681" max="7681" width="25" style="2" customWidth="1"/>
    <col min="7682" max="7752" width="10" style="2" customWidth="1"/>
    <col min="7753" max="7936" width="9.140625" style="2"/>
    <col min="7937" max="7937" width="25" style="2" customWidth="1"/>
    <col min="7938" max="8008" width="10" style="2" customWidth="1"/>
    <col min="8009" max="8192" width="9.140625" style="2"/>
    <col min="8193" max="8193" width="25" style="2" customWidth="1"/>
    <col min="8194" max="8264" width="10" style="2" customWidth="1"/>
    <col min="8265" max="8448" width="9.140625" style="2"/>
    <col min="8449" max="8449" width="25" style="2" customWidth="1"/>
    <col min="8450" max="8520" width="10" style="2" customWidth="1"/>
    <col min="8521" max="8704" width="9.140625" style="2"/>
    <col min="8705" max="8705" width="25" style="2" customWidth="1"/>
    <col min="8706" max="8776" width="10" style="2" customWidth="1"/>
    <col min="8777" max="8960" width="9.140625" style="2"/>
    <col min="8961" max="8961" width="25" style="2" customWidth="1"/>
    <col min="8962" max="9032" width="10" style="2" customWidth="1"/>
    <col min="9033" max="9216" width="9.140625" style="2"/>
    <col min="9217" max="9217" width="25" style="2" customWidth="1"/>
    <col min="9218" max="9288" width="10" style="2" customWidth="1"/>
    <col min="9289" max="9472" width="9.140625" style="2"/>
    <col min="9473" max="9473" width="25" style="2" customWidth="1"/>
    <col min="9474" max="9544" width="10" style="2" customWidth="1"/>
    <col min="9545" max="9728" width="9.140625" style="2"/>
    <col min="9729" max="9729" width="25" style="2" customWidth="1"/>
    <col min="9730" max="9800" width="10" style="2" customWidth="1"/>
    <col min="9801" max="9984" width="9.140625" style="2"/>
    <col min="9985" max="9985" width="25" style="2" customWidth="1"/>
    <col min="9986" max="10056" width="10" style="2" customWidth="1"/>
    <col min="10057" max="10240" width="9.140625" style="2"/>
    <col min="10241" max="10241" width="25" style="2" customWidth="1"/>
    <col min="10242" max="10312" width="10" style="2" customWidth="1"/>
    <col min="10313" max="10496" width="9.140625" style="2"/>
    <col min="10497" max="10497" width="25" style="2" customWidth="1"/>
    <col min="10498" max="10568" width="10" style="2" customWidth="1"/>
    <col min="10569" max="10752" width="9.140625" style="2"/>
    <col min="10753" max="10753" width="25" style="2" customWidth="1"/>
    <col min="10754" max="10824" width="10" style="2" customWidth="1"/>
    <col min="10825" max="11008" width="9.140625" style="2"/>
    <col min="11009" max="11009" width="25" style="2" customWidth="1"/>
    <col min="11010" max="11080" width="10" style="2" customWidth="1"/>
    <col min="11081" max="11264" width="9.140625" style="2"/>
    <col min="11265" max="11265" width="25" style="2" customWidth="1"/>
    <col min="11266" max="11336" width="10" style="2" customWidth="1"/>
    <col min="11337" max="11520" width="9.140625" style="2"/>
    <col min="11521" max="11521" width="25" style="2" customWidth="1"/>
    <col min="11522" max="11592" width="10" style="2" customWidth="1"/>
    <col min="11593" max="11776" width="9.140625" style="2"/>
    <col min="11777" max="11777" width="25" style="2" customWidth="1"/>
    <col min="11778" max="11848" width="10" style="2" customWidth="1"/>
    <col min="11849" max="12032" width="9.140625" style="2"/>
    <col min="12033" max="12033" width="25" style="2" customWidth="1"/>
    <col min="12034" max="12104" width="10" style="2" customWidth="1"/>
    <col min="12105" max="12288" width="9.140625" style="2"/>
    <col min="12289" max="12289" width="25" style="2" customWidth="1"/>
    <col min="12290" max="12360" width="10" style="2" customWidth="1"/>
    <col min="12361" max="12544" width="9.140625" style="2"/>
    <col min="12545" max="12545" width="25" style="2" customWidth="1"/>
    <col min="12546" max="12616" width="10" style="2" customWidth="1"/>
    <col min="12617" max="12800" width="9.140625" style="2"/>
    <col min="12801" max="12801" width="25" style="2" customWidth="1"/>
    <col min="12802" max="12872" width="10" style="2" customWidth="1"/>
    <col min="12873" max="13056" width="9.140625" style="2"/>
    <col min="13057" max="13057" width="25" style="2" customWidth="1"/>
    <col min="13058" max="13128" width="10" style="2" customWidth="1"/>
    <col min="13129" max="13312" width="9.140625" style="2"/>
    <col min="13313" max="13313" width="25" style="2" customWidth="1"/>
    <col min="13314" max="13384" width="10" style="2" customWidth="1"/>
    <col min="13385" max="13568" width="9.140625" style="2"/>
    <col min="13569" max="13569" width="25" style="2" customWidth="1"/>
    <col min="13570" max="13640" width="10" style="2" customWidth="1"/>
    <col min="13641" max="13824" width="9.140625" style="2"/>
    <col min="13825" max="13825" width="25" style="2" customWidth="1"/>
    <col min="13826" max="13896" width="10" style="2" customWidth="1"/>
    <col min="13897" max="14080" width="9.140625" style="2"/>
    <col min="14081" max="14081" width="25" style="2" customWidth="1"/>
    <col min="14082" max="14152" width="10" style="2" customWidth="1"/>
    <col min="14153" max="14336" width="9.140625" style="2"/>
    <col min="14337" max="14337" width="25" style="2" customWidth="1"/>
    <col min="14338" max="14408" width="10" style="2" customWidth="1"/>
    <col min="14409" max="14592" width="9.140625" style="2"/>
    <col min="14593" max="14593" width="25" style="2" customWidth="1"/>
    <col min="14594" max="14664" width="10" style="2" customWidth="1"/>
    <col min="14665" max="14848" width="9.140625" style="2"/>
    <col min="14849" max="14849" width="25" style="2" customWidth="1"/>
    <col min="14850" max="14920" width="10" style="2" customWidth="1"/>
    <col min="14921" max="15104" width="9.140625" style="2"/>
    <col min="15105" max="15105" width="25" style="2" customWidth="1"/>
    <col min="15106" max="15176" width="10" style="2" customWidth="1"/>
    <col min="15177" max="15360" width="9.140625" style="2"/>
    <col min="15361" max="15361" width="25" style="2" customWidth="1"/>
    <col min="15362" max="15432" width="10" style="2" customWidth="1"/>
    <col min="15433" max="15616" width="9.140625" style="2"/>
    <col min="15617" max="15617" width="25" style="2" customWidth="1"/>
    <col min="15618" max="15688" width="10" style="2" customWidth="1"/>
    <col min="15689" max="15872" width="9.140625" style="2"/>
    <col min="15873" max="15873" width="25" style="2" customWidth="1"/>
    <col min="15874" max="15944" width="10" style="2" customWidth="1"/>
    <col min="15945" max="16128" width="9.140625" style="2"/>
    <col min="16129" max="16129" width="25" style="2" customWidth="1"/>
    <col min="16130" max="16200" width="10" style="2" customWidth="1"/>
    <col min="16201" max="16384" width="9.140625" style="2"/>
  </cols>
  <sheetData>
    <row r="2" spans="1:72" x14ac:dyDescent="0.25">
      <c r="A2" s="2" t="s">
        <v>10</v>
      </c>
      <c r="B2" s="2" t="s">
        <v>56</v>
      </c>
      <c r="C2" s="2" t="s">
        <v>57</v>
      </c>
      <c r="D2" s="2" t="s">
        <v>58</v>
      </c>
      <c r="E2" s="2" t="s">
        <v>59</v>
      </c>
      <c r="F2" s="2" t="s">
        <v>60</v>
      </c>
      <c r="G2" s="2" t="s">
        <v>61</v>
      </c>
      <c r="H2" s="2" t="s">
        <v>62</v>
      </c>
      <c r="I2" s="2" t="s">
        <v>63</v>
      </c>
      <c r="J2" s="2" t="s">
        <v>64</v>
      </c>
      <c r="K2" s="2" t="s">
        <v>65</v>
      </c>
      <c r="L2" s="2" t="s">
        <v>66</v>
      </c>
      <c r="M2" s="2" t="s">
        <v>67</v>
      </c>
      <c r="N2" s="2" t="s">
        <v>68</v>
      </c>
      <c r="O2" s="2" t="s">
        <v>69</v>
      </c>
      <c r="P2" s="2" t="s">
        <v>70</v>
      </c>
      <c r="Q2" s="2" t="s">
        <v>71</v>
      </c>
      <c r="R2" s="2" t="s">
        <v>72</v>
      </c>
      <c r="S2" s="2" t="s">
        <v>73</v>
      </c>
      <c r="T2" s="2" t="s">
        <v>74</v>
      </c>
      <c r="U2" s="2" t="s">
        <v>75</v>
      </c>
      <c r="V2" s="2" t="s">
        <v>76</v>
      </c>
      <c r="W2" s="2" t="s">
        <v>77</v>
      </c>
      <c r="X2" s="2" t="s">
        <v>78</v>
      </c>
      <c r="Y2" s="2" t="s">
        <v>79</v>
      </c>
      <c r="Z2" s="2" t="s">
        <v>80</v>
      </c>
      <c r="AA2" s="2" t="s">
        <v>81</v>
      </c>
      <c r="AB2" s="2" t="s">
        <v>82</v>
      </c>
      <c r="AC2" s="2" t="s">
        <v>83</v>
      </c>
      <c r="AD2" s="2" t="s">
        <v>84</v>
      </c>
      <c r="AE2" s="2" t="s">
        <v>85</v>
      </c>
      <c r="AF2" s="2" t="s">
        <v>86</v>
      </c>
      <c r="AG2" s="2" t="s">
        <v>87</v>
      </c>
      <c r="AH2" s="2" t="s">
        <v>88</v>
      </c>
      <c r="AI2" s="2" t="s">
        <v>89</v>
      </c>
      <c r="AJ2" s="2" t="s">
        <v>90</v>
      </c>
      <c r="AK2" s="2" t="s">
        <v>91</v>
      </c>
      <c r="AL2" s="2" t="s">
        <v>92</v>
      </c>
      <c r="AM2" s="2" t="s">
        <v>93</v>
      </c>
      <c r="AN2" s="2" t="s">
        <v>94</v>
      </c>
      <c r="AO2" s="2" t="s">
        <v>95</v>
      </c>
      <c r="AP2" s="2" t="s">
        <v>96</v>
      </c>
      <c r="AQ2" s="2" t="s">
        <v>97</v>
      </c>
      <c r="AR2" s="2" t="s">
        <v>98</v>
      </c>
      <c r="AS2" s="2" t="s">
        <v>99</v>
      </c>
      <c r="AT2" s="2" t="s">
        <v>100</v>
      </c>
      <c r="AU2" s="2" t="s">
        <v>101</v>
      </c>
      <c r="AV2" s="2" t="s">
        <v>102</v>
      </c>
      <c r="AW2" s="2" t="s">
        <v>103</v>
      </c>
      <c r="AX2" s="2" t="s">
        <v>104</v>
      </c>
      <c r="AY2" s="2" t="s">
        <v>105</v>
      </c>
      <c r="AZ2" s="2" t="s">
        <v>106</v>
      </c>
      <c r="BA2" s="2" t="s">
        <v>107</v>
      </c>
      <c r="BB2" s="2" t="s">
        <v>108</v>
      </c>
      <c r="BC2" s="2" t="s">
        <v>109</v>
      </c>
      <c r="BD2" s="2" t="s">
        <v>110</v>
      </c>
      <c r="BE2" s="2" t="s">
        <v>111</v>
      </c>
      <c r="BF2" s="2" t="s">
        <v>112</v>
      </c>
      <c r="BG2" s="2" t="s">
        <v>113</v>
      </c>
      <c r="BH2" s="2" t="s">
        <v>114</v>
      </c>
      <c r="BI2" s="2" t="s">
        <v>115</v>
      </c>
      <c r="BJ2" s="2" t="s">
        <v>116</v>
      </c>
      <c r="BK2" s="2" t="s">
        <v>117</v>
      </c>
      <c r="BL2" s="2" t="s">
        <v>118</v>
      </c>
      <c r="BM2" s="2" t="s">
        <v>119</v>
      </c>
      <c r="BN2" s="2" t="s">
        <v>120</v>
      </c>
      <c r="BO2" s="2" t="s">
        <v>121</v>
      </c>
      <c r="BP2" s="2" t="s">
        <v>122</v>
      </c>
      <c r="BQ2" s="2" t="s">
        <v>123</v>
      </c>
      <c r="BR2" s="2" t="s">
        <v>124</v>
      </c>
      <c r="BS2" s="2" t="s">
        <v>125</v>
      </c>
      <c r="BT2" s="2" t="s">
        <v>126</v>
      </c>
    </row>
    <row r="3" spans="1:72" x14ac:dyDescent="0.25">
      <c r="A3" s="3" t="s">
        <v>164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</row>
    <row r="4" spans="1:72" x14ac:dyDescent="0.25">
      <c r="A4" s="3" t="s">
        <v>165</v>
      </c>
      <c r="B4" s="4">
        <f>IF(ISNUMBER(cash_original!B4),cash_original!B4/100000000,cash_original!B4)</f>
        <v>249.02307500000001</v>
      </c>
      <c r="C4" s="4">
        <f>IF(ISNUMBER(cash_original!C4),cash_original!C4/100000000,cash_original!C4)</f>
        <v>245.802268</v>
      </c>
      <c r="D4" s="4">
        <f>IF(ISNUMBER(cash_original!D4),cash_original!D4/100000000,cash_original!D4)</f>
        <v>218.66005999999999</v>
      </c>
      <c r="E4" s="4">
        <f>IF(ISNUMBER(cash_original!E4),cash_original!E4/100000000,cash_original!E4)</f>
        <v>288.11899</v>
      </c>
      <c r="F4" s="4">
        <f>IF(ISNUMBER(cash_original!F4),cash_original!F4/100000000,cash_original!F4)</f>
        <v>228.39155199999999</v>
      </c>
      <c r="G4" s="4">
        <f>IF(ISNUMBER(cash_original!G4),cash_original!G4/100000000,cash_original!G4)</f>
        <v>205.709013</v>
      </c>
      <c r="H4" s="4">
        <f>IF(ISNUMBER(cash_original!H4),cash_original!H4/100000000,cash_original!H4)</f>
        <v>227.58183099999999</v>
      </c>
      <c r="I4" s="4">
        <f>IF(ISNUMBER(cash_original!I4),cash_original!I4/100000000,cash_original!I4)</f>
        <v>266.49365399999999</v>
      </c>
      <c r="J4" s="4">
        <f>IF(ISNUMBER(cash_original!J4),cash_original!J4/100000000,cash_original!J4)</f>
        <v>230.07843600000001</v>
      </c>
      <c r="K4" s="4">
        <f>IF(ISNUMBER(cash_original!K4),cash_original!K4/100000000,cash_original!K4)</f>
        <v>152.453934</v>
      </c>
      <c r="L4" s="4">
        <f>IF(ISNUMBER(cash_original!L4),cash_original!L4/100000000,cash_original!L4)</f>
        <v>193.660933</v>
      </c>
      <c r="M4" s="4">
        <f>IF(ISNUMBER(cash_original!M4),cash_original!M4/100000000,cash_original!M4)</f>
        <v>155.204758</v>
      </c>
      <c r="N4" s="4">
        <f>IF(ISNUMBER(cash_original!N4),cash_original!N4/100000000,cash_original!N4)</f>
        <v>207.486006</v>
      </c>
      <c r="O4" s="4">
        <f>IF(ISNUMBER(cash_original!O4),cash_original!O4/100000000,cash_original!O4)</f>
        <v>107.611925</v>
      </c>
      <c r="P4" s="4">
        <f>IF(ISNUMBER(cash_original!P4),cash_original!P4/100000000,cash_original!P4)</f>
        <v>173.912104</v>
      </c>
      <c r="Q4" s="4">
        <f>IF(ISNUMBER(cash_original!Q4),cash_original!Q4/100000000,cash_original!Q4)</f>
        <v>146.26914400000001</v>
      </c>
      <c r="R4" s="4">
        <f>IF(ISNUMBER(cash_original!R4),cash_original!R4/100000000,cash_original!R4)</f>
        <v>206.36168900000001</v>
      </c>
      <c r="S4" s="4">
        <f>IF(ISNUMBER(cash_original!S4),cash_original!S4/100000000,cash_original!S4)</f>
        <v>102.59059000000001</v>
      </c>
      <c r="T4" s="4">
        <f>IF(ISNUMBER(cash_original!T4),cash_original!T4/100000000,cash_original!T4)</f>
        <v>154.90821800000001</v>
      </c>
      <c r="U4" s="4">
        <f>IF(ISNUMBER(cash_original!U4),cash_original!U4/100000000,cash_original!U4)</f>
        <v>126.05839</v>
      </c>
      <c r="V4" s="4">
        <f>IF(ISNUMBER(cash_original!V4),cash_original!V4/100000000,cash_original!V4)</f>
        <v>74.925381999999999</v>
      </c>
      <c r="W4" s="4">
        <f>IF(ISNUMBER(cash_original!W4),cash_original!W4/100000000,cash_original!W4)</f>
        <v>67.292021000000005</v>
      </c>
      <c r="X4" s="4">
        <f>IF(ISNUMBER(cash_original!X4),cash_original!X4/100000000,cash_original!X4)</f>
        <v>102.55492599999999</v>
      </c>
      <c r="Y4" s="4">
        <f>IF(ISNUMBER(cash_original!Y4),cash_original!Y4/100000000,cash_original!Y4)</f>
        <v>113.410467</v>
      </c>
      <c r="Z4" s="4">
        <f>IF(ISNUMBER(cash_original!Z4),cash_original!Z4/100000000,cash_original!Z4)</f>
        <v>79.852712999999994</v>
      </c>
      <c r="AA4" s="4">
        <f>IF(ISNUMBER(cash_original!AA4),cash_original!AA4/100000000,cash_original!AA4)</f>
        <v>68.204260000000005</v>
      </c>
      <c r="AB4" s="4">
        <f>IF(ISNUMBER(cash_original!AB4),cash_original!AB4/100000000,cash_original!AB4)</f>
        <v>72.380916999999997</v>
      </c>
      <c r="AC4" s="4">
        <f>IF(ISNUMBER(cash_original!AC4),cash_original!AC4/100000000,cash_original!AC4)</f>
        <v>109.538736</v>
      </c>
      <c r="AD4" s="4">
        <f>IF(ISNUMBER(cash_original!AD4),cash_original!AD4/100000000,cash_original!AD4)</f>
        <v>103.20340400000001</v>
      </c>
      <c r="AE4" s="4">
        <f>IF(ISNUMBER(cash_original!AE4),cash_original!AE4/100000000,cash_original!AE4)</f>
        <v>57.988985</v>
      </c>
      <c r="AF4" s="4">
        <f>IF(ISNUMBER(cash_original!AF4),cash_original!AF4/100000000,cash_original!AF4)</f>
        <v>61.607579999999999</v>
      </c>
      <c r="AG4" s="4">
        <f>IF(ISNUMBER(cash_original!AG4),cash_original!AG4/100000000,cash_original!AG4)</f>
        <v>90.854472999999999</v>
      </c>
      <c r="AH4" s="4">
        <f>IF(ISNUMBER(cash_original!AH4),cash_original!AH4/100000000,cash_original!AH4)</f>
        <v>72.911987999999994</v>
      </c>
      <c r="AI4" s="4">
        <f>IF(ISNUMBER(cash_original!AI4),cash_original!AI4/100000000,cash_original!AI4)</f>
        <v>67.696342999999999</v>
      </c>
      <c r="AJ4" s="4">
        <f>IF(ISNUMBER(cash_original!AJ4),cash_original!AJ4/100000000,cash_original!AJ4)</f>
        <v>57.660871999999998</v>
      </c>
      <c r="AK4" s="4">
        <f>IF(ISNUMBER(cash_original!AK4),cash_original!AK4/100000000,cash_original!AK4)</f>
        <v>56.355015999999999</v>
      </c>
      <c r="AL4" s="4">
        <f>IF(ISNUMBER(cash_original!AL4),cash_original!AL4/100000000,cash_original!AL4)</f>
        <v>64.771614999999997</v>
      </c>
      <c r="AM4" s="4">
        <f>IF(ISNUMBER(cash_original!AM4),cash_original!AM4/100000000,cash_original!AM4)</f>
        <v>50.023045000000003</v>
      </c>
      <c r="AN4" s="4">
        <f>IF(ISNUMBER(cash_original!AN4),cash_original!AN4/100000000,cash_original!AN4)</f>
        <v>65.441636000000003</v>
      </c>
      <c r="AO4" s="4">
        <f>IF(ISNUMBER(cash_original!AO4),cash_original!AO4/100000000,cash_original!AO4)</f>
        <v>41.996644000000003</v>
      </c>
      <c r="AP4" s="4">
        <f>IF(ISNUMBER(cash_original!AP4),cash_original!AP4/100000000,cash_original!AP4)</f>
        <v>43.784309</v>
      </c>
      <c r="AQ4" s="4">
        <f>IF(ISNUMBER(cash_original!AQ4),cash_original!AQ4/100000000,cash_original!AQ4)</f>
        <v>32.867818999999997</v>
      </c>
      <c r="AR4" s="4">
        <f>IF(ISNUMBER(cash_original!AR4),cash_original!AR4/100000000,cash_original!AR4)</f>
        <v>30.737047</v>
      </c>
      <c r="AS4" s="4">
        <f>IF(ISNUMBER(cash_original!AS4),cash_original!AS4/100000000,cash_original!AS4)</f>
        <v>42.965212999999999</v>
      </c>
      <c r="AT4" s="4">
        <f>IF(ISNUMBER(cash_original!AT4),cash_original!AT4/100000000,cash_original!AT4)</f>
        <v>32.610706999999998</v>
      </c>
      <c r="AU4" s="4">
        <f>IF(ISNUMBER(cash_original!AU4),cash_original!AU4/100000000,cash_original!AU4)</f>
        <v>23.278866000000001</v>
      </c>
      <c r="AV4" s="3">
        <v>1870765300</v>
      </c>
      <c r="AW4" s="3">
        <v>3869373000</v>
      </c>
      <c r="AX4" s="3">
        <v>2836868800</v>
      </c>
      <c r="AY4" s="3">
        <v>2008939900</v>
      </c>
      <c r="AZ4" s="3">
        <v>2560049000</v>
      </c>
      <c r="BA4" s="3">
        <v>2139533700</v>
      </c>
      <c r="BB4" s="3">
        <v>1915486600</v>
      </c>
      <c r="BC4" s="3">
        <v>1421185100</v>
      </c>
      <c r="BD4" s="3">
        <v>1961548900</v>
      </c>
      <c r="BE4" s="3">
        <v>1700472000</v>
      </c>
      <c r="BF4" s="3">
        <v>1719030300</v>
      </c>
      <c r="BG4" s="3">
        <v>1126115000</v>
      </c>
      <c r="BH4" s="3">
        <v>1615997400</v>
      </c>
      <c r="BI4" s="3">
        <v>1657774200</v>
      </c>
      <c r="BJ4" s="3">
        <v>1242588100</v>
      </c>
      <c r="BK4" s="3">
        <v>815752500</v>
      </c>
      <c r="BL4" s="3">
        <v>1260553700</v>
      </c>
      <c r="BM4" s="3">
        <v>1175415400</v>
      </c>
      <c r="BN4" s="3">
        <v>1011105800</v>
      </c>
      <c r="BO4" s="3">
        <v>634568100</v>
      </c>
      <c r="BP4" s="3">
        <v>825380800</v>
      </c>
      <c r="BQ4" s="3">
        <v>976927100</v>
      </c>
      <c r="BR4" s="3">
        <v>927842400</v>
      </c>
      <c r="BS4" s="3">
        <v>525585900</v>
      </c>
      <c r="BT4" s="3">
        <v>627433000</v>
      </c>
    </row>
    <row r="5" spans="1:72" x14ac:dyDescent="0.25">
      <c r="A5" s="3" t="s">
        <v>166</v>
      </c>
      <c r="B5" s="4" t="str">
        <f>IF(ISNUMBER(cash_original!B5),cash_original!B5/100000000,cash_original!B5)</f>
        <v>--</v>
      </c>
      <c r="C5" s="4" t="str">
        <f>IF(ISNUMBER(cash_original!C5),cash_original!C5/100000000,cash_original!C5)</f>
        <v>--</v>
      </c>
      <c r="D5" s="4" t="str">
        <f>IF(ISNUMBER(cash_original!D5),cash_original!D5/100000000,cash_original!D5)</f>
        <v>--</v>
      </c>
      <c r="E5" s="4" t="str">
        <f>IF(ISNUMBER(cash_original!E5),cash_original!E5/100000000,cash_original!E5)</f>
        <v>--</v>
      </c>
      <c r="F5" s="4" t="str">
        <f>IF(ISNUMBER(cash_original!F5),cash_original!F5/100000000,cash_original!F5)</f>
        <v>--</v>
      </c>
      <c r="G5" s="4" t="str">
        <f>IF(ISNUMBER(cash_original!G5),cash_original!G5/100000000,cash_original!G5)</f>
        <v>--</v>
      </c>
      <c r="H5" s="4" t="str">
        <f>IF(ISNUMBER(cash_original!H5),cash_original!H5/100000000,cash_original!H5)</f>
        <v>--</v>
      </c>
      <c r="I5" s="4" t="str">
        <f>IF(ISNUMBER(cash_original!I5),cash_original!I5/100000000,cash_original!I5)</f>
        <v>--</v>
      </c>
      <c r="J5" s="4" t="str">
        <f>IF(ISNUMBER(cash_original!J5),cash_original!J5/100000000,cash_original!J5)</f>
        <v>--</v>
      </c>
      <c r="K5" s="4" t="str">
        <f>IF(ISNUMBER(cash_original!K5),cash_original!K5/100000000,cash_original!K5)</f>
        <v>--</v>
      </c>
      <c r="L5" s="4" t="str">
        <f>IF(ISNUMBER(cash_original!L5),cash_original!L5/100000000,cash_original!L5)</f>
        <v>--</v>
      </c>
      <c r="M5" s="4" t="str">
        <f>IF(ISNUMBER(cash_original!M5),cash_original!M5/100000000,cash_original!M5)</f>
        <v>--</v>
      </c>
      <c r="N5" s="4" t="str">
        <f>IF(ISNUMBER(cash_original!N5),cash_original!N5/100000000,cash_original!N5)</f>
        <v>--</v>
      </c>
      <c r="O5" s="4" t="str">
        <f>IF(ISNUMBER(cash_original!O5),cash_original!O5/100000000,cash_original!O5)</f>
        <v>--</v>
      </c>
      <c r="P5" s="4" t="str">
        <f>IF(ISNUMBER(cash_original!P5),cash_original!P5/100000000,cash_original!P5)</f>
        <v>--</v>
      </c>
      <c r="Q5" s="4" t="str">
        <f>IF(ISNUMBER(cash_original!Q5),cash_original!Q5/100000000,cash_original!Q5)</f>
        <v>--</v>
      </c>
      <c r="R5" s="4" t="str">
        <f>IF(ISNUMBER(cash_original!R5),cash_original!R5/100000000,cash_original!R5)</f>
        <v>--</v>
      </c>
      <c r="S5" s="4" t="str">
        <f>IF(ISNUMBER(cash_original!S5),cash_original!S5/100000000,cash_original!S5)</f>
        <v>--</v>
      </c>
      <c r="T5" s="4" t="str">
        <f>IF(ISNUMBER(cash_original!T5),cash_original!T5/100000000,cash_original!T5)</f>
        <v>--</v>
      </c>
      <c r="U5" s="4" t="str">
        <f>IF(ISNUMBER(cash_original!U5),cash_original!U5/100000000,cash_original!U5)</f>
        <v>--</v>
      </c>
      <c r="V5" s="4" t="str">
        <f>IF(ISNUMBER(cash_original!V5),cash_original!V5/100000000,cash_original!V5)</f>
        <v>--</v>
      </c>
      <c r="W5" s="4" t="str">
        <f>IF(ISNUMBER(cash_original!W5),cash_original!W5/100000000,cash_original!W5)</f>
        <v>--</v>
      </c>
      <c r="X5" s="4" t="str">
        <f>IF(ISNUMBER(cash_original!X5),cash_original!X5/100000000,cash_original!X5)</f>
        <v>--</v>
      </c>
      <c r="Y5" s="4" t="str">
        <f>IF(ISNUMBER(cash_original!Y5),cash_original!Y5/100000000,cash_original!Y5)</f>
        <v>--</v>
      </c>
      <c r="Z5" s="4" t="str">
        <f>IF(ISNUMBER(cash_original!Z5),cash_original!Z5/100000000,cash_original!Z5)</f>
        <v>--</v>
      </c>
      <c r="AA5" s="4" t="str">
        <f>IF(ISNUMBER(cash_original!AA5),cash_original!AA5/100000000,cash_original!AA5)</f>
        <v>--</v>
      </c>
      <c r="AB5" s="4" t="str">
        <f>IF(ISNUMBER(cash_original!AB5),cash_original!AB5/100000000,cash_original!AB5)</f>
        <v>--</v>
      </c>
      <c r="AC5" s="4" t="str">
        <f>IF(ISNUMBER(cash_original!AC5),cash_original!AC5/100000000,cash_original!AC5)</f>
        <v>--</v>
      </c>
      <c r="AD5" s="4" t="str">
        <f>IF(ISNUMBER(cash_original!AD5),cash_original!AD5/100000000,cash_original!AD5)</f>
        <v>--</v>
      </c>
      <c r="AE5" s="4" t="str">
        <f>IF(ISNUMBER(cash_original!AE5),cash_original!AE5/100000000,cash_original!AE5)</f>
        <v>--</v>
      </c>
      <c r="AF5" s="4" t="str">
        <f>IF(ISNUMBER(cash_original!AF5),cash_original!AF5/100000000,cash_original!AF5)</f>
        <v>--</v>
      </c>
      <c r="AG5" s="4" t="str">
        <f>IF(ISNUMBER(cash_original!AG5),cash_original!AG5/100000000,cash_original!AG5)</f>
        <v>--</v>
      </c>
      <c r="AH5" s="4" t="str">
        <f>IF(ISNUMBER(cash_original!AH5),cash_original!AH5/100000000,cash_original!AH5)</f>
        <v>--</v>
      </c>
      <c r="AI5" s="4" t="str">
        <f>IF(ISNUMBER(cash_original!AI5),cash_original!AI5/100000000,cash_original!AI5)</f>
        <v>--</v>
      </c>
      <c r="AJ5" s="4" t="str">
        <f>IF(ISNUMBER(cash_original!AJ5),cash_original!AJ5/100000000,cash_original!AJ5)</f>
        <v>--</v>
      </c>
      <c r="AK5" s="4" t="str">
        <f>IF(ISNUMBER(cash_original!AK5),cash_original!AK5/100000000,cash_original!AK5)</f>
        <v>--</v>
      </c>
      <c r="AL5" s="4" t="str">
        <f>IF(ISNUMBER(cash_original!AL5),cash_original!AL5/100000000,cash_original!AL5)</f>
        <v>--</v>
      </c>
      <c r="AM5" s="4" t="str">
        <f>IF(ISNUMBER(cash_original!AM5),cash_original!AM5/100000000,cash_original!AM5)</f>
        <v>--</v>
      </c>
      <c r="AN5" s="4" t="str">
        <f>IF(ISNUMBER(cash_original!AN5),cash_original!AN5/100000000,cash_original!AN5)</f>
        <v>--</v>
      </c>
      <c r="AO5" s="4" t="str">
        <f>IF(ISNUMBER(cash_original!AO5),cash_original!AO5/100000000,cash_original!AO5)</f>
        <v>--</v>
      </c>
      <c r="AP5" s="4" t="str">
        <f>IF(ISNUMBER(cash_original!AP5),cash_original!AP5/100000000,cash_original!AP5)</f>
        <v>--</v>
      </c>
      <c r="AQ5" s="4" t="str">
        <f>IF(ISNUMBER(cash_original!AQ5),cash_original!AQ5/100000000,cash_original!AQ5)</f>
        <v>--</v>
      </c>
      <c r="AR5" s="4" t="str">
        <f>IF(ISNUMBER(cash_original!AR5),cash_original!AR5/100000000,cash_original!AR5)</f>
        <v>--</v>
      </c>
      <c r="AS5" s="4" t="str">
        <f>IF(ISNUMBER(cash_original!AS5),cash_original!AS5/100000000,cash_original!AS5)</f>
        <v>--</v>
      </c>
      <c r="AT5" s="4" t="str">
        <f>IF(ISNUMBER(cash_original!AT5),cash_original!AT5/100000000,cash_original!AT5)</f>
        <v>--</v>
      </c>
      <c r="AU5" s="4" t="str">
        <f>IF(ISNUMBER(cash_original!AU5),cash_original!AU5/100000000,cash_original!AU5)</f>
        <v>--</v>
      </c>
      <c r="AV5" s="3" t="s">
        <v>133</v>
      </c>
      <c r="AW5" s="3" t="s">
        <v>133</v>
      </c>
      <c r="AX5" s="3" t="s">
        <v>133</v>
      </c>
      <c r="AY5" s="3" t="s">
        <v>133</v>
      </c>
      <c r="AZ5" s="3" t="s">
        <v>133</v>
      </c>
      <c r="BA5" s="3" t="s">
        <v>133</v>
      </c>
      <c r="BB5" s="3" t="s">
        <v>133</v>
      </c>
      <c r="BC5" s="3" t="s">
        <v>133</v>
      </c>
      <c r="BD5" s="3" t="s">
        <v>133</v>
      </c>
      <c r="BE5" s="3" t="s">
        <v>133</v>
      </c>
      <c r="BF5" s="3">
        <v>216200</v>
      </c>
      <c r="BG5" s="3" t="s">
        <v>133</v>
      </c>
      <c r="BH5" s="3" t="s">
        <v>133</v>
      </c>
      <c r="BI5" s="3">
        <v>50028400</v>
      </c>
      <c r="BJ5" s="3" t="s">
        <v>133</v>
      </c>
      <c r="BK5" s="3">
        <v>72800</v>
      </c>
      <c r="BL5" s="3">
        <v>455900</v>
      </c>
      <c r="BM5" s="3" t="s">
        <v>133</v>
      </c>
      <c r="BN5" s="3" t="s">
        <v>133</v>
      </c>
      <c r="BO5" s="3" t="s">
        <v>133</v>
      </c>
      <c r="BP5" s="3" t="s">
        <v>133</v>
      </c>
      <c r="BQ5" s="3">
        <v>80816000</v>
      </c>
      <c r="BR5" s="3" t="s">
        <v>133</v>
      </c>
      <c r="BS5" s="3" t="s">
        <v>133</v>
      </c>
      <c r="BT5" s="3" t="s">
        <v>133</v>
      </c>
    </row>
    <row r="6" spans="1:72" x14ac:dyDescent="0.25">
      <c r="A6" s="3" t="s">
        <v>167</v>
      </c>
      <c r="B6" s="4">
        <f>IF(ISNUMBER(cash_original!B6),cash_original!B6/100000000,cash_original!B6)</f>
        <v>0.400196</v>
      </c>
      <c r="C6" s="4">
        <f>IF(ISNUMBER(cash_original!C6),cash_original!C6/100000000,cash_original!C6)</f>
        <v>0.36657699999999999</v>
      </c>
      <c r="D6" s="4">
        <f>IF(ISNUMBER(cash_original!D6),cash_original!D6/100000000,cash_original!D6)</f>
        <v>0.50194799999999995</v>
      </c>
      <c r="E6" s="4">
        <f>IF(ISNUMBER(cash_original!E6),cash_original!E6/100000000,cash_original!E6)</f>
        <v>0.151368</v>
      </c>
      <c r="F6" s="4">
        <f>IF(ISNUMBER(cash_original!F6),cash_original!F6/100000000,cash_original!F6)</f>
        <v>0.31886799999999998</v>
      </c>
      <c r="G6" s="4">
        <f>IF(ISNUMBER(cash_original!G6),cash_original!G6/100000000,cash_original!G6)</f>
        <v>10.817411999999999</v>
      </c>
      <c r="H6" s="4">
        <f>IF(ISNUMBER(cash_original!H6),cash_original!H6/100000000,cash_original!H6)</f>
        <v>1.0531699999999999</v>
      </c>
      <c r="I6" s="4">
        <f>IF(ISNUMBER(cash_original!I6),cash_original!I6/100000000,cash_original!I6)</f>
        <v>0.27454299999999998</v>
      </c>
      <c r="J6" s="4">
        <f>IF(ISNUMBER(cash_original!J6),cash_original!J6/100000000,cash_original!J6)</f>
        <v>1.055377</v>
      </c>
      <c r="K6" s="4">
        <f>IF(ISNUMBER(cash_original!K6),cash_original!K6/100000000,cash_original!K6)</f>
        <v>-0.186005</v>
      </c>
      <c r="L6" s="4">
        <f>IF(ISNUMBER(cash_original!L6),cash_original!L6/100000000,cash_original!L6)</f>
        <v>5.0716679999999998</v>
      </c>
      <c r="M6" s="4">
        <f>IF(ISNUMBER(cash_original!M6),cash_original!M6/100000000,cash_original!M6)</f>
        <v>-0.36891200000000002</v>
      </c>
      <c r="N6" s="4">
        <f>IF(ISNUMBER(cash_original!N6),cash_original!N6/100000000,cash_original!N6)</f>
        <v>1.4578230000000001</v>
      </c>
      <c r="O6" s="4">
        <f>IF(ISNUMBER(cash_original!O6),cash_original!O6/100000000,cash_original!O6)</f>
        <v>1.732796</v>
      </c>
      <c r="P6" s="4">
        <f>IF(ISNUMBER(cash_original!P6),cash_original!P6/100000000,cash_original!P6)</f>
        <v>2.5999140000000001</v>
      </c>
      <c r="Q6" s="4">
        <f>IF(ISNUMBER(cash_original!Q6),cash_original!Q6/100000000,cash_original!Q6)</f>
        <v>1.3838600000000001</v>
      </c>
      <c r="R6" s="4">
        <f>IF(ISNUMBER(cash_original!R6),cash_original!R6/100000000,cash_original!R6)</f>
        <v>0.110622</v>
      </c>
      <c r="S6" s="4">
        <f>IF(ISNUMBER(cash_original!S6),cash_original!S6/100000000,cash_original!S6)</f>
        <v>0.13983799999999999</v>
      </c>
      <c r="T6" s="4">
        <f>IF(ISNUMBER(cash_original!T6),cash_original!T6/100000000,cash_original!T6)</f>
        <v>0.25710699999999997</v>
      </c>
      <c r="U6" s="4">
        <f>IF(ISNUMBER(cash_original!U6),cash_original!U6/100000000,cash_original!U6)</f>
        <v>0.170538</v>
      </c>
      <c r="V6" s="4">
        <f>IF(ISNUMBER(cash_original!V6),cash_original!V6/100000000,cash_original!V6)</f>
        <v>0.74301099999999998</v>
      </c>
      <c r="W6" s="4">
        <f>IF(ISNUMBER(cash_original!W6),cash_original!W6/100000000,cash_original!W6)</f>
        <v>0.364514</v>
      </c>
      <c r="X6" s="4">
        <f>IF(ISNUMBER(cash_original!X6),cash_original!X6/100000000,cash_original!X6)</f>
        <v>0.258409</v>
      </c>
      <c r="Y6" s="4">
        <f>IF(ISNUMBER(cash_original!Y6),cash_original!Y6/100000000,cash_original!Y6)</f>
        <v>-0.22425700000000001</v>
      </c>
      <c r="Z6" s="4">
        <f>IF(ISNUMBER(cash_original!Z6),cash_original!Z6/100000000,cash_original!Z6)</f>
        <v>0.79741099999999998</v>
      </c>
      <c r="AA6" s="4">
        <f>IF(ISNUMBER(cash_original!AA6),cash_original!AA6/100000000,cash_original!AA6)</f>
        <v>0.47179900000000002</v>
      </c>
      <c r="AB6" s="4">
        <f>IF(ISNUMBER(cash_original!AB6),cash_original!AB6/100000000,cash_original!AB6)</f>
        <v>1.9523410000000001</v>
      </c>
      <c r="AC6" s="4">
        <f>IF(ISNUMBER(cash_original!AC6),cash_original!AC6/100000000,cash_original!AC6)</f>
        <v>1.9331579999999999</v>
      </c>
      <c r="AD6" s="4">
        <f>IF(ISNUMBER(cash_original!AD6),cash_original!AD6/100000000,cash_original!AD6)</f>
        <v>1.096965</v>
      </c>
      <c r="AE6" s="4">
        <f>IF(ISNUMBER(cash_original!AE6),cash_original!AE6/100000000,cash_original!AE6)</f>
        <v>0.66278700000000002</v>
      </c>
      <c r="AF6" s="4">
        <f>IF(ISNUMBER(cash_original!AF6),cash_original!AF6/100000000,cash_original!AF6)</f>
        <v>2.160758</v>
      </c>
      <c r="AG6" s="4">
        <f>IF(ISNUMBER(cash_original!AG6),cash_original!AG6/100000000,cash_original!AG6)</f>
        <v>1.2048080000000001</v>
      </c>
      <c r="AH6" s="4">
        <f>IF(ISNUMBER(cash_original!AH6),cash_original!AH6/100000000,cash_original!AH6)</f>
        <v>0.75656900000000005</v>
      </c>
      <c r="AI6" s="4">
        <f>IF(ISNUMBER(cash_original!AI6),cash_original!AI6/100000000,cash_original!AI6)</f>
        <v>0.23034099999999999</v>
      </c>
      <c r="AJ6" s="4">
        <f>IF(ISNUMBER(cash_original!AJ6),cash_original!AJ6/100000000,cash_original!AJ6)</f>
        <v>1.6849940000000001</v>
      </c>
      <c r="AK6" s="4">
        <f>IF(ISNUMBER(cash_original!AK6),cash_original!AK6/100000000,cash_original!AK6)</f>
        <v>0.837619</v>
      </c>
      <c r="AL6" s="4">
        <f>IF(ISNUMBER(cash_original!AL6),cash_original!AL6/100000000,cash_original!AL6)</f>
        <v>0.213204</v>
      </c>
      <c r="AM6" s="4">
        <f>IF(ISNUMBER(cash_original!AM6),cash_original!AM6/100000000,cash_original!AM6)</f>
        <v>0.18319199999999999</v>
      </c>
      <c r="AN6" s="4">
        <f>IF(ISNUMBER(cash_original!AN6),cash_original!AN6/100000000,cash_original!AN6)</f>
        <v>0.58272699999999999</v>
      </c>
      <c r="AO6" s="4">
        <f>IF(ISNUMBER(cash_original!AO6),cash_original!AO6/100000000,cash_original!AO6)</f>
        <v>0.74163699999999999</v>
      </c>
      <c r="AP6" s="4">
        <f>IF(ISNUMBER(cash_original!AP6),cash_original!AP6/100000000,cash_original!AP6)</f>
        <v>0.12270300000000001</v>
      </c>
      <c r="AQ6" s="4">
        <f>IF(ISNUMBER(cash_original!AQ6),cash_original!AQ6/100000000,cash_original!AQ6)</f>
        <v>3.5678000000000001E-2</v>
      </c>
      <c r="AR6" s="4">
        <f>IF(ISNUMBER(cash_original!AR6),cash_original!AR6/100000000,cash_original!AR6)</f>
        <v>0.48194900000000002</v>
      </c>
      <c r="AS6" s="4">
        <f>IF(ISNUMBER(cash_original!AS6),cash_original!AS6/100000000,cash_original!AS6)</f>
        <v>0.79327599999999998</v>
      </c>
      <c r="AT6" s="4">
        <f>IF(ISNUMBER(cash_original!AT6),cash_original!AT6/100000000,cash_original!AT6)</f>
        <v>2.8683E-2</v>
      </c>
      <c r="AU6" s="4">
        <f>IF(ISNUMBER(cash_original!AU6),cash_original!AU6/100000000,cash_original!AU6)</f>
        <v>0.10655299999999999</v>
      </c>
      <c r="AV6" s="3">
        <v>93036900</v>
      </c>
      <c r="AW6" s="3">
        <v>30450700</v>
      </c>
      <c r="AX6" s="3">
        <v>20631000</v>
      </c>
      <c r="AY6" s="3">
        <v>21140000</v>
      </c>
      <c r="AZ6" s="3">
        <v>170134100</v>
      </c>
      <c r="BA6" s="3">
        <v>46778400</v>
      </c>
      <c r="BB6" s="3">
        <v>589500</v>
      </c>
      <c r="BC6" s="3">
        <v>11992300</v>
      </c>
      <c r="BD6" s="3">
        <v>36324600</v>
      </c>
      <c r="BE6" s="3">
        <v>15012400</v>
      </c>
      <c r="BF6" s="3">
        <v>-12695800</v>
      </c>
      <c r="BG6" s="3">
        <v>37061500</v>
      </c>
      <c r="BH6" s="3">
        <v>3466800</v>
      </c>
      <c r="BI6" s="3">
        <v>-1784200</v>
      </c>
      <c r="BJ6" s="3">
        <v>2840800</v>
      </c>
      <c r="BK6" s="3">
        <v>6454500</v>
      </c>
      <c r="BL6" s="3">
        <v>8576600</v>
      </c>
      <c r="BM6" s="3">
        <v>23332400</v>
      </c>
      <c r="BN6" s="3">
        <v>10761700</v>
      </c>
      <c r="BO6" s="3">
        <v>5598500</v>
      </c>
      <c r="BP6" s="3">
        <v>7883600</v>
      </c>
      <c r="BQ6" s="3">
        <v>14695300</v>
      </c>
      <c r="BR6" s="3">
        <v>21425900</v>
      </c>
      <c r="BS6" s="3">
        <v>7081400</v>
      </c>
      <c r="BT6" s="3">
        <v>1706600</v>
      </c>
    </row>
    <row r="7" spans="1:72" x14ac:dyDescent="0.25">
      <c r="A7" s="3" t="s">
        <v>168</v>
      </c>
      <c r="B7" s="4">
        <f>IF(ISNUMBER(cash_original!B7),cash_original!B7/100000000,cash_original!B7)</f>
        <v>264.415322</v>
      </c>
      <c r="C7" s="4">
        <f>IF(ISNUMBER(cash_original!C7),cash_original!C7/100000000,cash_original!C7)</f>
        <v>269.705668</v>
      </c>
      <c r="D7" s="4">
        <f>IF(ISNUMBER(cash_original!D7),cash_original!D7/100000000,cash_original!D7)</f>
        <v>196.180499</v>
      </c>
      <c r="E7" s="4">
        <f>IF(ISNUMBER(cash_original!E7),cash_original!E7/100000000,cash_original!E7)</f>
        <v>299.96633800000001</v>
      </c>
      <c r="F7" s="4">
        <f>IF(ISNUMBER(cash_original!F7),cash_original!F7/100000000,cash_original!F7)</f>
        <v>111.961411</v>
      </c>
      <c r="G7" s="4">
        <f>IF(ISNUMBER(cash_original!G7),cash_original!G7/100000000,cash_original!G7)</f>
        <v>348.00637499999999</v>
      </c>
      <c r="H7" s="4">
        <f>IF(ISNUMBER(cash_original!H7),cash_original!H7/100000000,cash_original!H7)</f>
        <v>234.510246</v>
      </c>
      <c r="I7" s="4">
        <f>IF(ISNUMBER(cash_original!I7),cash_original!I7/100000000,cash_original!I7)</f>
        <v>203.19036299999999</v>
      </c>
      <c r="J7" s="4">
        <f>IF(ISNUMBER(cash_original!J7),cash_original!J7/100000000,cash_original!J7)</f>
        <v>296.81944399999998</v>
      </c>
      <c r="K7" s="4">
        <f>IF(ISNUMBER(cash_original!K7),cash_original!K7/100000000,cash_original!K7)</f>
        <v>209.42470900000001</v>
      </c>
      <c r="L7" s="4">
        <f>IF(ISNUMBER(cash_original!L7),cash_original!L7/100000000,cash_original!L7)</f>
        <v>184.021838</v>
      </c>
      <c r="M7" s="4">
        <f>IF(ISNUMBER(cash_original!M7),cash_original!M7/100000000,cash_original!M7)</f>
        <v>148.671053</v>
      </c>
      <c r="N7" s="4">
        <f>IF(ISNUMBER(cash_original!N7),cash_original!N7/100000000,cash_original!N7)</f>
        <v>246.483048</v>
      </c>
      <c r="O7" s="4">
        <f>IF(ISNUMBER(cash_original!O7),cash_original!O7/100000000,cash_original!O7)</f>
        <v>99.194012999999998</v>
      </c>
      <c r="P7" s="4">
        <f>IF(ISNUMBER(cash_original!P7),cash_original!P7/100000000,cash_original!P7)</f>
        <v>179.34651099999999</v>
      </c>
      <c r="Q7" s="4">
        <f>IF(ISNUMBER(cash_original!Q7),cash_original!Q7/100000000,cash_original!Q7)</f>
        <v>134.52674400000001</v>
      </c>
      <c r="R7" s="4">
        <f>IF(ISNUMBER(cash_original!R7),cash_original!R7/100000000,cash_original!R7)</f>
        <v>257.52276499999999</v>
      </c>
      <c r="S7" s="4">
        <f>IF(ISNUMBER(cash_original!S7),cash_original!S7/100000000,cash_original!S7)</f>
        <v>113.459552</v>
      </c>
      <c r="T7" s="4">
        <f>IF(ISNUMBER(cash_original!T7),cash_original!T7/100000000,cash_original!T7)</f>
        <v>167.28239600000001</v>
      </c>
      <c r="U7" s="4">
        <f>IF(ISNUMBER(cash_original!U7),cash_original!U7/100000000,cash_original!U7)</f>
        <v>124.629239</v>
      </c>
      <c r="V7" s="4">
        <f>IF(ISNUMBER(cash_original!V7),cash_original!V7/100000000,cash_original!V7)</f>
        <v>110.364503</v>
      </c>
      <c r="W7" s="4">
        <f>IF(ISNUMBER(cash_original!W7),cash_original!W7/100000000,cash_original!W7)</f>
        <v>71.557033000000004</v>
      </c>
      <c r="X7" s="4">
        <f>IF(ISNUMBER(cash_original!X7),cash_original!X7/100000000,cash_original!X7)</f>
        <v>93.588292999999993</v>
      </c>
      <c r="Y7" s="4">
        <f>IF(ISNUMBER(cash_original!Y7),cash_original!Y7/100000000,cash_original!Y7)</f>
        <v>113.696439</v>
      </c>
      <c r="Z7" s="4">
        <f>IF(ISNUMBER(cash_original!Z7),cash_original!Z7/100000000,cash_original!Z7)</f>
        <v>81.585618999999994</v>
      </c>
      <c r="AA7" s="4">
        <f>IF(ISNUMBER(cash_original!AA7),cash_original!AA7/100000000,cash_original!AA7)</f>
        <v>87.355862000000002</v>
      </c>
      <c r="AB7" s="4">
        <f>IF(ISNUMBER(cash_original!AB7),cash_original!AB7/100000000,cash_original!AB7)</f>
        <v>72.240577000000002</v>
      </c>
      <c r="AC7" s="4">
        <f>IF(ISNUMBER(cash_original!AC7),cash_original!AC7/100000000,cash_original!AC7)</f>
        <v>107.72639700000001</v>
      </c>
      <c r="AD7" s="4">
        <f>IF(ISNUMBER(cash_original!AD7),cash_original!AD7/100000000,cash_original!AD7)</f>
        <v>104.679143</v>
      </c>
      <c r="AE7" s="4">
        <f>IF(ISNUMBER(cash_original!AE7),cash_original!AE7/100000000,cash_original!AE7)</f>
        <v>90.957370999999995</v>
      </c>
      <c r="AF7" s="4">
        <f>IF(ISNUMBER(cash_original!AF7),cash_original!AF7/100000000,cash_original!AF7)</f>
        <v>63.768338999999997</v>
      </c>
      <c r="AG7" s="4">
        <f>IF(ISNUMBER(cash_original!AG7),cash_original!AG7/100000000,cash_original!AG7)</f>
        <v>92.059281999999996</v>
      </c>
      <c r="AH7" s="4">
        <f>IF(ISNUMBER(cash_original!AH7),cash_original!AH7/100000000,cash_original!AH7)</f>
        <v>73.668557000000007</v>
      </c>
      <c r="AI7" s="4">
        <f>IF(ISNUMBER(cash_original!AI7),cash_original!AI7/100000000,cash_original!AI7)</f>
        <v>67.926683999999995</v>
      </c>
      <c r="AJ7" s="4">
        <f>IF(ISNUMBER(cash_original!AJ7),cash_original!AJ7/100000000,cash_original!AJ7)</f>
        <v>59.345866000000001</v>
      </c>
      <c r="AK7" s="4">
        <f>IF(ISNUMBER(cash_original!AK7),cash_original!AK7/100000000,cash_original!AK7)</f>
        <v>57.192635000000003</v>
      </c>
      <c r="AL7" s="4">
        <f>IF(ISNUMBER(cash_original!AL7),cash_original!AL7/100000000,cash_original!AL7)</f>
        <v>64.984819000000002</v>
      </c>
      <c r="AM7" s="4">
        <f>IF(ISNUMBER(cash_original!AM7),cash_original!AM7/100000000,cash_original!AM7)</f>
        <v>50.206237999999999</v>
      </c>
      <c r="AN7" s="4">
        <f>IF(ISNUMBER(cash_original!AN7),cash_original!AN7/100000000,cash_original!AN7)</f>
        <v>66.024364000000006</v>
      </c>
      <c r="AO7" s="4">
        <f>IF(ISNUMBER(cash_original!AO7),cash_original!AO7/100000000,cash_original!AO7)</f>
        <v>42.738281999999998</v>
      </c>
      <c r="AP7" s="4">
        <f>IF(ISNUMBER(cash_original!AP7),cash_original!AP7/100000000,cash_original!AP7)</f>
        <v>43.907012000000002</v>
      </c>
      <c r="AQ7" s="4">
        <f>IF(ISNUMBER(cash_original!AQ7),cash_original!AQ7/100000000,cash_original!AQ7)</f>
        <v>32.905307000000001</v>
      </c>
      <c r="AR7" s="4">
        <f>IF(ISNUMBER(cash_original!AR7),cash_original!AR7/100000000,cash_original!AR7)</f>
        <v>31.218996000000001</v>
      </c>
      <c r="AS7" s="4">
        <f>IF(ISNUMBER(cash_original!AS7),cash_original!AS7/100000000,cash_original!AS7)</f>
        <v>43.758488999999997</v>
      </c>
      <c r="AT7" s="4">
        <f>IF(ISNUMBER(cash_original!AT7),cash_original!AT7/100000000,cash_original!AT7)</f>
        <v>32.639389000000001</v>
      </c>
      <c r="AU7" s="4">
        <f>IF(ISNUMBER(cash_original!AU7),cash_original!AU7/100000000,cash_original!AU7)</f>
        <v>23.385418999999999</v>
      </c>
      <c r="AV7" s="3">
        <v>1963802100</v>
      </c>
      <c r="AW7" s="3">
        <v>3899823700</v>
      </c>
      <c r="AX7" s="3">
        <v>2857499800</v>
      </c>
      <c r="AY7" s="3">
        <v>2030079900</v>
      </c>
      <c r="AZ7" s="3">
        <v>2730183000</v>
      </c>
      <c r="BA7" s="3">
        <v>2183360000</v>
      </c>
      <c r="BB7" s="3">
        <v>1916076100</v>
      </c>
      <c r="BC7" s="3">
        <v>1436129300</v>
      </c>
      <c r="BD7" s="3">
        <v>1997873500</v>
      </c>
      <c r="BE7" s="3">
        <v>1715211900</v>
      </c>
      <c r="BF7" s="3">
        <v>1706550700</v>
      </c>
      <c r="BG7" s="3">
        <v>1163232700</v>
      </c>
      <c r="BH7" s="3">
        <v>1619464200</v>
      </c>
      <c r="BI7" s="3">
        <v>1706018500</v>
      </c>
      <c r="BJ7" s="3">
        <v>1245428900</v>
      </c>
      <c r="BK7" s="3">
        <v>822279800</v>
      </c>
      <c r="BL7" s="3">
        <v>1269586300</v>
      </c>
      <c r="BM7" s="3">
        <v>1322009900</v>
      </c>
      <c r="BN7" s="3">
        <v>1021520400</v>
      </c>
      <c r="BO7" s="3">
        <v>640513700</v>
      </c>
      <c r="BP7" s="3">
        <v>833264400</v>
      </c>
      <c r="BQ7" s="3">
        <v>1072438500</v>
      </c>
      <c r="BR7" s="3">
        <v>949869600</v>
      </c>
      <c r="BS7" s="3">
        <v>532667300</v>
      </c>
      <c r="BT7" s="3">
        <v>629139500</v>
      </c>
    </row>
    <row r="8" spans="1:72" x14ac:dyDescent="0.25">
      <c r="A8" s="3" t="s">
        <v>169</v>
      </c>
      <c r="B8" s="4">
        <f>IF(ISNUMBER(cash_original!B8),cash_original!B8/100000000,cash_original!B8)</f>
        <v>21.794281000000002</v>
      </c>
      <c r="C8" s="4">
        <f>IF(ISNUMBER(cash_original!C8),cash_original!C8/100000000,cash_original!C8)</f>
        <v>18.385038000000002</v>
      </c>
      <c r="D8" s="4">
        <f>IF(ISNUMBER(cash_original!D8),cash_original!D8/100000000,cash_original!D8)</f>
        <v>15.445843999999999</v>
      </c>
      <c r="E8" s="4">
        <f>IF(ISNUMBER(cash_original!E8),cash_original!E8/100000000,cash_original!E8)</f>
        <v>14.314408</v>
      </c>
      <c r="F8" s="4">
        <f>IF(ISNUMBER(cash_original!F8),cash_original!F8/100000000,cash_original!F8)</f>
        <v>12.992610000000001</v>
      </c>
      <c r="G8" s="4">
        <f>IF(ISNUMBER(cash_original!G8),cash_original!G8/100000000,cash_original!G8)</f>
        <v>10.247578000000001</v>
      </c>
      <c r="H8" s="4">
        <f>IF(ISNUMBER(cash_original!H8),cash_original!H8/100000000,cash_original!H8)</f>
        <v>17.664891000000001</v>
      </c>
      <c r="I8" s="4">
        <f>IF(ISNUMBER(cash_original!I8),cash_original!I8/100000000,cash_original!I8)</f>
        <v>16.221619</v>
      </c>
      <c r="J8" s="4">
        <f>IF(ISNUMBER(cash_original!J8),cash_original!J8/100000000,cash_original!J8)</f>
        <v>13.997204</v>
      </c>
      <c r="K8" s="4">
        <f>IF(ISNUMBER(cash_original!K8),cash_original!K8/100000000,cash_original!K8)</f>
        <v>9.3524809999999992</v>
      </c>
      <c r="L8" s="4">
        <f>IF(ISNUMBER(cash_original!L8),cash_original!L8/100000000,cash_original!L8)</f>
        <v>13.413876</v>
      </c>
      <c r="M8" s="4">
        <f>IF(ISNUMBER(cash_original!M8),cash_original!M8/100000000,cash_original!M8)</f>
        <v>14.898955000000001</v>
      </c>
      <c r="N8" s="4">
        <f>IF(ISNUMBER(cash_original!N8),cash_original!N8/100000000,cash_original!N8)</f>
        <v>12.401291000000001</v>
      </c>
      <c r="O8" s="4">
        <f>IF(ISNUMBER(cash_original!O8),cash_original!O8/100000000,cash_original!O8)</f>
        <v>8.0612720000000007</v>
      </c>
      <c r="P8" s="4">
        <f>IF(ISNUMBER(cash_original!P8),cash_original!P8/100000000,cash_original!P8)</f>
        <v>13.396167999999999</v>
      </c>
      <c r="Q8" s="4">
        <f>IF(ISNUMBER(cash_original!Q8),cash_original!Q8/100000000,cash_original!Q8)</f>
        <v>10.829625999999999</v>
      </c>
      <c r="R8" s="4">
        <f>IF(ISNUMBER(cash_original!R8),cash_original!R8/100000000,cash_original!R8)</f>
        <v>3.857402</v>
      </c>
      <c r="S8" s="4">
        <f>IF(ISNUMBER(cash_original!S8),cash_original!S8/100000000,cash_original!S8)</f>
        <v>4.3012309999999996</v>
      </c>
      <c r="T8" s="4">
        <f>IF(ISNUMBER(cash_original!T8),cash_original!T8/100000000,cash_original!T8)</f>
        <v>8.7419460000000004</v>
      </c>
      <c r="U8" s="4">
        <f>IF(ISNUMBER(cash_original!U8),cash_original!U8/100000000,cash_original!U8)</f>
        <v>6.6431579999999997</v>
      </c>
      <c r="V8" s="4">
        <f>IF(ISNUMBER(cash_original!V8),cash_original!V8/100000000,cash_original!V8)</f>
        <v>6.6375489999999999</v>
      </c>
      <c r="W8" s="4">
        <f>IF(ISNUMBER(cash_original!W8),cash_original!W8/100000000,cash_original!W8)</f>
        <v>6.1865249999999996</v>
      </c>
      <c r="X8" s="4">
        <f>IF(ISNUMBER(cash_original!X8),cash_original!X8/100000000,cash_original!X8)</f>
        <v>10.210093000000001</v>
      </c>
      <c r="Y8" s="4">
        <f>IF(ISNUMBER(cash_original!Y8),cash_original!Y8/100000000,cash_original!Y8)</f>
        <v>7.8533609999999996</v>
      </c>
      <c r="Z8" s="4">
        <f>IF(ISNUMBER(cash_original!Z8),cash_original!Z8/100000000,cash_original!Z8)</f>
        <v>5.9621420000000001</v>
      </c>
      <c r="AA8" s="4">
        <f>IF(ISNUMBER(cash_original!AA8),cash_original!AA8/100000000,cash_original!AA8)</f>
        <v>5.2527980000000003</v>
      </c>
      <c r="AB8" s="4">
        <f>IF(ISNUMBER(cash_original!AB8),cash_original!AB8/100000000,cash_original!AB8)</f>
        <v>9.3119820000000004</v>
      </c>
      <c r="AC8" s="4">
        <f>IF(ISNUMBER(cash_original!AC8),cash_original!AC8/100000000,cash_original!AC8)</f>
        <v>11.810933</v>
      </c>
      <c r="AD8" s="4">
        <f>IF(ISNUMBER(cash_original!AD8),cash_original!AD8/100000000,cash_original!AD8)</f>
        <v>7.212656</v>
      </c>
      <c r="AE8" s="4">
        <f>IF(ISNUMBER(cash_original!AE8),cash_original!AE8/100000000,cash_original!AE8)</f>
        <v>5.3718769999999996</v>
      </c>
      <c r="AF8" s="4">
        <f>IF(ISNUMBER(cash_original!AF8),cash_original!AF8/100000000,cash_original!AF8)</f>
        <v>7.1276229999999998</v>
      </c>
      <c r="AG8" s="4">
        <f>IF(ISNUMBER(cash_original!AG8),cash_original!AG8/100000000,cash_original!AG8)</f>
        <v>11.200507999999999</v>
      </c>
      <c r="AH8" s="4">
        <f>IF(ISNUMBER(cash_original!AH8),cash_original!AH8/100000000,cash_original!AH8)</f>
        <v>5.0944789999999998</v>
      </c>
      <c r="AI8" s="4">
        <f>IF(ISNUMBER(cash_original!AI8),cash_original!AI8/100000000,cash_original!AI8)</f>
        <v>5.8309199999999999</v>
      </c>
      <c r="AJ8" s="4">
        <f>IF(ISNUMBER(cash_original!AJ8),cash_original!AJ8/100000000,cash_original!AJ8)</f>
        <v>4.948029</v>
      </c>
      <c r="AK8" s="4">
        <f>IF(ISNUMBER(cash_original!AK8),cash_original!AK8/100000000,cash_original!AK8)</f>
        <v>8.7138720000000003</v>
      </c>
      <c r="AL8" s="4">
        <f>IF(ISNUMBER(cash_original!AL8),cash_original!AL8/100000000,cash_original!AL8)</f>
        <v>4.5172140000000001</v>
      </c>
      <c r="AM8" s="4">
        <f>IF(ISNUMBER(cash_original!AM8),cash_original!AM8/100000000,cash_original!AM8)</f>
        <v>3.7448399999999999</v>
      </c>
      <c r="AN8" s="4">
        <f>IF(ISNUMBER(cash_original!AN8),cash_original!AN8/100000000,cash_original!AN8)</f>
        <v>6.5609510000000002</v>
      </c>
      <c r="AO8" s="4">
        <f>IF(ISNUMBER(cash_original!AO8),cash_original!AO8/100000000,cash_original!AO8)</f>
        <v>6.0382439999999997</v>
      </c>
      <c r="AP8" s="4">
        <f>IF(ISNUMBER(cash_original!AP8),cash_original!AP8/100000000,cash_original!AP8)</f>
        <v>3.8362509999999999</v>
      </c>
      <c r="AQ8" s="4">
        <f>IF(ISNUMBER(cash_original!AQ8),cash_original!AQ8/100000000,cash_original!AQ8)</f>
        <v>3.3041149999999999</v>
      </c>
      <c r="AR8" s="4">
        <f>IF(ISNUMBER(cash_original!AR8),cash_original!AR8/100000000,cash_original!AR8)</f>
        <v>3.5194320000000001</v>
      </c>
      <c r="AS8" s="4">
        <f>IF(ISNUMBER(cash_original!AS8),cash_original!AS8/100000000,cash_original!AS8)</f>
        <v>6.3477499999999996</v>
      </c>
      <c r="AT8" s="4">
        <f>IF(ISNUMBER(cash_original!AT8),cash_original!AT8/100000000,cash_original!AT8)</f>
        <v>3.5456050000000001</v>
      </c>
      <c r="AU8" s="4">
        <f>IF(ISNUMBER(cash_original!AU8),cash_original!AU8/100000000,cash_original!AU8)</f>
        <v>2.7201089999999999</v>
      </c>
      <c r="AV8" s="3">
        <v>295729600</v>
      </c>
      <c r="AW8" s="3">
        <v>420222600</v>
      </c>
      <c r="AX8" s="3">
        <v>264706700</v>
      </c>
      <c r="AY8" s="3">
        <v>247297900</v>
      </c>
      <c r="AZ8" s="3">
        <v>282490600</v>
      </c>
      <c r="BA8" s="3">
        <v>321310200</v>
      </c>
      <c r="BB8" s="3">
        <v>210010200</v>
      </c>
      <c r="BC8" s="3">
        <v>254759100</v>
      </c>
      <c r="BD8" s="3">
        <v>312227400</v>
      </c>
      <c r="BE8" s="3">
        <v>291066000</v>
      </c>
      <c r="BF8" s="3">
        <v>129499100</v>
      </c>
      <c r="BG8" s="3">
        <v>144360700</v>
      </c>
      <c r="BH8" s="3">
        <v>242178400</v>
      </c>
      <c r="BI8" s="3">
        <v>557855600</v>
      </c>
      <c r="BJ8" s="3">
        <v>17419700</v>
      </c>
      <c r="BK8" s="3">
        <v>232494600</v>
      </c>
      <c r="BL8" s="3">
        <v>142994900</v>
      </c>
      <c r="BM8" s="3">
        <v>291398300</v>
      </c>
      <c r="BN8" s="3">
        <v>227127700</v>
      </c>
      <c r="BO8" s="3">
        <v>87372500</v>
      </c>
      <c r="BP8" s="3">
        <v>258467400</v>
      </c>
      <c r="BQ8" s="3">
        <v>225841700</v>
      </c>
      <c r="BR8" s="3">
        <v>99757300</v>
      </c>
      <c r="BS8" s="3">
        <v>224338000</v>
      </c>
      <c r="BT8" s="3">
        <v>88592900</v>
      </c>
    </row>
    <row r="9" spans="1:72" x14ac:dyDescent="0.25">
      <c r="A9" s="3" t="s">
        <v>170</v>
      </c>
      <c r="B9" s="4">
        <f>IF(ISNUMBER(cash_original!B9),cash_original!B9/100000000,cash_original!B9)</f>
        <v>14.355478</v>
      </c>
      <c r="C9" s="4">
        <f>IF(ISNUMBER(cash_original!C9),cash_original!C9/100000000,cash_original!C9)</f>
        <v>15.059596000000001</v>
      </c>
      <c r="D9" s="4">
        <f>IF(ISNUMBER(cash_original!D9),cash_original!D9/100000000,cash_original!D9)</f>
        <v>36.630929999999999</v>
      </c>
      <c r="E9" s="4">
        <f>IF(ISNUMBER(cash_original!E9),cash_original!E9/100000000,cash_original!E9)</f>
        <v>16.689955000000001</v>
      </c>
      <c r="F9" s="4">
        <f>IF(ISNUMBER(cash_original!F9),cash_original!F9/100000000,cash_original!F9)</f>
        <v>14.234899</v>
      </c>
      <c r="G9" s="4">
        <f>IF(ISNUMBER(cash_original!G9),cash_original!G9/100000000,cash_original!G9)</f>
        <v>13.458097</v>
      </c>
      <c r="H9" s="4">
        <f>IF(ISNUMBER(cash_original!H9),cash_original!H9/100000000,cash_original!H9)</f>
        <v>32.315679000000003</v>
      </c>
      <c r="I9" s="4">
        <f>IF(ISNUMBER(cash_original!I9),cash_original!I9/100000000,cash_original!I9)</f>
        <v>15.369444</v>
      </c>
      <c r="J9" s="4">
        <f>IF(ISNUMBER(cash_original!J9),cash_original!J9/100000000,cash_original!J9)</f>
        <v>11.441663</v>
      </c>
      <c r="K9" s="4">
        <f>IF(ISNUMBER(cash_original!K9),cash_original!K9/100000000,cash_original!K9)</f>
        <v>16.119056</v>
      </c>
      <c r="L9" s="4">
        <f>IF(ISNUMBER(cash_original!L9),cash_original!L9/100000000,cash_original!L9)</f>
        <v>23.601213999999999</v>
      </c>
      <c r="M9" s="4">
        <f>IF(ISNUMBER(cash_original!M9),cash_original!M9/100000000,cash_original!M9)</f>
        <v>10.783848000000001</v>
      </c>
      <c r="N9" s="4">
        <f>IF(ISNUMBER(cash_original!N9),cash_original!N9/100000000,cash_original!N9)</f>
        <v>10.059177999999999</v>
      </c>
      <c r="O9" s="4">
        <f>IF(ISNUMBER(cash_original!O9),cash_original!O9/100000000,cash_original!O9)</f>
        <v>10.310288</v>
      </c>
      <c r="P9" s="4">
        <f>IF(ISNUMBER(cash_original!P9),cash_original!P9/100000000,cash_original!P9)</f>
        <v>23.742747000000001</v>
      </c>
      <c r="Q9" s="4">
        <f>IF(ISNUMBER(cash_original!Q9),cash_original!Q9/100000000,cash_original!Q9)</f>
        <v>9.7201909999999998</v>
      </c>
      <c r="R9" s="4">
        <f>IF(ISNUMBER(cash_original!R9),cash_original!R9/100000000,cash_original!R9)</f>
        <v>10.035636</v>
      </c>
      <c r="S9" s="4">
        <f>IF(ISNUMBER(cash_original!S9),cash_original!S9/100000000,cash_original!S9)</f>
        <v>10.815493999999999</v>
      </c>
      <c r="T9" s="4">
        <f>IF(ISNUMBER(cash_original!T9),cash_original!T9/100000000,cash_original!T9)</f>
        <v>16.170221999999999</v>
      </c>
      <c r="U9" s="4">
        <f>IF(ISNUMBER(cash_original!U9),cash_original!U9/100000000,cash_original!U9)</f>
        <v>10.444891</v>
      </c>
      <c r="V9" s="4">
        <f>IF(ISNUMBER(cash_original!V9),cash_original!V9/100000000,cash_original!V9)</f>
        <v>8.7343580000000003</v>
      </c>
      <c r="W9" s="4">
        <f>IF(ISNUMBER(cash_original!W9),cash_original!W9/100000000,cash_original!W9)</f>
        <v>9.5026650000000004</v>
      </c>
      <c r="X9" s="4">
        <f>IF(ISNUMBER(cash_original!X9),cash_original!X9/100000000,cash_original!X9)</f>
        <v>16.686859999999999</v>
      </c>
      <c r="Y9" s="4">
        <f>IF(ISNUMBER(cash_original!Y9),cash_original!Y9/100000000,cash_original!Y9)</f>
        <v>7.7942619999999998</v>
      </c>
      <c r="Z9" s="4">
        <f>IF(ISNUMBER(cash_original!Z9),cash_original!Z9/100000000,cash_original!Z9)</f>
        <v>9.6672080000000005</v>
      </c>
      <c r="AA9" s="4">
        <f>IF(ISNUMBER(cash_original!AA9),cash_original!AA9/100000000,cash_original!AA9)</f>
        <v>7.1998699999999998</v>
      </c>
      <c r="AB9" s="4">
        <f>IF(ISNUMBER(cash_original!AB9),cash_original!AB9/100000000,cash_original!AB9)</f>
        <v>9.2747580000000003</v>
      </c>
      <c r="AC9" s="4">
        <f>IF(ISNUMBER(cash_original!AC9),cash_original!AC9/100000000,cash_original!AC9)</f>
        <v>13.408518000000001</v>
      </c>
      <c r="AD9" s="4">
        <f>IF(ISNUMBER(cash_original!AD9),cash_original!AD9/100000000,cash_original!AD9)</f>
        <v>5.8256110000000003</v>
      </c>
      <c r="AE9" s="4">
        <f>IF(ISNUMBER(cash_original!AE9),cash_original!AE9/100000000,cash_original!AE9)</f>
        <v>6.9302109999999999</v>
      </c>
      <c r="AF9" s="4">
        <f>IF(ISNUMBER(cash_original!AF9),cash_original!AF9/100000000,cash_original!AF9)</f>
        <v>5.1917410000000004</v>
      </c>
      <c r="AG9" s="4">
        <f>IF(ISNUMBER(cash_original!AG9),cash_original!AG9/100000000,cash_original!AG9)</f>
        <v>11.347745</v>
      </c>
      <c r="AH9" s="4">
        <f>IF(ISNUMBER(cash_original!AH9),cash_original!AH9/100000000,cash_original!AH9)</f>
        <v>3.9284919999999999</v>
      </c>
      <c r="AI9" s="4">
        <f>IF(ISNUMBER(cash_original!AI9),cash_original!AI9/100000000,cash_original!AI9)</f>
        <v>4.6779520000000003</v>
      </c>
      <c r="AJ9" s="4">
        <f>IF(ISNUMBER(cash_original!AJ9),cash_original!AJ9/100000000,cash_original!AJ9)</f>
        <v>9.5850010000000001</v>
      </c>
      <c r="AK9" s="4">
        <f>IF(ISNUMBER(cash_original!AK9),cash_original!AK9/100000000,cash_original!AK9)</f>
        <v>5.5026630000000001</v>
      </c>
      <c r="AL9" s="4">
        <f>IF(ISNUMBER(cash_original!AL9),cash_original!AL9/100000000,cash_original!AL9)</f>
        <v>3.809383</v>
      </c>
      <c r="AM9" s="4">
        <f>IF(ISNUMBER(cash_original!AM9),cash_original!AM9/100000000,cash_original!AM9)</f>
        <v>4.5139069999999997</v>
      </c>
      <c r="AN9" s="4">
        <f>IF(ISNUMBER(cash_original!AN9),cash_original!AN9/100000000,cash_original!AN9)</f>
        <v>5.4297659999999999</v>
      </c>
      <c r="AO9" s="4">
        <f>IF(ISNUMBER(cash_original!AO9),cash_original!AO9/100000000,cash_original!AO9)</f>
        <v>4.0105890000000004</v>
      </c>
      <c r="AP9" s="4">
        <f>IF(ISNUMBER(cash_original!AP9),cash_original!AP9/100000000,cash_original!AP9)</f>
        <v>2.6426240000000001</v>
      </c>
      <c r="AQ9" s="4">
        <f>IF(ISNUMBER(cash_original!AQ9),cash_original!AQ9/100000000,cash_original!AQ9)</f>
        <v>2.9819619999999998</v>
      </c>
      <c r="AR9" s="4">
        <f>IF(ISNUMBER(cash_original!AR9),cash_original!AR9/100000000,cash_original!AR9)</f>
        <v>5.2929599999999999</v>
      </c>
      <c r="AS9" s="4">
        <f>IF(ISNUMBER(cash_original!AS9),cash_original!AS9/100000000,cash_original!AS9)</f>
        <v>3.3066059999999999</v>
      </c>
      <c r="AT9" s="4">
        <f>IF(ISNUMBER(cash_original!AT9),cash_original!AT9/100000000,cash_original!AT9)</f>
        <v>2.4327100000000002</v>
      </c>
      <c r="AU9" s="4">
        <f>IF(ISNUMBER(cash_original!AU9),cash_original!AU9/100000000,cash_original!AU9)</f>
        <v>1.9396260000000001</v>
      </c>
      <c r="AV9" s="3">
        <v>461410900</v>
      </c>
      <c r="AW9" s="3">
        <v>251124600</v>
      </c>
      <c r="AX9" s="3">
        <v>166478700</v>
      </c>
      <c r="AY9" s="3">
        <v>160105700</v>
      </c>
      <c r="AZ9" s="3">
        <v>231677900</v>
      </c>
      <c r="BA9" s="3">
        <v>198269800</v>
      </c>
      <c r="BB9" s="3">
        <v>116380100</v>
      </c>
      <c r="BC9" s="3">
        <v>124074300</v>
      </c>
      <c r="BD9" s="3">
        <v>184609700</v>
      </c>
      <c r="BE9" s="3">
        <v>148883000</v>
      </c>
      <c r="BF9" s="3">
        <v>78458000</v>
      </c>
      <c r="BG9" s="3">
        <v>50185000</v>
      </c>
      <c r="BH9" s="3">
        <v>127524700</v>
      </c>
      <c r="BI9" s="3">
        <v>83402400</v>
      </c>
      <c r="BJ9" s="3">
        <v>40268100</v>
      </c>
      <c r="BK9" s="3">
        <v>39182200</v>
      </c>
      <c r="BL9" s="3">
        <v>87945200</v>
      </c>
      <c r="BM9" s="3">
        <v>38317100</v>
      </c>
      <c r="BN9" s="3">
        <v>21103900</v>
      </c>
      <c r="BO9" s="3">
        <v>68192500</v>
      </c>
      <c r="BP9" s="3">
        <v>32225300</v>
      </c>
      <c r="BQ9" s="3">
        <v>89604300</v>
      </c>
      <c r="BR9" s="3">
        <v>39272500</v>
      </c>
      <c r="BS9" s="3">
        <v>33811000</v>
      </c>
      <c r="BT9" s="3">
        <v>43095000</v>
      </c>
    </row>
    <row r="10" spans="1:72" x14ac:dyDescent="0.25">
      <c r="A10" s="3" t="s">
        <v>171</v>
      </c>
      <c r="B10" s="4">
        <f>IF(ISNUMBER(cash_original!B10),cash_original!B10/100000000,cash_original!B10)</f>
        <v>99.926781587400001</v>
      </c>
      <c r="C10" s="4">
        <f>IF(ISNUMBER(cash_original!C10),cash_original!C10/100000000,cash_original!C10)</f>
        <v>98.119521224300001</v>
      </c>
      <c r="D10" s="4">
        <f>IF(ISNUMBER(cash_original!D10),cash_original!D10/100000000,cash_original!D10)</f>
        <v>134.1395904977</v>
      </c>
      <c r="E10" s="4">
        <f>IF(ISNUMBER(cash_original!E10),cash_original!E10/100000000,cash_original!E10)</f>
        <v>72.997000329000002</v>
      </c>
      <c r="F10" s="4">
        <f>IF(ISNUMBER(cash_original!F10),cash_original!F10/100000000,cash_original!F10)</f>
        <v>81.417893042499998</v>
      </c>
      <c r="G10" s="4">
        <f>IF(ISNUMBER(cash_original!G10),cash_original!G10/100000000,cash_original!G10)</f>
        <v>71.2319280615</v>
      </c>
      <c r="H10" s="4">
        <f>IF(ISNUMBER(cash_original!H10),cash_original!H10/100000000,cash_original!H10)</f>
        <v>172.7667061212</v>
      </c>
      <c r="I10" s="4">
        <f>IF(ISNUMBER(cash_original!I10),cash_original!I10/100000000,cash_original!I10)</f>
        <v>44.532669130800002</v>
      </c>
      <c r="J10" s="4">
        <f>IF(ISNUMBER(cash_original!J10),cash_original!J10/100000000,cash_original!J10)</f>
        <v>60.692621984200002</v>
      </c>
      <c r="K10" s="4">
        <f>IF(ISNUMBER(cash_original!K10),cash_original!K10/100000000,cash_original!K10)</f>
        <v>74.776252555699998</v>
      </c>
      <c r="L10" s="4">
        <f>IF(ISNUMBER(cash_original!L10),cash_original!L10/100000000,cash_original!L10)</f>
        <v>140.32023758849999</v>
      </c>
      <c r="M10" s="4">
        <f>IF(ISNUMBER(cash_original!M10),cash_original!M10/100000000,cash_original!M10)</f>
        <v>40.059202516900001</v>
      </c>
      <c r="N10" s="4">
        <f>IF(ISNUMBER(cash_original!N10),cash_original!N10/100000000,cash_original!N10)</f>
        <v>57.753404854799996</v>
      </c>
      <c r="O10" s="4">
        <f>IF(ISNUMBER(cash_original!O10),cash_original!O10/100000000,cash_original!O10)</f>
        <v>58.077839872200002</v>
      </c>
      <c r="P10" s="4">
        <f>IF(ISNUMBER(cash_original!P10),cash_original!P10/100000000,cash_original!P10)</f>
        <v>74.766037786599995</v>
      </c>
      <c r="Q10" s="4">
        <f>IF(ISNUMBER(cash_original!Q10),cash_original!Q10/100000000,cash_original!Q10)</f>
        <v>45.937742534899996</v>
      </c>
      <c r="R10" s="4">
        <f>IF(ISNUMBER(cash_original!R10),cash_original!R10/100000000,cash_original!R10)</f>
        <v>40.537764187600004</v>
      </c>
      <c r="S10" s="4">
        <f>IF(ISNUMBER(cash_original!S10),cash_original!S10/100000000,cash_original!S10)</f>
        <v>36.9179430509</v>
      </c>
      <c r="T10" s="4">
        <f>IF(ISNUMBER(cash_original!T10),cash_original!T10/100000000,cash_original!T10)</f>
        <v>51.711713538599994</v>
      </c>
      <c r="U10" s="4">
        <f>IF(ISNUMBER(cash_original!U10),cash_original!U10/100000000,cash_original!U10)</f>
        <v>38.6657639477</v>
      </c>
      <c r="V10" s="4">
        <f>IF(ISNUMBER(cash_original!V10),cash_original!V10/100000000,cash_original!V10)</f>
        <v>26.869880966500002</v>
      </c>
      <c r="W10" s="4">
        <f>IF(ISNUMBER(cash_original!W10),cash_original!W10/100000000,cash_original!W10)</f>
        <v>30.835741277600004</v>
      </c>
      <c r="X10" s="4">
        <f>IF(ISNUMBER(cash_original!X10),cash_original!X10/100000000,cash_original!X10)</f>
        <v>43.659103140299997</v>
      </c>
      <c r="Y10" s="4">
        <f>IF(ISNUMBER(cash_original!Y10),cash_original!Y10/100000000,cash_original!Y10)</f>
        <v>35.764804117899999</v>
      </c>
      <c r="Z10" s="4">
        <f>IF(ISNUMBER(cash_original!Z10),cash_original!Z10/100000000,cash_original!Z10)</f>
        <v>33.733705830700004</v>
      </c>
      <c r="AA10" s="4">
        <f>IF(ISNUMBER(cash_original!AA10),cash_original!AA10/100000000,cash_original!AA10)</f>
        <v>31.617248699299999</v>
      </c>
      <c r="AB10" s="4">
        <f>IF(ISNUMBER(cash_original!AB10),cash_original!AB10/100000000,cash_original!AB10)</f>
        <v>43.848749476199998</v>
      </c>
      <c r="AC10" s="4">
        <f>IF(ISNUMBER(cash_original!AC10),cash_original!AC10/100000000,cash_original!AC10)</f>
        <v>31.246043954400001</v>
      </c>
      <c r="AD10" s="4">
        <f>IF(ISNUMBER(cash_original!AD10),cash_original!AD10/100000000,cash_original!AD10)</f>
        <v>30.308446777299999</v>
      </c>
      <c r="AE10" s="4">
        <f>IF(ISNUMBER(cash_original!AE10),cash_original!AE10/100000000,cash_original!AE10)</f>
        <v>27.910364452100001</v>
      </c>
      <c r="AF10" s="4">
        <f>IF(ISNUMBER(cash_original!AF10),cash_original!AF10/100000000,cash_original!AF10)</f>
        <v>35.868654608299998</v>
      </c>
      <c r="AG10" s="4">
        <f>IF(ISNUMBER(cash_original!AG10),cash_original!AG10/100000000,cash_original!AG10)</f>
        <v>22.973406954600001</v>
      </c>
      <c r="AH10" s="4">
        <f>IF(ISNUMBER(cash_original!AH10),cash_original!AH10/100000000,cash_original!AH10)</f>
        <v>27.239859184699998</v>
      </c>
      <c r="AI10" s="4">
        <f>IF(ISNUMBER(cash_original!AI10),cash_original!AI10/100000000,cash_original!AI10)</f>
        <v>24.0016331773</v>
      </c>
      <c r="AJ10" s="4">
        <f>IF(ISNUMBER(cash_original!AJ10),cash_original!AJ10/100000000,cash_original!AJ10)</f>
        <v>27.493503875599998</v>
      </c>
      <c r="AK10" s="4">
        <f>IF(ISNUMBER(cash_original!AK10),cash_original!AK10/100000000,cash_original!AK10)</f>
        <v>27.472559903400001</v>
      </c>
      <c r="AL10" s="4">
        <f>IF(ISNUMBER(cash_original!AL10),cash_original!AL10/100000000,cash_original!AL10)</f>
        <v>17.1210439448</v>
      </c>
      <c r="AM10" s="4">
        <f>IF(ISNUMBER(cash_original!AM10),cash_original!AM10/100000000,cash_original!AM10)</f>
        <v>20.501086065899997</v>
      </c>
      <c r="AN10" s="4">
        <f>IF(ISNUMBER(cash_original!AN10),cash_original!AN10/100000000,cash_original!AN10)</f>
        <v>17.768101634299999</v>
      </c>
      <c r="AO10" s="4">
        <f>IF(ISNUMBER(cash_original!AO10),cash_original!AO10/100000000,cash_original!AO10)</f>
        <v>8.4453273805000002</v>
      </c>
      <c r="AP10" s="4">
        <f>IF(ISNUMBER(cash_original!AP10),cash_original!AP10/100000000,cash_original!AP10)</f>
        <v>12.663177065299999</v>
      </c>
      <c r="AQ10" s="4">
        <f>IF(ISNUMBER(cash_original!AQ10),cash_original!AQ10/100000000,cash_original!AQ10)</f>
        <v>15.415234004</v>
      </c>
      <c r="AR10" s="4">
        <f>IF(ISNUMBER(cash_original!AR10),cash_original!AR10/100000000,cash_original!AR10)</f>
        <v>12.3336345839</v>
      </c>
      <c r="AS10" s="4">
        <f>IF(ISNUMBER(cash_original!AS10),cash_original!AS10/100000000,cash_original!AS10)</f>
        <v>10.717499739400001</v>
      </c>
      <c r="AT10" s="4">
        <f>IF(ISNUMBER(cash_original!AT10),cash_original!AT10/100000000,cash_original!AT10)</f>
        <v>9.3578525498000005</v>
      </c>
      <c r="AU10" s="4">
        <f>IF(ISNUMBER(cash_original!AU10),cash_original!AU10/100000000,cash_original!AU10)</f>
        <v>10.094085662100001</v>
      </c>
      <c r="AV10" s="3">
        <v>1143406307.3599999</v>
      </c>
      <c r="AW10" s="3">
        <v>907890092.98000002</v>
      </c>
      <c r="AX10" s="3">
        <v>714441699.12</v>
      </c>
      <c r="AY10" s="3">
        <v>1016740844.15</v>
      </c>
      <c r="AZ10" s="3">
        <v>1027796155.85</v>
      </c>
      <c r="BA10" s="3">
        <v>1284488559.5599999</v>
      </c>
      <c r="BB10" s="3">
        <v>660706744.07000005</v>
      </c>
      <c r="BC10" s="3">
        <v>676385941.14999998</v>
      </c>
      <c r="BD10" s="3">
        <v>980951193.45000005</v>
      </c>
      <c r="BE10" s="3">
        <v>541650455.57000005</v>
      </c>
      <c r="BF10" s="3">
        <v>481258159.06999999</v>
      </c>
      <c r="BG10" s="3">
        <v>509269895.39999998</v>
      </c>
      <c r="BH10" s="3">
        <v>858102495.55999994</v>
      </c>
      <c r="BI10" s="3">
        <v>355442369.97000003</v>
      </c>
      <c r="BJ10" s="3">
        <v>357984326.29000002</v>
      </c>
      <c r="BK10" s="3">
        <v>354519883.88999999</v>
      </c>
      <c r="BL10" s="3">
        <v>532790492.80000001</v>
      </c>
      <c r="BM10" s="3">
        <v>210020955.30000001</v>
      </c>
      <c r="BN10" s="3">
        <v>285002669.14999998</v>
      </c>
      <c r="BO10" s="3">
        <v>229050068.06999999</v>
      </c>
      <c r="BP10" s="3">
        <v>574275212.45000005</v>
      </c>
      <c r="BQ10" s="3">
        <v>107261605.73999999</v>
      </c>
      <c r="BR10" s="3">
        <v>226183461.12</v>
      </c>
      <c r="BS10" s="3">
        <v>256601394.66</v>
      </c>
      <c r="BT10" s="3">
        <v>395885115.44</v>
      </c>
    </row>
    <row r="11" spans="1:72" x14ac:dyDescent="0.25">
      <c r="A11" s="3" t="s">
        <v>172</v>
      </c>
      <c r="B11" s="4">
        <f>IF(ISNUMBER(cash_original!B11),cash_original!B11/100000000,cash_original!B11)</f>
        <v>13.005345999999999</v>
      </c>
      <c r="C11" s="4">
        <f>IF(ISNUMBER(cash_original!C11),cash_original!C11/100000000,cash_original!C11)</f>
        <v>5.7065250000000001</v>
      </c>
      <c r="D11" s="4">
        <f>IF(ISNUMBER(cash_original!D11),cash_original!D11/100000000,cash_original!D11)</f>
        <v>11.197445999999999</v>
      </c>
      <c r="E11" s="4">
        <f>IF(ISNUMBER(cash_original!E11),cash_original!E11/100000000,cash_original!E11)</f>
        <v>10.285881</v>
      </c>
      <c r="F11" s="4">
        <f>IF(ISNUMBER(cash_original!F11),cash_original!F11/100000000,cash_original!F11)</f>
        <v>19.100653999999999</v>
      </c>
      <c r="G11" s="4">
        <f>IF(ISNUMBER(cash_original!G11),cash_original!G11/100000000,cash_original!G11)</f>
        <v>14.713437000000001</v>
      </c>
      <c r="H11" s="4">
        <f>IF(ISNUMBER(cash_original!H11),cash_original!H11/100000000,cash_original!H11)</f>
        <v>9.0541999999999998</v>
      </c>
      <c r="I11" s="4">
        <f>IF(ISNUMBER(cash_original!I11),cash_original!I11/100000000,cash_original!I11)</f>
        <v>7.4735310000000004</v>
      </c>
      <c r="J11" s="4">
        <f>IF(ISNUMBER(cash_original!J11),cash_original!J11/100000000,cash_original!J11)</f>
        <v>10.102705</v>
      </c>
      <c r="K11" s="4">
        <f>IF(ISNUMBER(cash_original!K11),cash_original!K11/100000000,cash_original!K11)</f>
        <v>6.0057270000000003</v>
      </c>
      <c r="L11" s="4">
        <f>IF(ISNUMBER(cash_original!L11),cash_original!L11/100000000,cash_original!L11)</f>
        <v>5.7757059999999996</v>
      </c>
      <c r="M11" s="4">
        <f>IF(ISNUMBER(cash_original!M11),cash_original!M11/100000000,cash_original!M11)</f>
        <v>9.9497800000000005</v>
      </c>
      <c r="N11" s="4">
        <f>IF(ISNUMBER(cash_original!N11),cash_original!N11/100000000,cash_original!N11)</f>
        <v>6.4042089999999998</v>
      </c>
      <c r="O11" s="4">
        <f>IF(ISNUMBER(cash_original!O11),cash_original!O11/100000000,cash_original!O11)</f>
        <v>7.6652209999999998</v>
      </c>
      <c r="P11" s="4">
        <f>IF(ISNUMBER(cash_original!P11),cash_original!P11/100000000,cash_original!P11)</f>
        <v>5.3837539999999997</v>
      </c>
      <c r="Q11" s="4">
        <f>IF(ISNUMBER(cash_original!Q11),cash_original!Q11/100000000,cash_original!Q11)</f>
        <v>12.184528999999999</v>
      </c>
      <c r="R11" s="4">
        <f>IF(ISNUMBER(cash_original!R11),cash_original!R11/100000000,cash_original!R11)</f>
        <v>3.7367180000000002</v>
      </c>
      <c r="S11" s="4">
        <f>IF(ISNUMBER(cash_original!S11),cash_original!S11/100000000,cash_original!S11)</f>
        <v>2.7746650000000002</v>
      </c>
      <c r="T11" s="4">
        <f>IF(ISNUMBER(cash_original!T11),cash_original!T11/100000000,cash_original!T11)</f>
        <v>5.0189550000000001</v>
      </c>
      <c r="U11" s="4">
        <f>IF(ISNUMBER(cash_original!U11),cash_original!U11/100000000,cash_original!U11)</f>
        <v>4.6020099999999999</v>
      </c>
      <c r="V11" s="4">
        <f>IF(ISNUMBER(cash_original!V11),cash_original!V11/100000000,cash_original!V11)</f>
        <v>4.4101470000000003</v>
      </c>
      <c r="W11" s="4">
        <f>IF(ISNUMBER(cash_original!W11),cash_original!W11/100000000,cash_original!W11)</f>
        <v>3.0675330000000001</v>
      </c>
      <c r="X11" s="4">
        <f>IF(ISNUMBER(cash_original!X11),cash_original!X11/100000000,cash_original!X11)</f>
        <v>6.594735</v>
      </c>
      <c r="Y11" s="4">
        <f>IF(ISNUMBER(cash_original!Y11),cash_original!Y11/100000000,cash_original!Y11)</f>
        <v>6.5297070000000001</v>
      </c>
      <c r="Z11" s="4">
        <f>IF(ISNUMBER(cash_original!Z11),cash_original!Z11/100000000,cash_original!Z11)</f>
        <v>5.9997280000000002</v>
      </c>
      <c r="AA11" s="4">
        <f>IF(ISNUMBER(cash_original!AA11),cash_original!AA11/100000000,cash_original!AA11)</f>
        <v>5.8986850000000004</v>
      </c>
      <c r="AB11" s="4">
        <f>IF(ISNUMBER(cash_original!AB11),cash_original!AB11/100000000,cash_original!AB11)</f>
        <v>7.7392969999999996</v>
      </c>
      <c r="AC11" s="4">
        <f>IF(ISNUMBER(cash_original!AC11),cash_original!AC11/100000000,cash_original!AC11)</f>
        <v>3.3611949999999999</v>
      </c>
      <c r="AD11" s="4">
        <f>IF(ISNUMBER(cash_original!AD11),cash_original!AD11/100000000,cash_original!AD11)</f>
        <v>3.6032600000000001</v>
      </c>
      <c r="AE11" s="4">
        <f>IF(ISNUMBER(cash_original!AE11),cash_original!AE11/100000000,cash_original!AE11)</f>
        <v>4.7965479999999996</v>
      </c>
      <c r="AF11" s="4">
        <f>IF(ISNUMBER(cash_original!AF11),cash_original!AF11/100000000,cash_original!AF11)</f>
        <v>7.6780299999999997</v>
      </c>
      <c r="AG11" s="4">
        <f>IF(ISNUMBER(cash_original!AG11),cash_original!AG11/100000000,cash_original!AG11)</f>
        <v>2.940169</v>
      </c>
      <c r="AH11" s="4">
        <f>IF(ISNUMBER(cash_original!AH11),cash_original!AH11/100000000,cash_original!AH11)</f>
        <v>6.387168</v>
      </c>
      <c r="AI11" s="4">
        <f>IF(ISNUMBER(cash_original!AI11),cash_original!AI11/100000000,cash_original!AI11)</f>
        <v>2.2140930000000001</v>
      </c>
      <c r="AJ11" s="4">
        <f>IF(ISNUMBER(cash_original!AJ11),cash_original!AJ11/100000000,cash_original!AJ11)</f>
        <v>3.9243209999999999</v>
      </c>
      <c r="AK11" s="4">
        <f>IF(ISNUMBER(cash_original!AK11),cash_original!AK11/100000000,cash_original!AK11)</f>
        <v>4.2872719999999997</v>
      </c>
      <c r="AL11" s="4">
        <f>IF(ISNUMBER(cash_original!AL11),cash_original!AL11/100000000,cash_original!AL11)</f>
        <v>2.5467759999999999</v>
      </c>
      <c r="AM11" s="4">
        <f>IF(ISNUMBER(cash_original!AM11),cash_original!AM11/100000000,cash_original!AM11)</f>
        <v>2.2787449999999998</v>
      </c>
      <c r="AN11" s="4">
        <f>IF(ISNUMBER(cash_original!AN11),cash_original!AN11/100000000,cash_original!AN11)</f>
        <v>2.154226</v>
      </c>
      <c r="AO11" s="4">
        <f>IF(ISNUMBER(cash_original!AO11),cash_original!AO11/100000000,cash_original!AO11)</f>
        <v>1.873426</v>
      </c>
      <c r="AP11" s="4">
        <f>IF(ISNUMBER(cash_original!AP11),cash_original!AP11/100000000,cash_original!AP11)</f>
        <v>2.7847209999999998</v>
      </c>
      <c r="AQ11" s="4">
        <f>IF(ISNUMBER(cash_original!AQ11),cash_original!AQ11/100000000,cash_original!AQ11)</f>
        <v>1.787884</v>
      </c>
      <c r="AR11" s="4">
        <f>IF(ISNUMBER(cash_original!AR11),cash_original!AR11/100000000,cash_original!AR11)</f>
        <v>1.82525</v>
      </c>
      <c r="AS11" s="4">
        <f>IF(ISNUMBER(cash_original!AS11),cash_original!AS11/100000000,cash_original!AS11)</f>
        <v>1.9226829999999999</v>
      </c>
      <c r="AT11" s="4">
        <f>IF(ISNUMBER(cash_original!AT11),cash_original!AT11/100000000,cash_original!AT11)</f>
        <v>2.0096799999999999</v>
      </c>
      <c r="AU11" s="4">
        <f>IF(ISNUMBER(cash_original!AU11),cash_original!AU11/100000000,cash_original!AU11)</f>
        <v>1.8420730000000001</v>
      </c>
      <c r="AV11" s="3">
        <v>194020100</v>
      </c>
      <c r="AW11" s="3">
        <v>141703600</v>
      </c>
      <c r="AX11" s="3">
        <v>138948400</v>
      </c>
      <c r="AY11" s="3">
        <v>102941200</v>
      </c>
      <c r="AZ11" s="3">
        <v>195531300</v>
      </c>
      <c r="BA11" s="3">
        <v>184247500</v>
      </c>
      <c r="BB11" s="3">
        <v>66532800</v>
      </c>
      <c r="BC11" s="3">
        <v>75640000</v>
      </c>
      <c r="BD11" s="3">
        <v>139542100</v>
      </c>
      <c r="BE11" s="3">
        <v>112004600</v>
      </c>
      <c r="BF11" s="3">
        <v>121366100</v>
      </c>
      <c r="BG11" s="3">
        <v>88977500</v>
      </c>
      <c r="BH11" s="3">
        <v>166738600</v>
      </c>
      <c r="BI11" s="3">
        <v>-100669300</v>
      </c>
      <c r="BJ11" s="3">
        <v>382641200</v>
      </c>
      <c r="BK11" s="3">
        <v>1759700</v>
      </c>
      <c r="BL11" s="3">
        <v>263574700</v>
      </c>
      <c r="BM11" s="3">
        <v>179164200</v>
      </c>
      <c r="BN11" s="3">
        <v>77626400</v>
      </c>
      <c r="BO11" s="3">
        <v>112499800</v>
      </c>
      <c r="BP11" s="3">
        <v>149679900</v>
      </c>
      <c r="BQ11" s="3">
        <v>147403300</v>
      </c>
      <c r="BR11" s="3">
        <v>111311800</v>
      </c>
      <c r="BS11" s="3">
        <v>60995000</v>
      </c>
      <c r="BT11" s="3">
        <v>92454300</v>
      </c>
    </row>
    <row r="12" spans="1:72" x14ac:dyDescent="0.25">
      <c r="A12" s="3" t="s">
        <v>173</v>
      </c>
      <c r="B12" s="4">
        <f>IF(ISNUMBER(cash_original!B12),cash_original!B12/100000000,cash_original!B12)</f>
        <v>139.514928</v>
      </c>
      <c r="C12" s="4">
        <f>IF(ISNUMBER(cash_original!C12),cash_original!C12/100000000,cash_original!C12)</f>
        <v>166.52712700000001</v>
      </c>
      <c r="D12" s="4">
        <f>IF(ISNUMBER(cash_original!D12),cash_original!D12/100000000,cash_original!D12)</f>
        <v>173.149405</v>
      </c>
      <c r="E12" s="4">
        <f>IF(ISNUMBER(cash_original!E12),cash_original!E12/100000000,cash_original!E12)</f>
        <v>121.01423200000001</v>
      </c>
      <c r="F12" s="4">
        <f>IF(ISNUMBER(cash_original!F12),cash_original!F12/100000000,cash_original!F12)</f>
        <v>79.676592999999997</v>
      </c>
      <c r="G12" s="4">
        <f>IF(ISNUMBER(cash_original!G12),cash_original!G12/100000000,cash_original!G12)</f>
        <v>119.029275</v>
      </c>
      <c r="H12" s="4">
        <f>IF(ISNUMBER(cash_original!H12),cash_original!H12/100000000,cash_original!H12)</f>
        <v>222.618146</v>
      </c>
      <c r="I12" s="4">
        <f>IF(ISNUMBER(cash_original!I12),cash_original!I12/100000000,cash_original!I12)</f>
        <v>71.550877999999997</v>
      </c>
      <c r="J12" s="4">
        <f>IF(ISNUMBER(cash_original!J12),cash_original!J12/100000000,cash_original!J12)</f>
        <v>191.95689400000001</v>
      </c>
      <c r="K12" s="4">
        <f>IF(ISNUMBER(cash_original!K12),cash_original!K12/100000000,cash_original!K12)</f>
        <v>81.429406999999998</v>
      </c>
      <c r="L12" s="4">
        <f>IF(ISNUMBER(cash_original!L12),cash_original!L12/100000000,cash_original!L12)</f>
        <v>134.66683</v>
      </c>
      <c r="M12" s="4">
        <f>IF(ISNUMBER(cash_original!M12),cash_original!M12/100000000,cash_original!M12)</f>
        <v>155.008364</v>
      </c>
      <c r="N12" s="4">
        <f>IF(ISNUMBER(cash_original!N12),cash_original!N12/100000000,cash_original!N12)</f>
        <v>87.968980000000002</v>
      </c>
      <c r="O12" s="4">
        <f>IF(ISNUMBER(cash_original!O12),cash_original!O12/100000000,cash_original!O12)</f>
        <v>90.930159000000003</v>
      </c>
      <c r="P12" s="4">
        <f>IF(ISNUMBER(cash_original!P12),cash_original!P12/100000000,cash_original!P12)</f>
        <v>118.25676</v>
      </c>
      <c r="Q12" s="4">
        <f>IF(ISNUMBER(cash_original!Q12),cash_original!Q12/100000000,cash_original!Q12)</f>
        <v>85.367574000000005</v>
      </c>
      <c r="R12" s="4">
        <f>IF(ISNUMBER(cash_original!R12),cash_original!R12/100000000,cash_original!R12)</f>
        <v>68.209061000000005</v>
      </c>
      <c r="S12" s="4">
        <f>IF(ISNUMBER(cash_original!S12),cash_original!S12/100000000,cash_original!S12)</f>
        <v>51.780372999999997</v>
      </c>
      <c r="T12" s="4">
        <f>IF(ISNUMBER(cash_original!T12),cash_original!T12/100000000,cash_original!T12)</f>
        <v>92.921952000000005</v>
      </c>
      <c r="U12" s="4">
        <f>IF(ISNUMBER(cash_original!U12),cash_original!U12/100000000,cash_original!U12)</f>
        <v>64.499770999999996</v>
      </c>
      <c r="V12" s="4">
        <f>IF(ISNUMBER(cash_original!V12),cash_original!V12/100000000,cash_original!V12)</f>
        <v>45.147452999999999</v>
      </c>
      <c r="W12" s="4">
        <f>IF(ISNUMBER(cash_original!W12),cash_original!W12/100000000,cash_original!W12)</f>
        <v>43.656486000000001</v>
      </c>
      <c r="X12" s="4">
        <f>IF(ISNUMBER(cash_original!X12),cash_original!X12/100000000,cash_original!X12)</f>
        <v>72.471957000000003</v>
      </c>
      <c r="Y12" s="4">
        <f>IF(ISNUMBER(cash_original!Y12),cash_original!Y12/100000000,cash_original!Y12)</f>
        <v>64.165187000000003</v>
      </c>
      <c r="Z12" s="4">
        <f>IF(ISNUMBER(cash_original!Z12),cash_original!Z12/100000000,cash_original!Z12)</f>
        <v>47.679079999999999</v>
      </c>
      <c r="AA12" s="4">
        <f>IF(ISNUMBER(cash_original!AA12),cash_original!AA12/100000000,cash_original!AA12)</f>
        <v>46.207585000000002</v>
      </c>
      <c r="AB12" s="4">
        <f>IF(ISNUMBER(cash_original!AB12),cash_original!AB12/100000000,cash_original!AB12)</f>
        <v>70.501419999999996</v>
      </c>
      <c r="AC12" s="4">
        <f>IF(ISNUMBER(cash_original!AC12),cash_original!AC12/100000000,cash_original!AC12)</f>
        <v>73.627328000000006</v>
      </c>
      <c r="AD12" s="4">
        <f>IF(ISNUMBER(cash_original!AD12),cash_original!AD12/100000000,cash_original!AD12)</f>
        <v>64.378208999999998</v>
      </c>
      <c r="AE12" s="4">
        <f>IF(ISNUMBER(cash_original!AE12),cash_original!AE12/100000000,cash_original!AE12)</f>
        <v>46.709415</v>
      </c>
      <c r="AF12" s="4">
        <f>IF(ISNUMBER(cash_original!AF12),cash_original!AF12/100000000,cash_original!AF12)</f>
        <v>55.866050000000001</v>
      </c>
      <c r="AG12" s="4">
        <f>IF(ISNUMBER(cash_original!AG12),cash_original!AG12/100000000,cash_original!AG12)</f>
        <v>48.461829000000002</v>
      </c>
      <c r="AH12" s="4">
        <f>IF(ISNUMBER(cash_original!AH12),cash_original!AH12/100000000,cash_original!AH12)</f>
        <v>42.649999000000001</v>
      </c>
      <c r="AI12" s="4">
        <f>IF(ISNUMBER(cash_original!AI12),cash_original!AI12/100000000,cash_original!AI12)</f>
        <v>36.724598999999998</v>
      </c>
      <c r="AJ12" s="4">
        <f>IF(ISNUMBER(cash_original!AJ12),cash_original!AJ12/100000000,cash_original!AJ12)</f>
        <v>45.950856000000002</v>
      </c>
      <c r="AK12" s="4">
        <f>IF(ISNUMBER(cash_original!AK12),cash_original!AK12/100000000,cash_original!AK12)</f>
        <v>45.976368000000001</v>
      </c>
      <c r="AL12" s="4">
        <f>IF(ISNUMBER(cash_original!AL12),cash_original!AL12/100000000,cash_original!AL12)</f>
        <v>27.994416999999999</v>
      </c>
      <c r="AM12" s="4">
        <f>IF(ISNUMBER(cash_original!AM12),cash_original!AM12/100000000,cash_original!AM12)</f>
        <v>31.038578999999999</v>
      </c>
      <c r="AN12" s="4">
        <f>IF(ISNUMBER(cash_original!AN12),cash_original!AN12/100000000,cash_original!AN12)</f>
        <v>31.913043999999999</v>
      </c>
      <c r="AO12" s="4">
        <f>IF(ISNUMBER(cash_original!AO12),cash_original!AO12/100000000,cash_original!AO12)</f>
        <v>20.367585999999999</v>
      </c>
      <c r="AP12" s="4">
        <f>IF(ISNUMBER(cash_original!AP12),cash_original!AP12/100000000,cash_original!AP12)</f>
        <v>21.926774000000002</v>
      </c>
      <c r="AQ12" s="4">
        <f>IF(ISNUMBER(cash_original!AQ12),cash_original!AQ12/100000000,cash_original!AQ12)</f>
        <v>23.489194999999999</v>
      </c>
      <c r="AR12" s="4">
        <f>IF(ISNUMBER(cash_original!AR12),cash_original!AR12/100000000,cash_original!AR12)</f>
        <v>22.971277000000001</v>
      </c>
      <c r="AS12" s="4">
        <f>IF(ISNUMBER(cash_original!AS12),cash_original!AS12/100000000,cash_original!AS12)</f>
        <v>22.294537999999999</v>
      </c>
      <c r="AT12" s="4">
        <f>IF(ISNUMBER(cash_original!AT12),cash_original!AT12/100000000,cash_original!AT12)</f>
        <v>17.345846999999999</v>
      </c>
      <c r="AU12" s="4">
        <f>IF(ISNUMBER(cash_original!AU12),cash_original!AU12/100000000,cash_original!AU12)</f>
        <v>16.595893</v>
      </c>
      <c r="AV12" s="3">
        <v>2094566800</v>
      </c>
      <c r="AW12" s="3">
        <v>1720940800</v>
      </c>
      <c r="AX12" s="3">
        <v>1284575500</v>
      </c>
      <c r="AY12" s="3">
        <v>1527085700</v>
      </c>
      <c r="AZ12" s="3">
        <v>1737495900</v>
      </c>
      <c r="BA12" s="3">
        <v>1988316100</v>
      </c>
      <c r="BB12" s="3">
        <v>1053629900</v>
      </c>
      <c r="BC12" s="3">
        <v>1130859400</v>
      </c>
      <c r="BD12" s="3">
        <v>1617330400</v>
      </c>
      <c r="BE12" s="3">
        <v>1093604000</v>
      </c>
      <c r="BF12" s="3">
        <v>810581300</v>
      </c>
      <c r="BG12" s="3">
        <v>792793100</v>
      </c>
      <c r="BH12" s="3">
        <v>1394544100</v>
      </c>
      <c r="BI12" s="3">
        <v>896031100</v>
      </c>
      <c r="BJ12" s="3">
        <v>798313400</v>
      </c>
      <c r="BK12" s="3">
        <v>627956300</v>
      </c>
      <c r="BL12" s="3">
        <v>1027305200</v>
      </c>
      <c r="BM12" s="3">
        <v>718900600</v>
      </c>
      <c r="BN12" s="3">
        <v>610860700</v>
      </c>
      <c r="BO12" s="3">
        <v>497114800</v>
      </c>
      <c r="BP12" s="3">
        <v>1014647800</v>
      </c>
      <c r="BQ12" s="3">
        <v>570110900</v>
      </c>
      <c r="BR12" s="3">
        <v>476525000</v>
      </c>
      <c r="BS12" s="3">
        <v>575745400</v>
      </c>
      <c r="BT12" s="3">
        <v>620027300</v>
      </c>
    </row>
    <row r="13" spans="1:72" x14ac:dyDescent="0.25">
      <c r="A13" s="3" t="s">
        <v>17</v>
      </c>
      <c r="B13" s="4">
        <f>IF(ISNUMBER(cash_original!B13),cash_original!B13/100000000,cash_original!B13)</f>
        <v>124.90039400000001</v>
      </c>
      <c r="C13" s="4">
        <f>IF(ISNUMBER(cash_original!C13),cash_original!C13/100000000,cash_original!C13)</f>
        <v>103.178541</v>
      </c>
      <c r="D13" s="4">
        <f>IF(ISNUMBER(cash_original!D13),cash_original!D13/100000000,cash_original!D13)</f>
        <v>23.031094</v>
      </c>
      <c r="E13" s="4">
        <f>IF(ISNUMBER(cash_original!E13),cash_original!E13/100000000,cash_original!E13)</f>
        <v>178.95210700000001</v>
      </c>
      <c r="F13" s="4">
        <f>IF(ISNUMBER(cash_original!F13),cash_original!F13/100000000,cash_original!F13)</f>
        <v>32.284818000000001</v>
      </c>
      <c r="G13" s="4">
        <f>IF(ISNUMBER(cash_original!G13),cash_original!G13/100000000,cash_original!G13)</f>
        <v>228.977101</v>
      </c>
      <c r="H13" s="4">
        <f>IF(ISNUMBER(cash_original!H13),cash_original!H13/100000000,cash_original!H13)</f>
        <v>11.892101</v>
      </c>
      <c r="I13" s="4">
        <f>IF(ISNUMBER(cash_original!I13),cash_original!I13/100000000,cash_original!I13)</f>
        <v>131.63948500000001</v>
      </c>
      <c r="J13" s="4">
        <f>IF(ISNUMBER(cash_original!J13),cash_original!J13/100000000,cash_original!J13)</f>
        <v>104.86255</v>
      </c>
      <c r="K13" s="4">
        <f>IF(ISNUMBER(cash_original!K13),cash_original!K13/100000000,cash_original!K13)</f>
        <v>127.99530300000001</v>
      </c>
      <c r="L13" s="4">
        <f>IF(ISNUMBER(cash_original!L13),cash_original!L13/100000000,cash_original!L13)</f>
        <v>49.355007000000001</v>
      </c>
      <c r="M13" s="4">
        <f>IF(ISNUMBER(cash_original!M13),cash_original!M13/100000000,cash_original!M13)</f>
        <v>-6.3373109999999997</v>
      </c>
      <c r="N13" s="4">
        <f>IF(ISNUMBER(cash_original!N13),cash_original!N13/100000000,cash_original!N13)</f>
        <v>158.51406800000001</v>
      </c>
      <c r="O13" s="4">
        <f>IF(ISNUMBER(cash_original!O13),cash_original!O13/100000000,cash_original!O13)</f>
        <v>8.2638529999999992</v>
      </c>
      <c r="P13" s="4">
        <f>IF(ISNUMBER(cash_original!P13),cash_original!P13/100000000,cash_original!P13)</f>
        <v>61.089751</v>
      </c>
      <c r="Q13" s="4">
        <f>IF(ISNUMBER(cash_original!Q13),cash_original!Q13/100000000,cash_original!Q13)</f>
        <v>49.159170000000003</v>
      </c>
      <c r="R13" s="4">
        <f>IF(ISNUMBER(cash_original!R13),cash_original!R13/100000000,cash_original!R13)</f>
        <v>189.313703</v>
      </c>
      <c r="S13" s="4">
        <f>IF(ISNUMBER(cash_original!S13),cash_original!S13/100000000,cash_original!S13)</f>
        <v>61.679178999999998</v>
      </c>
      <c r="T13" s="4">
        <f>IF(ISNUMBER(cash_original!T13),cash_original!T13/100000000,cash_original!T13)</f>
        <v>74.360443000000004</v>
      </c>
      <c r="U13" s="4">
        <f>IF(ISNUMBER(cash_original!U13),cash_original!U13/100000000,cash_original!U13)</f>
        <v>60.129468000000003</v>
      </c>
      <c r="V13" s="4">
        <f>IF(ISNUMBER(cash_original!V13),cash_original!V13/100000000,cash_original!V13)</f>
        <v>65.21705</v>
      </c>
      <c r="W13" s="4">
        <f>IF(ISNUMBER(cash_original!W13),cash_original!W13/100000000,cash_original!W13)</f>
        <v>27.900547</v>
      </c>
      <c r="X13" s="4">
        <f>IF(ISNUMBER(cash_original!X13),cash_original!X13/100000000,cash_original!X13)</f>
        <v>21.116336</v>
      </c>
      <c r="Y13" s="4">
        <f>IF(ISNUMBER(cash_original!Y13),cash_original!Y13/100000000,cash_original!Y13)</f>
        <v>49.531252000000002</v>
      </c>
      <c r="Z13" s="4">
        <f>IF(ISNUMBER(cash_original!Z13),cash_original!Z13/100000000,cash_original!Z13)</f>
        <v>33.906539000000002</v>
      </c>
      <c r="AA13" s="4">
        <f>IF(ISNUMBER(cash_original!AA13),cash_original!AA13/100000000,cash_original!AA13)</f>
        <v>41.148276000000003</v>
      </c>
      <c r="AB13" s="4">
        <f>IF(ISNUMBER(cash_original!AB13),cash_original!AB13/100000000,cash_original!AB13)</f>
        <v>1.7391570000000001</v>
      </c>
      <c r="AC13" s="4">
        <f>IF(ISNUMBER(cash_original!AC13),cash_original!AC13/100000000,cash_original!AC13)</f>
        <v>34.099069</v>
      </c>
      <c r="AD13" s="4">
        <f>IF(ISNUMBER(cash_original!AD13),cash_original!AD13/100000000,cash_original!AD13)</f>
        <v>40.300935000000003</v>
      </c>
      <c r="AE13" s="4">
        <f>IF(ISNUMBER(cash_original!AE13),cash_original!AE13/100000000,cash_original!AE13)</f>
        <v>44.247956000000002</v>
      </c>
      <c r="AF13" s="4">
        <f>IF(ISNUMBER(cash_original!AF13),cash_original!AF13/100000000,cash_original!AF13)</f>
        <v>7.9022889999999997</v>
      </c>
      <c r="AG13" s="4">
        <f>IF(ISNUMBER(cash_original!AG13),cash_original!AG13/100000000,cash_original!AG13)</f>
        <v>43.597453000000002</v>
      </c>
      <c r="AH13" s="4">
        <f>IF(ISNUMBER(cash_original!AH13),cash_original!AH13/100000000,cash_original!AH13)</f>
        <v>31.018557999999999</v>
      </c>
      <c r="AI13" s="4">
        <f>IF(ISNUMBER(cash_original!AI13),cash_original!AI13/100000000,cash_original!AI13)</f>
        <v>31.202085</v>
      </c>
      <c r="AJ13" s="4">
        <f>IF(ISNUMBER(cash_original!AJ13),cash_original!AJ13/100000000,cash_original!AJ13)</f>
        <v>13.395009999999999</v>
      </c>
      <c r="AK13" s="4">
        <f>IF(ISNUMBER(cash_original!AK13),cash_original!AK13/100000000,cash_original!AK13)</f>
        <v>11.216267</v>
      </c>
      <c r="AL13" s="4">
        <f>IF(ISNUMBER(cash_original!AL13),cash_original!AL13/100000000,cash_original!AL13)</f>
        <v>36.990400999999999</v>
      </c>
      <c r="AM13" s="4">
        <f>IF(ISNUMBER(cash_original!AM13),cash_original!AM13/100000000,cash_original!AM13)</f>
        <v>19.167659</v>
      </c>
      <c r="AN13" s="4">
        <f>IF(ISNUMBER(cash_original!AN13),cash_original!AN13/100000000,cash_original!AN13)</f>
        <v>34.111319000000002</v>
      </c>
      <c r="AO13" s="4">
        <f>IF(ISNUMBER(cash_original!AO13),cash_original!AO13/100000000,cash_original!AO13)</f>
        <v>22.370695999999999</v>
      </c>
      <c r="AP13" s="4">
        <f>IF(ISNUMBER(cash_original!AP13),cash_original!AP13/100000000,cash_original!AP13)</f>
        <v>21.980238</v>
      </c>
      <c r="AQ13" s="4">
        <f>IF(ISNUMBER(cash_original!AQ13),cash_original!AQ13/100000000,cash_original!AQ13)</f>
        <v>9.416112</v>
      </c>
      <c r="AR13" s="4">
        <f>IF(ISNUMBER(cash_original!AR13),cash_original!AR13/100000000,cash_original!AR13)</f>
        <v>8.247719</v>
      </c>
      <c r="AS13" s="4">
        <f>IF(ISNUMBER(cash_original!AS13),cash_original!AS13/100000000,cash_original!AS13)</f>
        <v>21.463951000000002</v>
      </c>
      <c r="AT13" s="4">
        <f>IF(ISNUMBER(cash_original!AT13),cash_original!AT13/100000000,cash_original!AT13)</f>
        <v>15.293543</v>
      </c>
      <c r="AU13" s="4">
        <f>IF(ISNUMBER(cash_original!AU13),cash_original!AU13/100000000,cash_original!AU13)</f>
        <v>6.7895250000000003</v>
      </c>
      <c r="AV13" s="3">
        <v>-130764700</v>
      </c>
      <c r="AW13" s="3">
        <v>2178882800</v>
      </c>
      <c r="AX13" s="3">
        <v>1572924300</v>
      </c>
      <c r="AY13" s="3">
        <v>502994300</v>
      </c>
      <c r="AZ13" s="3">
        <v>992687200</v>
      </c>
      <c r="BA13" s="3">
        <v>195044000</v>
      </c>
      <c r="BB13" s="3">
        <v>862446200</v>
      </c>
      <c r="BC13" s="3">
        <v>305270000</v>
      </c>
      <c r="BD13" s="3">
        <v>380543100</v>
      </c>
      <c r="BE13" s="3">
        <v>621607800</v>
      </c>
      <c r="BF13" s="3">
        <v>895969400</v>
      </c>
      <c r="BG13" s="3">
        <v>370439600</v>
      </c>
      <c r="BH13" s="3">
        <v>224920100</v>
      </c>
      <c r="BI13" s="3">
        <v>809987400</v>
      </c>
      <c r="BJ13" s="3">
        <v>447115600</v>
      </c>
      <c r="BK13" s="3">
        <v>194323500</v>
      </c>
      <c r="BL13" s="3">
        <v>242281100</v>
      </c>
      <c r="BM13" s="3">
        <v>603109300</v>
      </c>
      <c r="BN13" s="3">
        <v>410659700</v>
      </c>
      <c r="BO13" s="3">
        <v>143398800</v>
      </c>
      <c r="BP13" s="3">
        <v>-181383400</v>
      </c>
      <c r="BQ13" s="3">
        <v>502327600</v>
      </c>
      <c r="BR13" s="3">
        <v>473344600</v>
      </c>
      <c r="BS13" s="3">
        <v>-43078100</v>
      </c>
      <c r="BT13" s="3">
        <v>9112200</v>
      </c>
    </row>
    <row r="14" spans="1:72" x14ac:dyDescent="0.25">
      <c r="A14" s="3" t="s">
        <v>174</v>
      </c>
      <c r="B14" s="4">
        <f>IF(ISNUMBER(cash_original!B14),cash_original!B14/100000000,cash_original!B14)</f>
        <v>0</v>
      </c>
      <c r="C14" s="4">
        <f>IF(ISNUMBER(cash_original!C14),cash_original!C14/100000000,cash_original!C14)</f>
        <v>0</v>
      </c>
      <c r="D14" s="4">
        <f>IF(ISNUMBER(cash_original!D14),cash_original!D14/100000000,cash_original!D14)</f>
        <v>0</v>
      </c>
      <c r="E14" s="4">
        <f>IF(ISNUMBER(cash_original!E14),cash_original!E14/100000000,cash_original!E14)</f>
        <v>0</v>
      </c>
      <c r="F14" s="4">
        <f>IF(ISNUMBER(cash_original!F14),cash_original!F14/100000000,cash_original!F14)</f>
        <v>0</v>
      </c>
      <c r="G14" s="4">
        <f>IF(ISNUMBER(cash_original!G14),cash_original!G14/100000000,cash_original!G14)</f>
        <v>0</v>
      </c>
      <c r="H14" s="4">
        <f>IF(ISNUMBER(cash_original!H14),cash_original!H14/100000000,cash_original!H14)</f>
        <v>0</v>
      </c>
      <c r="I14" s="4">
        <f>IF(ISNUMBER(cash_original!I14),cash_original!I14/100000000,cash_original!I14)</f>
        <v>0</v>
      </c>
      <c r="J14" s="4">
        <f>IF(ISNUMBER(cash_original!J14),cash_original!J14/100000000,cash_original!J14)</f>
        <v>0</v>
      </c>
      <c r="K14" s="4">
        <f>IF(ISNUMBER(cash_original!K14),cash_original!K14/100000000,cash_original!K14)</f>
        <v>0</v>
      </c>
      <c r="L14" s="4">
        <f>IF(ISNUMBER(cash_original!L14),cash_original!L14/100000000,cash_original!L14)</f>
        <v>0</v>
      </c>
      <c r="M14" s="4">
        <f>IF(ISNUMBER(cash_original!M14),cash_original!M14/100000000,cash_original!M14)</f>
        <v>0</v>
      </c>
      <c r="N14" s="4">
        <f>IF(ISNUMBER(cash_original!N14),cash_original!N14/100000000,cash_original!N14)</f>
        <v>0</v>
      </c>
      <c r="O14" s="4">
        <f>IF(ISNUMBER(cash_original!O14),cash_original!O14/100000000,cash_original!O14)</f>
        <v>0</v>
      </c>
      <c r="P14" s="4">
        <f>IF(ISNUMBER(cash_original!P14),cash_original!P14/100000000,cash_original!P14)</f>
        <v>0</v>
      </c>
      <c r="Q14" s="4">
        <f>IF(ISNUMBER(cash_original!Q14),cash_original!Q14/100000000,cash_original!Q14)</f>
        <v>0</v>
      </c>
      <c r="R14" s="4">
        <f>IF(ISNUMBER(cash_original!R14),cash_original!R14/100000000,cash_original!R14)</f>
        <v>0</v>
      </c>
      <c r="S14" s="4">
        <f>IF(ISNUMBER(cash_original!S14),cash_original!S14/100000000,cash_original!S14)</f>
        <v>0</v>
      </c>
      <c r="T14" s="4">
        <f>IF(ISNUMBER(cash_original!T14),cash_original!T14/100000000,cash_original!T14)</f>
        <v>0</v>
      </c>
      <c r="U14" s="4">
        <f>IF(ISNUMBER(cash_original!U14),cash_original!U14/100000000,cash_original!U14)</f>
        <v>0</v>
      </c>
      <c r="V14" s="4">
        <f>IF(ISNUMBER(cash_original!V14),cash_original!V14/100000000,cash_original!V14)</f>
        <v>0</v>
      </c>
      <c r="W14" s="4">
        <f>IF(ISNUMBER(cash_original!W14),cash_original!W14/100000000,cash_original!W14)</f>
        <v>0</v>
      </c>
      <c r="X14" s="4">
        <f>IF(ISNUMBER(cash_original!X14),cash_original!X14/100000000,cash_original!X14)</f>
        <v>0</v>
      </c>
      <c r="Y14" s="4">
        <f>IF(ISNUMBER(cash_original!Y14),cash_original!Y14/100000000,cash_original!Y14)</f>
        <v>0</v>
      </c>
      <c r="Z14" s="4">
        <f>IF(ISNUMBER(cash_original!Z14),cash_original!Z14/100000000,cash_original!Z14)</f>
        <v>0</v>
      </c>
      <c r="AA14" s="4">
        <f>IF(ISNUMBER(cash_original!AA14),cash_original!AA14/100000000,cash_original!AA14)</f>
        <v>0</v>
      </c>
      <c r="AB14" s="4">
        <f>IF(ISNUMBER(cash_original!AB14),cash_original!AB14/100000000,cash_original!AB14)</f>
        <v>0</v>
      </c>
      <c r="AC14" s="4">
        <f>IF(ISNUMBER(cash_original!AC14),cash_original!AC14/100000000,cash_original!AC14)</f>
        <v>0</v>
      </c>
      <c r="AD14" s="4">
        <f>IF(ISNUMBER(cash_original!AD14),cash_original!AD14/100000000,cash_original!AD14)</f>
        <v>0</v>
      </c>
      <c r="AE14" s="4">
        <f>IF(ISNUMBER(cash_original!AE14),cash_original!AE14/100000000,cash_original!AE14)</f>
        <v>0</v>
      </c>
      <c r="AF14" s="4">
        <f>IF(ISNUMBER(cash_original!AF14),cash_original!AF14/100000000,cash_original!AF14)</f>
        <v>0</v>
      </c>
      <c r="AG14" s="4">
        <f>IF(ISNUMBER(cash_original!AG14),cash_original!AG14/100000000,cash_original!AG14)</f>
        <v>0</v>
      </c>
      <c r="AH14" s="4">
        <f>IF(ISNUMBER(cash_original!AH14),cash_original!AH14/100000000,cash_original!AH14)</f>
        <v>0</v>
      </c>
      <c r="AI14" s="4">
        <f>IF(ISNUMBER(cash_original!AI14),cash_original!AI14/100000000,cash_original!AI14)</f>
        <v>0</v>
      </c>
      <c r="AJ14" s="4">
        <f>IF(ISNUMBER(cash_original!AJ14),cash_original!AJ14/100000000,cash_original!AJ14)</f>
        <v>0</v>
      </c>
      <c r="AK14" s="4">
        <f>IF(ISNUMBER(cash_original!AK14),cash_original!AK14/100000000,cash_original!AK14)</f>
        <v>0</v>
      </c>
      <c r="AL14" s="4">
        <f>IF(ISNUMBER(cash_original!AL14),cash_original!AL14/100000000,cash_original!AL14)</f>
        <v>0</v>
      </c>
      <c r="AM14" s="4">
        <f>IF(ISNUMBER(cash_original!AM14),cash_original!AM14/100000000,cash_original!AM14)</f>
        <v>0</v>
      </c>
      <c r="AN14" s="4">
        <f>IF(ISNUMBER(cash_original!AN14),cash_original!AN14/100000000,cash_original!AN14)</f>
        <v>0</v>
      </c>
      <c r="AO14" s="4">
        <f>IF(ISNUMBER(cash_original!AO14),cash_original!AO14/100000000,cash_original!AO14)</f>
        <v>0</v>
      </c>
      <c r="AP14" s="4">
        <f>IF(ISNUMBER(cash_original!AP14),cash_original!AP14/100000000,cash_original!AP14)</f>
        <v>0</v>
      </c>
      <c r="AQ14" s="4">
        <f>IF(ISNUMBER(cash_original!AQ14),cash_original!AQ14/100000000,cash_original!AQ14)</f>
        <v>0</v>
      </c>
      <c r="AR14" s="4">
        <f>IF(ISNUMBER(cash_original!AR14),cash_original!AR14/100000000,cash_original!AR14)</f>
        <v>0</v>
      </c>
      <c r="AS14" s="4">
        <f>IF(ISNUMBER(cash_original!AS14),cash_original!AS14/100000000,cash_original!AS14)</f>
        <v>0</v>
      </c>
      <c r="AT14" s="4">
        <f>IF(ISNUMBER(cash_original!AT14),cash_original!AT14/100000000,cash_original!AT14)</f>
        <v>0</v>
      </c>
      <c r="AU14" s="4">
        <f>IF(ISNUMBER(cash_original!AU14),cash_original!AU14/100000000,cash_original!AU14)</f>
        <v>0</v>
      </c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</row>
    <row r="15" spans="1:72" x14ac:dyDescent="0.25">
      <c r="A15" s="3" t="s">
        <v>175</v>
      </c>
      <c r="B15" s="4" t="str">
        <f>IF(ISNUMBER(cash_original!B15),cash_original!B15/100000000,cash_original!B15)</f>
        <v>--</v>
      </c>
      <c r="C15" s="4" t="str">
        <f>IF(ISNUMBER(cash_original!C15),cash_original!C15/100000000,cash_original!C15)</f>
        <v>--</v>
      </c>
      <c r="D15" s="4" t="str">
        <f>IF(ISNUMBER(cash_original!D15),cash_original!D15/100000000,cash_original!D15)</f>
        <v>--</v>
      </c>
      <c r="E15" s="4" t="str">
        <f>IF(ISNUMBER(cash_original!E15),cash_original!E15/100000000,cash_original!E15)</f>
        <v>--</v>
      </c>
      <c r="F15" s="4" t="str">
        <f>IF(ISNUMBER(cash_original!F15),cash_original!F15/100000000,cash_original!F15)</f>
        <v>--</v>
      </c>
      <c r="G15" s="4" t="str">
        <f>IF(ISNUMBER(cash_original!G15),cash_original!G15/100000000,cash_original!G15)</f>
        <v>--</v>
      </c>
      <c r="H15" s="4" t="str">
        <f>IF(ISNUMBER(cash_original!H15),cash_original!H15/100000000,cash_original!H15)</f>
        <v>--</v>
      </c>
      <c r="I15" s="4" t="str">
        <f>IF(ISNUMBER(cash_original!I15),cash_original!I15/100000000,cash_original!I15)</f>
        <v>--</v>
      </c>
      <c r="J15" s="4" t="str">
        <f>IF(ISNUMBER(cash_original!J15),cash_original!J15/100000000,cash_original!J15)</f>
        <v>--</v>
      </c>
      <c r="K15" s="4" t="str">
        <f>IF(ISNUMBER(cash_original!K15),cash_original!K15/100000000,cash_original!K15)</f>
        <v>--</v>
      </c>
      <c r="L15" s="4" t="str">
        <f>IF(ISNUMBER(cash_original!L15),cash_original!L15/100000000,cash_original!L15)</f>
        <v>--</v>
      </c>
      <c r="M15" s="4" t="str">
        <f>IF(ISNUMBER(cash_original!M15),cash_original!M15/100000000,cash_original!M15)</f>
        <v>--</v>
      </c>
      <c r="N15" s="4" t="str">
        <f>IF(ISNUMBER(cash_original!N15),cash_original!N15/100000000,cash_original!N15)</f>
        <v>--</v>
      </c>
      <c r="O15" s="4" t="str">
        <f>IF(ISNUMBER(cash_original!O15),cash_original!O15/100000000,cash_original!O15)</f>
        <v>--</v>
      </c>
      <c r="P15" s="4" t="str">
        <f>IF(ISNUMBER(cash_original!P15),cash_original!P15/100000000,cash_original!P15)</f>
        <v>--</v>
      </c>
      <c r="Q15" s="4" t="str">
        <f>IF(ISNUMBER(cash_original!Q15),cash_original!Q15/100000000,cash_original!Q15)</f>
        <v>--</v>
      </c>
      <c r="R15" s="4" t="str">
        <f>IF(ISNUMBER(cash_original!R15),cash_original!R15/100000000,cash_original!R15)</f>
        <v>--</v>
      </c>
      <c r="S15" s="4" t="str">
        <f>IF(ISNUMBER(cash_original!S15),cash_original!S15/100000000,cash_original!S15)</f>
        <v>--</v>
      </c>
      <c r="T15" s="4" t="str">
        <f>IF(ISNUMBER(cash_original!T15),cash_original!T15/100000000,cash_original!T15)</f>
        <v>--</v>
      </c>
      <c r="U15" s="4">
        <f>IF(ISNUMBER(cash_original!U15),cash_original!U15/100000000,cash_original!U15)</f>
        <v>5.0000000000000001E-4</v>
      </c>
      <c r="V15" s="4">
        <f>IF(ISNUMBER(cash_original!V15),cash_original!V15/100000000,cash_original!V15)</f>
        <v>0.5</v>
      </c>
      <c r="W15" s="4" t="str">
        <f>IF(ISNUMBER(cash_original!W15),cash_original!W15/100000000,cash_original!W15)</f>
        <v>--</v>
      </c>
      <c r="X15" s="4">
        <f>IF(ISNUMBER(cash_original!X15),cash_original!X15/100000000,cash_original!X15)</f>
        <v>0.1</v>
      </c>
      <c r="Y15" s="4" t="str">
        <f>IF(ISNUMBER(cash_original!Y15),cash_original!Y15/100000000,cash_original!Y15)</f>
        <v>--</v>
      </c>
      <c r="Z15" s="4" t="str">
        <f>IF(ISNUMBER(cash_original!Z15),cash_original!Z15/100000000,cash_original!Z15)</f>
        <v>--</v>
      </c>
      <c r="AA15" s="4" t="str">
        <f>IF(ISNUMBER(cash_original!AA15),cash_original!AA15/100000000,cash_original!AA15)</f>
        <v>--</v>
      </c>
      <c r="AB15" s="4" t="str">
        <f>IF(ISNUMBER(cash_original!AB15),cash_original!AB15/100000000,cash_original!AB15)</f>
        <v>--</v>
      </c>
      <c r="AC15" s="4" t="str">
        <f>IF(ISNUMBER(cash_original!AC15),cash_original!AC15/100000000,cash_original!AC15)</f>
        <v>--</v>
      </c>
      <c r="AD15" s="4" t="str">
        <f>IF(ISNUMBER(cash_original!AD15),cash_original!AD15/100000000,cash_original!AD15)</f>
        <v>--</v>
      </c>
      <c r="AE15" s="4" t="str">
        <f>IF(ISNUMBER(cash_original!AE15),cash_original!AE15/100000000,cash_original!AE15)</f>
        <v>--</v>
      </c>
      <c r="AF15" s="4" t="str">
        <f>IF(ISNUMBER(cash_original!AF15),cash_original!AF15/100000000,cash_original!AF15)</f>
        <v>--</v>
      </c>
      <c r="AG15" s="4" t="str">
        <f>IF(ISNUMBER(cash_original!AG15),cash_original!AG15/100000000,cash_original!AG15)</f>
        <v>--</v>
      </c>
      <c r="AH15" s="4" t="str">
        <f>IF(ISNUMBER(cash_original!AH15),cash_original!AH15/100000000,cash_original!AH15)</f>
        <v>--</v>
      </c>
      <c r="AI15" s="4" t="str">
        <f>IF(ISNUMBER(cash_original!AI15),cash_original!AI15/100000000,cash_original!AI15)</f>
        <v>--</v>
      </c>
      <c r="AJ15" s="4">
        <f>IF(ISNUMBER(cash_original!AJ15),cash_original!AJ15/100000000,cash_original!AJ15)</f>
        <v>0.1</v>
      </c>
      <c r="AK15" s="4" t="str">
        <f>IF(ISNUMBER(cash_original!AK15),cash_original!AK15/100000000,cash_original!AK15)</f>
        <v>--</v>
      </c>
      <c r="AL15" s="4" t="str">
        <f>IF(ISNUMBER(cash_original!AL15),cash_original!AL15/100000000,cash_original!AL15)</f>
        <v>--</v>
      </c>
      <c r="AM15" s="4" t="str">
        <f>IF(ISNUMBER(cash_original!AM15),cash_original!AM15/100000000,cash_original!AM15)</f>
        <v>--</v>
      </c>
      <c r="AN15" s="4" t="str">
        <f>IF(ISNUMBER(cash_original!AN15),cash_original!AN15/100000000,cash_original!AN15)</f>
        <v>--</v>
      </c>
      <c r="AO15" s="4" t="str">
        <f>IF(ISNUMBER(cash_original!AO15),cash_original!AO15/100000000,cash_original!AO15)</f>
        <v>--</v>
      </c>
      <c r="AP15" s="4" t="str">
        <f>IF(ISNUMBER(cash_original!AP15),cash_original!AP15/100000000,cash_original!AP15)</f>
        <v>--</v>
      </c>
      <c r="AQ15" s="4" t="str">
        <f>IF(ISNUMBER(cash_original!AQ15),cash_original!AQ15/100000000,cash_original!AQ15)</f>
        <v>--</v>
      </c>
      <c r="AR15" s="4">
        <f>IF(ISNUMBER(cash_original!AR15),cash_original!AR15/100000000,cash_original!AR15)</f>
        <v>0.17</v>
      </c>
      <c r="AS15" s="4" t="str">
        <f>IF(ISNUMBER(cash_original!AS15),cash_original!AS15/100000000,cash_original!AS15)</f>
        <v>--</v>
      </c>
      <c r="AT15" s="4" t="str">
        <f>IF(ISNUMBER(cash_original!AT15),cash_original!AT15/100000000,cash_original!AT15)</f>
        <v>--</v>
      </c>
      <c r="AU15" s="4" t="str">
        <f>IF(ISNUMBER(cash_original!AU15),cash_original!AU15/100000000,cash_original!AU15)</f>
        <v>--</v>
      </c>
      <c r="AV15" s="3" t="s">
        <v>133</v>
      </c>
      <c r="AW15" s="3" t="s">
        <v>133</v>
      </c>
      <c r="AX15" s="3" t="s">
        <v>133</v>
      </c>
      <c r="AY15" s="3" t="s">
        <v>133</v>
      </c>
      <c r="AZ15" s="3">
        <v>21000000</v>
      </c>
      <c r="BA15" s="3" t="s">
        <v>133</v>
      </c>
      <c r="BB15" s="3" t="s">
        <v>133</v>
      </c>
      <c r="BC15" s="3" t="s">
        <v>133</v>
      </c>
      <c r="BD15" s="3" t="s">
        <v>133</v>
      </c>
      <c r="BE15" s="3" t="s">
        <v>133</v>
      </c>
      <c r="BF15" s="3" t="s">
        <v>133</v>
      </c>
      <c r="BG15" s="3" t="s">
        <v>133</v>
      </c>
      <c r="BH15" s="3" t="s">
        <v>133</v>
      </c>
      <c r="BI15" s="3" t="s">
        <v>133</v>
      </c>
      <c r="BJ15" s="3" t="s">
        <v>133</v>
      </c>
      <c r="BK15" s="3" t="s">
        <v>133</v>
      </c>
      <c r="BL15" s="3" t="s">
        <v>133</v>
      </c>
      <c r="BM15" s="3" t="s">
        <v>133</v>
      </c>
      <c r="BN15" s="3" t="s">
        <v>133</v>
      </c>
      <c r="BO15" s="3" t="s">
        <v>133</v>
      </c>
      <c r="BP15" s="3" t="s">
        <v>133</v>
      </c>
      <c r="BQ15" s="3" t="s">
        <v>133</v>
      </c>
      <c r="BR15" s="3" t="s">
        <v>133</v>
      </c>
      <c r="BS15" s="3" t="s">
        <v>133</v>
      </c>
      <c r="BT15" s="3" t="s">
        <v>133</v>
      </c>
    </row>
    <row r="16" spans="1:72" x14ac:dyDescent="0.25">
      <c r="A16" s="3" t="s">
        <v>176</v>
      </c>
      <c r="B16" s="4" t="str">
        <f>IF(ISNUMBER(cash_original!B16),cash_original!B16/100000000,cash_original!B16)</f>
        <v>--</v>
      </c>
      <c r="C16" s="4" t="str">
        <f>IF(ISNUMBER(cash_original!C16),cash_original!C16/100000000,cash_original!C16)</f>
        <v>--</v>
      </c>
      <c r="D16" s="4" t="str">
        <f>IF(ISNUMBER(cash_original!D16),cash_original!D16/100000000,cash_original!D16)</f>
        <v>--</v>
      </c>
      <c r="E16" s="4" t="str">
        <f>IF(ISNUMBER(cash_original!E16),cash_original!E16/100000000,cash_original!E16)</f>
        <v>--</v>
      </c>
      <c r="F16" s="4" t="str">
        <f>IF(ISNUMBER(cash_original!F16),cash_original!F16/100000000,cash_original!F16)</f>
        <v>--</v>
      </c>
      <c r="G16" s="4" t="str">
        <f>IF(ISNUMBER(cash_original!G16),cash_original!G16/100000000,cash_original!G16)</f>
        <v>--</v>
      </c>
      <c r="H16" s="4" t="str">
        <f>IF(ISNUMBER(cash_original!H16),cash_original!H16/100000000,cash_original!H16)</f>
        <v>--</v>
      </c>
      <c r="I16" s="4" t="str">
        <f>IF(ISNUMBER(cash_original!I16),cash_original!I16/100000000,cash_original!I16)</f>
        <v>--</v>
      </c>
      <c r="J16" s="4" t="str">
        <f>IF(ISNUMBER(cash_original!J16),cash_original!J16/100000000,cash_original!J16)</f>
        <v>--</v>
      </c>
      <c r="K16" s="4" t="str">
        <f>IF(ISNUMBER(cash_original!K16),cash_original!K16/100000000,cash_original!K16)</f>
        <v>--</v>
      </c>
      <c r="L16" s="4" t="str">
        <f>IF(ISNUMBER(cash_original!L16),cash_original!L16/100000000,cash_original!L16)</f>
        <v>--</v>
      </c>
      <c r="M16" s="4" t="str">
        <f>IF(ISNUMBER(cash_original!M16),cash_original!M16/100000000,cash_original!M16)</f>
        <v>--</v>
      </c>
      <c r="N16" s="4" t="str">
        <f>IF(ISNUMBER(cash_original!N16),cash_original!N16/100000000,cash_original!N16)</f>
        <v>--</v>
      </c>
      <c r="O16" s="4" t="str">
        <f>IF(ISNUMBER(cash_original!O16),cash_original!O16/100000000,cash_original!O16)</f>
        <v>--</v>
      </c>
      <c r="P16" s="4" t="str">
        <f>IF(ISNUMBER(cash_original!P16),cash_original!P16/100000000,cash_original!P16)</f>
        <v>--</v>
      </c>
      <c r="Q16" s="4" t="str">
        <f>IF(ISNUMBER(cash_original!Q16),cash_original!Q16/100000000,cash_original!Q16)</f>
        <v>--</v>
      </c>
      <c r="R16" s="4" t="str">
        <f>IF(ISNUMBER(cash_original!R16),cash_original!R16/100000000,cash_original!R16)</f>
        <v>--</v>
      </c>
      <c r="S16" s="4" t="str">
        <f>IF(ISNUMBER(cash_original!S16),cash_original!S16/100000000,cash_original!S16)</f>
        <v>--</v>
      </c>
      <c r="T16" s="4" t="str">
        <f>IF(ISNUMBER(cash_original!T16),cash_original!T16/100000000,cash_original!T16)</f>
        <v>--</v>
      </c>
      <c r="U16" s="4">
        <f>IF(ISNUMBER(cash_original!U16),cash_original!U16/100000000,cash_original!U16)</f>
        <v>3.0000000000000001E-6</v>
      </c>
      <c r="V16" s="4">
        <f>IF(ISNUMBER(cash_original!V16),cash_original!V16/100000000,cash_original!V16)</f>
        <v>5.2680000000000001E-3</v>
      </c>
      <c r="W16" s="4">
        <f>IF(ISNUMBER(cash_original!W16),cash_original!W16/100000000,cash_original!W16)</f>
        <v>3.0099999999999998E-2</v>
      </c>
      <c r="X16" s="4">
        <f>IF(ISNUMBER(cash_original!X16),cash_original!X16/100000000,cash_original!X16)</f>
        <v>3.3219999999999999E-3</v>
      </c>
      <c r="Y16" s="4">
        <f>IF(ISNUMBER(cash_original!Y16),cash_original!Y16/100000000,cash_original!Y16)</f>
        <v>8.5300000000000003E-4</v>
      </c>
      <c r="Z16" s="4" t="str">
        <f>IF(ISNUMBER(cash_original!Z16),cash_original!Z16/100000000,cash_original!Z16)</f>
        <v>--</v>
      </c>
      <c r="AA16" s="4" t="str">
        <f>IF(ISNUMBER(cash_original!AA16),cash_original!AA16/100000000,cash_original!AA16)</f>
        <v>--</v>
      </c>
      <c r="AB16" s="4" t="str">
        <f>IF(ISNUMBER(cash_original!AB16),cash_original!AB16/100000000,cash_original!AB16)</f>
        <v>--</v>
      </c>
      <c r="AC16" s="4" t="str">
        <f>IF(ISNUMBER(cash_original!AC16),cash_original!AC16/100000000,cash_original!AC16)</f>
        <v>--</v>
      </c>
      <c r="AD16" s="4" t="str">
        <f>IF(ISNUMBER(cash_original!AD16),cash_original!AD16/100000000,cash_original!AD16)</f>
        <v>--</v>
      </c>
      <c r="AE16" s="4" t="str">
        <f>IF(ISNUMBER(cash_original!AE16),cash_original!AE16/100000000,cash_original!AE16)</f>
        <v>--</v>
      </c>
      <c r="AF16" s="4" t="str">
        <f>IF(ISNUMBER(cash_original!AF16),cash_original!AF16/100000000,cash_original!AF16)</f>
        <v>--</v>
      </c>
      <c r="AG16" s="4" t="str">
        <f>IF(ISNUMBER(cash_original!AG16),cash_original!AG16/100000000,cash_original!AG16)</f>
        <v>--</v>
      </c>
      <c r="AH16" s="4" t="str">
        <f>IF(ISNUMBER(cash_original!AH16),cash_original!AH16/100000000,cash_original!AH16)</f>
        <v>--</v>
      </c>
      <c r="AI16" s="4">
        <f>IF(ISNUMBER(cash_original!AI16),cash_original!AI16/100000000,cash_original!AI16)</f>
        <v>3.0099999999999998E-2</v>
      </c>
      <c r="AJ16" s="4">
        <f>IF(ISNUMBER(cash_original!AJ16),cash_original!AJ16/100000000,cash_original!AJ16)</f>
        <v>1.119E-2</v>
      </c>
      <c r="AK16" s="4" t="str">
        <f>IF(ISNUMBER(cash_original!AK16),cash_original!AK16/100000000,cash_original!AK16)</f>
        <v>--</v>
      </c>
      <c r="AL16" s="4" t="str">
        <f>IF(ISNUMBER(cash_original!AL16),cash_original!AL16/100000000,cash_original!AL16)</f>
        <v>--</v>
      </c>
      <c r="AM16" s="4" t="str">
        <f>IF(ISNUMBER(cash_original!AM16),cash_original!AM16/100000000,cash_original!AM16)</f>
        <v>--</v>
      </c>
      <c r="AN16" s="4" t="str">
        <f>IF(ISNUMBER(cash_original!AN16),cash_original!AN16/100000000,cash_original!AN16)</f>
        <v>--</v>
      </c>
      <c r="AO16" s="4" t="str">
        <f>IF(ISNUMBER(cash_original!AO16),cash_original!AO16/100000000,cash_original!AO16)</f>
        <v>--</v>
      </c>
      <c r="AP16" s="4" t="str">
        <f>IF(ISNUMBER(cash_original!AP16),cash_original!AP16/100000000,cash_original!AP16)</f>
        <v>--</v>
      </c>
      <c r="AQ16" s="4">
        <f>IF(ISNUMBER(cash_original!AQ16),cash_original!AQ16/100000000,cash_original!AQ16)</f>
        <v>2.5000000000000001E-5</v>
      </c>
      <c r="AR16" s="4">
        <f>IF(ISNUMBER(cash_original!AR16),cash_original!AR16/100000000,cash_original!AR16)</f>
        <v>1.7288999999999999E-2</v>
      </c>
      <c r="AS16" s="4" t="str">
        <f>IF(ISNUMBER(cash_original!AS16),cash_original!AS16/100000000,cash_original!AS16)</f>
        <v>--</v>
      </c>
      <c r="AT16" s="4" t="str">
        <f>IF(ISNUMBER(cash_original!AT16),cash_original!AT16/100000000,cash_original!AT16)</f>
        <v>--</v>
      </c>
      <c r="AU16" s="4" t="str">
        <f>IF(ISNUMBER(cash_original!AU16),cash_original!AU16/100000000,cash_original!AU16)</f>
        <v>--</v>
      </c>
      <c r="AV16" s="3" t="s">
        <v>133</v>
      </c>
      <c r="AW16" s="3" t="s">
        <v>133</v>
      </c>
      <c r="AX16" s="3" t="s">
        <v>133</v>
      </c>
      <c r="AY16" s="3" t="s">
        <v>133</v>
      </c>
      <c r="AZ16" s="3">
        <v>2123100</v>
      </c>
      <c r="BA16" s="3" t="s">
        <v>133</v>
      </c>
      <c r="BB16" s="3" t="s">
        <v>133</v>
      </c>
      <c r="BC16" s="3" t="s">
        <v>133</v>
      </c>
      <c r="BD16" s="3" t="s">
        <v>133</v>
      </c>
      <c r="BE16" s="3" t="s">
        <v>133</v>
      </c>
      <c r="BF16" s="3" t="s">
        <v>133</v>
      </c>
      <c r="BG16" s="3" t="s">
        <v>133</v>
      </c>
      <c r="BH16" s="3" t="s">
        <v>133</v>
      </c>
      <c r="BI16" s="3" t="s">
        <v>133</v>
      </c>
      <c r="BJ16" s="3" t="s">
        <v>133</v>
      </c>
      <c r="BK16" s="3" t="s">
        <v>133</v>
      </c>
      <c r="BL16" s="3" t="s">
        <v>133</v>
      </c>
      <c r="BM16" s="3" t="s">
        <v>133</v>
      </c>
      <c r="BN16" s="3" t="s">
        <v>133</v>
      </c>
      <c r="BO16" s="3" t="s">
        <v>133</v>
      </c>
      <c r="BP16" s="3" t="s">
        <v>133</v>
      </c>
      <c r="BQ16" s="3" t="s">
        <v>133</v>
      </c>
      <c r="BR16" s="3" t="s">
        <v>133</v>
      </c>
      <c r="BS16" s="3" t="s">
        <v>133</v>
      </c>
      <c r="BT16" s="3" t="s">
        <v>133</v>
      </c>
    </row>
    <row r="17" spans="1:72" x14ac:dyDescent="0.25">
      <c r="A17" s="3" t="s">
        <v>18</v>
      </c>
      <c r="B17" s="4" t="str">
        <f>IF(ISNUMBER(cash_original!B17),cash_original!B17/100000000,cash_original!B17)</f>
        <v>--</v>
      </c>
      <c r="C17" s="4" t="str">
        <f>IF(ISNUMBER(cash_original!C17),cash_original!C17/100000000,cash_original!C17)</f>
        <v>--</v>
      </c>
      <c r="D17" s="4" t="str">
        <f>IF(ISNUMBER(cash_original!D17),cash_original!D17/100000000,cash_original!D17)</f>
        <v>--</v>
      </c>
      <c r="E17" s="4" t="str">
        <f>IF(ISNUMBER(cash_original!E17),cash_original!E17/100000000,cash_original!E17)</f>
        <v>--</v>
      </c>
      <c r="F17" s="4" t="str">
        <f>IF(ISNUMBER(cash_original!F17),cash_original!F17/100000000,cash_original!F17)</f>
        <v>--</v>
      </c>
      <c r="G17" s="4" t="str">
        <f>IF(ISNUMBER(cash_original!G17),cash_original!G17/100000000,cash_original!G17)</f>
        <v>--</v>
      </c>
      <c r="H17" s="4" t="str">
        <f>IF(ISNUMBER(cash_original!H17),cash_original!H17/100000000,cash_original!H17)</f>
        <v>--</v>
      </c>
      <c r="I17" s="4" t="str">
        <f>IF(ISNUMBER(cash_original!I17),cash_original!I17/100000000,cash_original!I17)</f>
        <v>--</v>
      </c>
      <c r="J17" s="4" t="str">
        <f>IF(ISNUMBER(cash_original!J17),cash_original!J17/100000000,cash_original!J17)</f>
        <v>--</v>
      </c>
      <c r="K17" s="4" t="str">
        <f>IF(ISNUMBER(cash_original!K17),cash_original!K17/100000000,cash_original!K17)</f>
        <v>--</v>
      </c>
      <c r="L17" s="4" t="str">
        <f>IF(ISNUMBER(cash_original!L17),cash_original!L17/100000000,cash_original!L17)</f>
        <v>--</v>
      </c>
      <c r="M17" s="4" t="str">
        <f>IF(ISNUMBER(cash_original!M17),cash_original!M17/100000000,cash_original!M17)</f>
        <v>--</v>
      </c>
      <c r="N17" s="4" t="str">
        <f>IF(ISNUMBER(cash_original!N17),cash_original!N17/100000000,cash_original!N17)</f>
        <v>--</v>
      </c>
      <c r="O17" s="4" t="str">
        <f>IF(ISNUMBER(cash_original!O17),cash_original!O17/100000000,cash_original!O17)</f>
        <v>--</v>
      </c>
      <c r="P17" s="4" t="str">
        <f>IF(ISNUMBER(cash_original!P17),cash_original!P17/100000000,cash_original!P17)</f>
        <v>--</v>
      </c>
      <c r="Q17" s="4">
        <f>IF(ISNUMBER(cash_original!Q17),cash_original!Q17/100000000,cash_original!Q17)</f>
        <v>1.6899999999999999E-4</v>
      </c>
      <c r="R17" s="4">
        <f>IF(ISNUMBER(cash_original!R17),cash_original!R17/100000000,cash_original!R17)</f>
        <v>1.2999999999999999E-5</v>
      </c>
      <c r="S17" s="4">
        <f>IF(ISNUMBER(cash_original!S17),cash_original!S17/100000000,cash_original!S17)</f>
        <v>-4.35E-4</v>
      </c>
      <c r="T17" s="4">
        <f>IF(ISNUMBER(cash_original!T17),cash_original!T17/100000000,cash_original!T17)</f>
        <v>1.173E-3</v>
      </c>
      <c r="U17" s="4">
        <f>IF(ISNUMBER(cash_original!U17),cash_original!U17/100000000,cash_original!U17)</f>
        <v>8.7717000000000003E-2</v>
      </c>
      <c r="V17" s="4" t="str">
        <f>IF(ISNUMBER(cash_original!V17),cash_original!V17/100000000,cash_original!V17)</f>
        <v>--</v>
      </c>
      <c r="W17" s="4" t="str">
        <f>IF(ISNUMBER(cash_original!W17),cash_original!W17/100000000,cash_original!W17)</f>
        <v>--</v>
      </c>
      <c r="X17" s="4" t="str">
        <f>IF(ISNUMBER(cash_original!X17),cash_original!X17/100000000,cash_original!X17)</f>
        <v>--</v>
      </c>
      <c r="Y17" s="4">
        <f>IF(ISNUMBER(cash_original!Y17),cash_original!Y17/100000000,cash_original!Y17)</f>
        <v>9.1793E-2</v>
      </c>
      <c r="Z17" s="4" t="str">
        <f>IF(ISNUMBER(cash_original!Z17),cash_original!Z17/100000000,cash_original!Z17)</f>
        <v>--</v>
      </c>
      <c r="AA17" s="4">
        <f>IF(ISNUMBER(cash_original!AA17),cash_original!AA17/100000000,cash_original!AA17)</f>
        <v>8.7430000000000008E-3</v>
      </c>
      <c r="AB17" s="4">
        <f>IF(ISNUMBER(cash_original!AB17),cash_original!AB17/100000000,cash_original!AB17)</f>
        <v>1.7340000000000001E-3</v>
      </c>
      <c r="AC17" s="4" t="str">
        <f>IF(ISNUMBER(cash_original!AC17),cash_original!AC17/100000000,cash_original!AC17)</f>
        <v>--</v>
      </c>
      <c r="AD17" s="4" t="str">
        <f>IF(ISNUMBER(cash_original!AD17),cash_original!AD17/100000000,cash_original!AD17)</f>
        <v>--</v>
      </c>
      <c r="AE17" s="4" t="str">
        <f>IF(ISNUMBER(cash_original!AE17),cash_original!AE17/100000000,cash_original!AE17)</f>
        <v>--</v>
      </c>
      <c r="AF17" s="4" t="str">
        <f>IF(ISNUMBER(cash_original!AF17),cash_original!AF17/100000000,cash_original!AF17)</f>
        <v>--</v>
      </c>
      <c r="AG17" s="4" t="str">
        <f>IF(ISNUMBER(cash_original!AG17),cash_original!AG17/100000000,cash_original!AG17)</f>
        <v>--</v>
      </c>
      <c r="AH17" s="4" t="str">
        <f>IF(ISNUMBER(cash_original!AH17),cash_original!AH17/100000000,cash_original!AH17)</f>
        <v>--</v>
      </c>
      <c r="AI17" s="4" t="str">
        <f>IF(ISNUMBER(cash_original!AI17),cash_original!AI17/100000000,cash_original!AI17)</f>
        <v>--</v>
      </c>
      <c r="AJ17" s="4" t="str">
        <f>IF(ISNUMBER(cash_original!AJ17),cash_original!AJ17/100000000,cash_original!AJ17)</f>
        <v>--</v>
      </c>
      <c r="AK17" s="4">
        <f>IF(ISNUMBER(cash_original!AK17),cash_original!AK17/100000000,cash_original!AK17)</f>
        <v>1.5999999999999999E-5</v>
      </c>
      <c r="AL17" s="4" t="str">
        <f>IF(ISNUMBER(cash_original!AL17),cash_original!AL17/100000000,cash_original!AL17)</f>
        <v>--</v>
      </c>
      <c r="AM17" s="4" t="str">
        <f>IF(ISNUMBER(cash_original!AM17),cash_original!AM17/100000000,cash_original!AM17)</f>
        <v>--</v>
      </c>
      <c r="AN17" s="4">
        <f>IF(ISNUMBER(cash_original!AN17),cash_original!AN17/100000000,cash_original!AN17)</f>
        <v>4.0000000000000002E-4</v>
      </c>
      <c r="AO17" s="4" t="str">
        <f>IF(ISNUMBER(cash_original!AO17),cash_original!AO17/100000000,cash_original!AO17)</f>
        <v>--</v>
      </c>
      <c r="AP17" s="4" t="str">
        <f>IF(ISNUMBER(cash_original!AP17),cash_original!AP17/100000000,cash_original!AP17)</f>
        <v>--</v>
      </c>
      <c r="AQ17" s="4" t="str">
        <f>IF(ISNUMBER(cash_original!AQ17),cash_original!AQ17/100000000,cash_original!AQ17)</f>
        <v>--</v>
      </c>
      <c r="AR17" s="4">
        <f>IF(ISNUMBER(cash_original!AR17),cash_original!AR17/100000000,cash_original!AR17)</f>
        <v>2.5000000000000001E-5</v>
      </c>
      <c r="AS17" s="4" t="str">
        <f>IF(ISNUMBER(cash_original!AS17),cash_original!AS17/100000000,cash_original!AS17)</f>
        <v>--</v>
      </c>
      <c r="AT17" s="4" t="str">
        <f>IF(ISNUMBER(cash_original!AT17),cash_original!AT17/100000000,cash_original!AT17)</f>
        <v>--</v>
      </c>
      <c r="AU17" s="4" t="str">
        <f>IF(ISNUMBER(cash_original!AU17),cash_original!AU17/100000000,cash_original!AU17)</f>
        <v>--</v>
      </c>
      <c r="AV17" s="3" t="s">
        <v>133</v>
      </c>
      <c r="AW17" s="3" t="s">
        <v>133</v>
      </c>
      <c r="AX17" s="3" t="s">
        <v>133</v>
      </c>
      <c r="AY17" s="3" t="s">
        <v>133</v>
      </c>
      <c r="AZ17" s="3" t="s">
        <v>133</v>
      </c>
      <c r="BA17" s="3" t="s">
        <v>133</v>
      </c>
      <c r="BB17" s="3" t="s">
        <v>133</v>
      </c>
      <c r="BC17" s="3" t="s">
        <v>133</v>
      </c>
      <c r="BD17" s="3" t="s">
        <v>133</v>
      </c>
      <c r="BE17" s="3" t="s">
        <v>133</v>
      </c>
      <c r="BF17" s="3" t="s">
        <v>133</v>
      </c>
      <c r="BG17" s="3" t="s">
        <v>133</v>
      </c>
      <c r="BH17" s="3" t="s">
        <v>133</v>
      </c>
      <c r="BI17" s="3" t="s">
        <v>133</v>
      </c>
      <c r="BJ17" s="3" t="s">
        <v>133</v>
      </c>
      <c r="BK17" s="3" t="s">
        <v>133</v>
      </c>
      <c r="BL17" s="3" t="s">
        <v>133</v>
      </c>
      <c r="BM17" s="3" t="s">
        <v>133</v>
      </c>
      <c r="BN17" s="3" t="s">
        <v>133</v>
      </c>
      <c r="BO17" s="3" t="s">
        <v>133</v>
      </c>
      <c r="BP17" s="3" t="s">
        <v>133</v>
      </c>
      <c r="BQ17" s="3" t="s">
        <v>133</v>
      </c>
      <c r="BR17" s="3" t="s">
        <v>133</v>
      </c>
      <c r="BS17" s="3" t="s">
        <v>133</v>
      </c>
      <c r="BT17" s="3" t="s">
        <v>133</v>
      </c>
    </row>
    <row r="18" spans="1:72" x14ac:dyDescent="0.25">
      <c r="A18" s="3" t="s">
        <v>177</v>
      </c>
      <c r="B18" s="4" t="str">
        <f>IF(ISNUMBER(cash_original!B18),cash_original!B18/100000000,cash_original!B18)</f>
        <v>--</v>
      </c>
      <c r="C18" s="4" t="str">
        <f>IF(ISNUMBER(cash_original!C18),cash_original!C18/100000000,cash_original!C18)</f>
        <v>--</v>
      </c>
      <c r="D18" s="4" t="str">
        <f>IF(ISNUMBER(cash_original!D18),cash_original!D18/100000000,cash_original!D18)</f>
        <v>--</v>
      </c>
      <c r="E18" s="4" t="str">
        <f>IF(ISNUMBER(cash_original!E18),cash_original!E18/100000000,cash_original!E18)</f>
        <v>--</v>
      </c>
      <c r="F18" s="4">
        <f>IF(ISNUMBER(cash_original!F18),cash_original!F18/100000000,cash_original!F18)</f>
        <v>3.2432999999999997E-2</v>
      </c>
      <c r="G18" s="4">
        <f>IF(ISNUMBER(cash_original!G18),cash_original!G18/100000000,cash_original!G18)</f>
        <v>3.4638000000000002E-2</v>
      </c>
      <c r="H18" s="4">
        <f>IF(ISNUMBER(cash_original!H18),cash_original!H18/100000000,cash_original!H18)</f>
        <v>6.1399999999999996E-3</v>
      </c>
      <c r="I18" s="4">
        <f>IF(ISNUMBER(cash_original!I18),cash_original!I18/100000000,cash_original!I18)</f>
        <v>2.8337000000000001E-2</v>
      </c>
      <c r="J18" s="4">
        <f>IF(ISNUMBER(cash_original!J18),cash_original!J18/100000000,cash_original!J18)</f>
        <v>7.5948000000000002E-2</v>
      </c>
      <c r="K18" s="4">
        <f>IF(ISNUMBER(cash_original!K18),cash_original!K18/100000000,cash_original!K18)</f>
        <v>6.6550000000000003E-3</v>
      </c>
      <c r="L18" s="4">
        <f>IF(ISNUMBER(cash_original!L18),cash_original!L18/100000000,cash_original!L18)</f>
        <v>1.5020000000000001E-3</v>
      </c>
      <c r="M18" s="4">
        <f>IF(ISNUMBER(cash_original!M18),cash_original!M18/100000000,cash_original!M18)</f>
        <v>3.3147000000000003E-2</v>
      </c>
      <c r="N18" s="4">
        <f>IF(ISNUMBER(cash_original!N18),cash_original!N18/100000000,cash_original!N18)</f>
        <v>6.8060000000000004E-3</v>
      </c>
      <c r="O18" s="4">
        <f>IF(ISNUMBER(cash_original!O18),cash_original!O18/100000000,cash_original!O18)</f>
        <v>4.0994999999999997E-2</v>
      </c>
      <c r="P18" s="4">
        <f>IF(ISNUMBER(cash_original!P18),cash_original!P18/100000000,cash_original!P18)</f>
        <v>0.13336000000000001</v>
      </c>
      <c r="Q18" s="4">
        <f>IF(ISNUMBER(cash_original!Q18),cash_original!Q18/100000000,cash_original!Q18)</f>
        <v>1.15E-3</v>
      </c>
      <c r="R18" s="4">
        <f>IF(ISNUMBER(cash_original!R18),cash_original!R18/100000000,cash_original!R18)</f>
        <v>1.491E-2</v>
      </c>
      <c r="S18" s="4">
        <f>IF(ISNUMBER(cash_original!S18),cash_original!S18/100000000,cash_original!S18)</f>
        <v>1.8030999999999998E-2</v>
      </c>
      <c r="T18" s="4">
        <f>IF(ISNUMBER(cash_original!T18),cash_original!T18/100000000,cash_original!T18)</f>
        <v>2.1533E-2</v>
      </c>
      <c r="U18" s="4">
        <f>IF(ISNUMBER(cash_original!U18),cash_original!U18/100000000,cash_original!U18)</f>
        <v>1.8551999999999999E-2</v>
      </c>
      <c r="V18" s="4">
        <f>IF(ISNUMBER(cash_original!V18),cash_original!V18/100000000,cash_original!V18)</f>
        <v>5.0624000000000002E-2</v>
      </c>
      <c r="W18" s="4">
        <f>IF(ISNUMBER(cash_original!W18),cash_original!W18/100000000,cash_original!W18)</f>
        <v>0.21347099999999999</v>
      </c>
      <c r="X18" s="4">
        <f>IF(ISNUMBER(cash_original!X18),cash_original!X18/100000000,cash_original!X18)</f>
        <v>5.0931999999999998E-2</v>
      </c>
      <c r="Y18" s="4">
        <f>IF(ISNUMBER(cash_original!Y18),cash_original!Y18/100000000,cash_original!Y18)</f>
        <v>1.7240999999999999E-2</v>
      </c>
      <c r="Z18" s="4" t="str">
        <f>IF(ISNUMBER(cash_original!Z18),cash_original!Z18/100000000,cash_original!Z18)</f>
        <v>--</v>
      </c>
      <c r="AA18" s="4">
        <f>IF(ISNUMBER(cash_original!AA18),cash_original!AA18/100000000,cash_original!AA18)</f>
        <v>0.16574</v>
      </c>
      <c r="AB18" s="4">
        <f>IF(ISNUMBER(cash_original!AB18),cash_original!AB18/100000000,cash_original!AB18)</f>
        <v>0.88428700000000005</v>
      </c>
      <c r="AC18" s="4">
        <f>IF(ISNUMBER(cash_original!AC18),cash_original!AC18/100000000,cash_original!AC18)</f>
        <v>1.1575200000000001</v>
      </c>
      <c r="AD18" s="4">
        <f>IF(ISNUMBER(cash_original!AD18),cash_original!AD18/100000000,cash_original!AD18)</f>
        <v>0.98266100000000001</v>
      </c>
      <c r="AE18" s="4">
        <f>IF(ISNUMBER(cash_original!AE18),cash_original!AE18/100000000,cash_original!AE18)</f>
        <v>1.342449</v>
      </c>
      <c r="AF18" s="4">
        <f>IF(ISNUMBER(cash_original!AF18),cash_original!AF18/100000000,cash_original!AF18)</f>
        <v>4.081232</v>
      </c>
      <c r="AG18" s="4">
        <f>IF(ISNUMBER(cash_original!AG18),cash_original!AG18/100000000,cash_original!AG18)</f>
        <v>1.532734</v>
      </c>
      <c r="AH18" s="4">
        <f>IF(ISNUMBER(cash_original!AH18),cash_original!AH18/100000000,cash_original!AH18)</f>
        <v>0.404449</v>
      </c>
      <c r="AI18" s="4" t="str">
        <f>IF(ISNUMBER(cash_original!AI18),cash_original!AI18/100000000,cash_original!AI18)</f>
        <v>--</v>
      </c>
      <c r="AJ18" s="4" t="str">
        <f>IF(ISNUMBER(cash_original!AJ18),cash_original!AJ18/100000000,cash_original!AJ18)</f>
        <v>--</v>
      </c>
      <c r="AK18" s="4">
        <f>IF(ISNUMBER(cash_original!AK18),cash_original!AK18/100000000,cash_original!AK18)</f>
        <v>1.3793200000000001</v>
      </c>
      <c r="AL18" s="4">
        <f>IF(ISNUMBER(cash_original!AL18),cash_original!AL18/100000000,cash_original!AL18)</f>
        <v>6.6545999999999994E-2</v>
      </c>
      <c r="AM18" s="4">
        <f>IF(ISNUMBER(cash_original!AM18),cash_original!AM18/100000000,cash_original!AM18)</f>
        <v>0.56747199999999998</v>
      </c>
      <c r="AN18" s="4">
        <f>IF(ISNUMBER(cash_original!AN18),cash_original!AN18/100000000,cash_original!AN18)</f>
        <v>0.112</v>
      </c>
      <c r="AO18" s="4">
        <f>IF(ISNUMBER(cash_original!AO18),cash_original!AO18/100000000,cash_original!AO18)</f>
        <v>-3.4659999999999999E-3</v>
      </c>
      <c r="AP18" s="4">
        <f>IF(ISNUMBER(cash_original!AP18),cash_original!AP18/100000000,cash_original!AP18)</f>
        <v>2.4820999999999999E-2</v>
      </c>
      <c r="AQ18" s="4" t="str">
        <f>IF(ISNUMBER(cash_original!AQ18),cash_original!AQ18/100000000,cash_original!AQ18)</f>
        <v>--</v>
      </c>
      <c r="AR18" s="4" t="str">
        <f>IF(ISNUMBER(cash_original!AR18),cash_original!AR18/100000000,cash_original!AR18)</f>
        <v>--</v>
      </c>
      <c r="AS18" s="4" t="str">
        <f>IF(ISNUMBER(cash_original!AS18),cash_original!AS18/100000000,cash_original!AS18)</f>
        <v>--</v>
      </c>
      <c r="AT18" s="4" t="str">
        <f>IF(ISNUMBER(cash_original!AT18),cash_original!AT18/100000000,cash_original!AT18)</f>
        <v>--</v>
      </c>
      <c r="AU18" s="4" t="str">
        <f>IF(ISNUMBER(cash_original!AU18),cash_original!AU18/100000000,cash_original!AU18)</f>
        <v>--</v>
      </c>
      <c r="AV18" s="3" t="s">
        <v>133</v>
      </c>
      <c r="AW18" s="3" t="s">
        <v>133</v>
      </c>
      <c r="AX18" s="3" t="s">
        <v>133</v>
      </c>
      <c r="AY18" s="3" t="s">
        <v>133</v>
      </c>
      <c r="AZ18" s="3" t="s">
        <v>133</v>
      </c>
      <c r="BA18" s="3" t="s">
        <v>133</v>
      </c>
      <c r="BB18" s="3" t="s">
        <v>133</v>
      </c>
      <c r="BC18" s="3" t="s">
        <v>133</v>
      </c>
      <c r="BD18" s="3" t="s">
        <v>133</v>
      </c>
      <c r="BE18" s="3" t="s">
        <v>133</v>
      </c>
      <c r="BF18" s="3" t="s">
        <v>133</v>
      </c>
      <c r="BG18" s="3" t="s">
        <v>133</v>
      </c>
      <c r="BH18" s="3" t="s">
        <v>133</v>
      </c>
      <c r="BI18" s="3" t="s">
        <v>133</v>
      </c>
      <c r="BJ18" s="3" t="s">
        <v>133</v>
      </c>
      <c r="BK18" s="3" t="s">
        <v>133</v>
      </c>
      <c r="BL18" s="3" t="s">
        <v>133</v>
      </c>
      <c r="BM18" s="3" t="s">
        <v>133</v>
      </c>
      <c r="BN18" s="3" t="s">
        <v>133</v>
      </c>
      <c r="BO18" s="3" t="s">
        <v>133</v>
      </c>
      <c r="BP18" s="3" t="s">
        <v>133</v>
      </c>
      <c r="BQ18" s="3" t="s">
        <v>133</v>
      </c>
      <c r="BR18" s="3" t="s">
        <v>133</v>
      </c>
      <c r="BS18" s="3" t="s">
        <v>133</v>
      </c>
      <c r="BT18" s="3" t="s">
        <v>133</v>
      </c>
    </row>
    <row r="19" spans="1:72" x14ac:dyDescent="0.25">
      <c r="A19" s="3" t="s">
        <v>178</v>
      </c>
      <c r="B19" s="4" t="str">
        <f>IF(ISNUMBER(cash_original!B19),cash_original!B19/100000000,cash_original!B19)</f>
        <v>--</v>
      </c>
      <c r="C19" s="4" t="str">
        <f>IF(ISNUMBER(cash_original!C19),cash_original!C19/100000000,cash_original!C19)</f>
        <v>--</v>
      </c>
      <c r="D19" s="4" t="str">
        <f>IF(ISNUMBER(cash_original!D19),cash_original!D19/100000000,cash_original!D19)</f>
        <v>--</v>
      </c>
      <c r="E19" s="4">
        <f>IF(ISNUMBER(cash_original!E19),cash_original!E19/100000000,cash_original!E19)</f>
        <v>3.8079999999999999E-4</v>
      </c>
      <c r="F19" s="4">
        <f>IF(ISNUMBER(cash_original!F19),cash_original!F19/100000000,cash_original!F19)</f>
        <v>3.2433313999999998E-2</v>
      </c>
      <c r="G19" s="4">
        <f>IF(ISNUMBER(cash_original!G19),cash_original!G19/100000000,cash_original!G19)</f>
        <v>3.4637639999999997E-2</v>
      </c>
      <c r="H19" s="4">
        <f>IF(ISNUMBER(cash_original!H19),cash_original!H19/100000000,cash_original!H19)</f>
        <v>6.1397500000000002E-3</v>
      </c>
      <c r="I19" s="4">
        <f>IF(ISNUMBER(cash_original!I19),cash_original!I19/100000000,cash_original!I19)</f>
        <v>2.8336500000000001E-2</v>
      </c>
      <c r="J19" s="4">
        <f>IF(ISNUMBER(cash_original!J19),cash_original!J19/100000000,cash_original!J19)</f>
        <v>7.5948242999999999E-2</v>
      </c>
      <c r="K19" s="4">
        <f>IF(ISNUMBER(cash_original!K19),cash_original!K19/100000000,cash_original!K19)</f>
        <v>6.65477E-3</v>
      </c>
      <c r="L19" s="4">
        <f>IF(ISNUMBER(cash_original!L19),cash_original!L19/100000000,cash_original!L19)</f>
        <v>1.5023E-3</v>
      </c>
      <c r="M19" s="4">
        <f>IF(ISNUMBER(cash_original!M19),cash_original!M19/100000000,cash_original!M19)</f>
        <v>3.3146616000000004E-2</v>
      </c>
      <c r="N19" s="4">
        <f>IF(ISNUMBER(cash_original!N19),cash_original!N19/100000000,cash_original!N19)</f>
        <v>6.9702999999999996E-3</v>
      </c>
      <c r="O19" s="4">
        <f>IF(ISNUMBER(cash_original!O19),cash_original!O19/100000000,cash_original!O19)</f>
        <v>4.0994762900000002E-2</v>
      </c>
      <c r="P19" s="4">
        <f>IF(ISNUMBER(cash_original!P19),cash_original!P19/100000000,cash_original!P19)</f>
        <v>0.13335955060000002</v>
      </c>
      <c r="Q19" s="4">
        <f>IF(ISNUMBER(cash_original!Q19),cash_original!Q19/100000000,cash_original!Q19)</f>
        <v>1.3189969000000001E-3</v>
      </c>
      <c r="R19" s="4">
        <f>IF(ISNUMBER(cash_original!R19),cash_original!R19/100000000,cash_original!R19)</f>
        <v>1.4922940900000001E-2</v>
      </c>
      <c r="S19" s="4">
        <f>IF(ISNUMBER(cash_original!S19),cash_original!S19/100000000,cash_original!S19)</f>
        <v>1.7596048E-2</v>
      </c>
      <c r="T19" s="4">
        <f>IF(ISNUMBER(cash_original!T19),cash_original!T19/100000000,cash_original!T19)</f>
        <v>2.2706371099999997E-2</v>
      </c>
      <c r="U19" s="4">
        <f>IF(ISNUMBER(cash_original!U19),cash_original!U19/100000000,cash_original!U19)</f>
        <v>0.1067714639</v>
      </c>
      <c r="V19" s="4">
        <f>IF(ISNUMBER(cash_original!V19),cash_original!V19/100000000,cash_original!V19)</f>
        <v>0.55590443239999998</v>
      </c>
      <c r="W19" s="4">
        <f>IF(ISNUMBER(cash_original!W19),cash_original!W19/100000000,cash_original!W19)</f>
        <v>0.2435705276</v>
      </c>
      <c r="X19" s="4">
        <f>IF(ISNUMBER(cash_original!X19),cash_original!X19/100000000,cash_original!X19)</f>
        <v>0.154253531</v>
      </c>
      <c r="Y19" s="4">
        <f>IF(ISNUMBER(cash_original!Y19),cash_original!Y19/100000000,cash_original!Y19)</f>
        <v>0.15988660139999999</v>
      </c>
      <c r="Z19" s="4" t="str">
        <f>IF(ISNUMBER(cash_original!Z19),cash_original!Z19/100000000,cash_original!Z19)</f>
        <v>--</v>
      </c>
      <c r="AA19" s="4">
        <f>IF(ISNUMBER(cash_original!AA19),cash_original!AA19/100000000,cash_original!AA19)</f>
        <v>0.20458261999999999</v>
      </c>
      <c r="AB19" s="4">
        <f>IF(ISNUMBER(cash_original!AB19),cash_original!AB19/100000000,cash_original!AB19)</f>
        <v>0.88602135000000004</v>
      </c>
      <c r="AC19" s="4">
        <f>IF(ISNUMBER(cash_original!AC19),cash_original!AC19/100000000,cash_original!AC19)</f>
        <v>1.1575201304</v>
      </c>
      <c r="AD19" s="4">
        <f>IF(ISNUMBER(cash_original!AD19),cash_original!AD19/100000000,cash_original!AD19)</f>
        <v>0.98266089629999998</v>
      </c>
      <c r="AE19" s="4">
        <f>IF(ISNUMBER(cash_original!AE19),cash_original!AE19/100000000,cash_original!AE19)</f>
        <v>1.3725488246999999</v>
      </c>
      <c r="AF19" s="4">
        <f>IF(ISNUMBER(cash_original!AF19),cash_original!AF19/100000000,cash_original!AF19)</f>
        <v>4.0812324950000001</v>
      </c>
      <c r="AG19" s="4">
        <f>IF(ISNUMBER(cash_original!AG19),cash_original!AG19/100000000,cash_original!AG19)</f>
        <v>1.5335241093</v>
      </c>
      <c r="AH19" s="4">
        <f>IF(ISNUMBER(cash_original!AH19),cash_original!AH19/100000000,cash_original!AH19)</f>
        <v>0.4044486357</v>
      </c>
      <c r="AI19" s="4">
        <f>IF(ISNUMBER(cash_original!AI19),cash_original!AI19/100000000,cash_original!AI19)</f>
        <v>1.495912935</v>
      </c>
      <c r="AJ19" s="4">
        <f>IF(ISNUMBER(cash_original!AJ19),cash_original!AJ19/100000000,cash_original!AJ19)</f>
        <v>0.11119</v>
      </c>
      <c r="AK19" s="4">
        <f>IF(ISNUMBER(cash_original!AK19),cash_original!AK19/100000000,cash_original!AK19)</f>
        <v>1.3793357702000002</v>
      </c>
      <c r="AL19" s="4">
        <f>IF(ISNUMBER(cash_original!AL19),cash_original!AL19/100000000,cash_original!AL19)</f>
        <v>6.6546465499999999E-2</v>
      </c>
      <c r="AM19" s="4">
        <f>IF(ISNUMBER(cash_original!AM19),cash_original!AM19/100000000,cash_original!AM19)</f>
        <v>0.59757225979999995</v>
      </c>
      <c r="AN19" s="4">
        <f>IF(ISNUMBER(cash_original!AN19),cash_original!AN19/100000000,cash_original!AN19)</f>
        <v>0.11239977289999999</v>
      </c>
      <c r="AO19" s="4">
        <f>IF(ISNUMBER(cash_original!AO19),cash_original!AO19/100000000,cash_original!AO19)</f>
        <v>-3.4660269E-3</v>
      </c>
      <c r="AP19" s="4">
        <f>IF(ISNUMBER(cash_original!AP19),cash_original!AP19/100000000,cash_original!AP19)</f>
        <v>2.4821062000000001E-2</v>
      </c>
      <c r="AQ19" s="4">
        <f>IF(ISNUMBER(cash_original!AQ19),cash_original!AQ19/100000000,cash_original!AQ19)</f>
        <v>0.54180223000000005</v>
      </c>
      <c r="AR19" s="4">
        <f>IF(ISNUMBER(cash_original!AR19),cash_original!AR19/100000000,cash_original!AR19)</f>
        <v>0.18731400000000001</v>
      </c>
      <c r="AS19" s="4" t="str">
        <f>IF(ISNUMBER(cash_original!AS19),cash_original!AS19/100000000,cash_original!AS19)</f>
        <v>--</v>
      </c>
      <c r="AT19" s="4" t="str">
        <f>IF(ISNUMBER(cash_original!AT19),cash_original!AT19/100000000,cash_original!AT19)</f>
        <v>--</v>
      </c>
      <c r="AU19" s="4" t="str">
        <f>IF(ISNUMBER(cash_original!AU19),cash_original!AU19/100000000,cash_original!AU19)</f>
        <v>--</v>
      </c>
      <c r="AV19" s="3" t="s">
        <v>133</v>
      </c>
      <c r="AW19" s="3" t="s">
        <v>133</v>
      </c>
      <c r="AX19" s="3">
        <v>50000</v>
      </c>
      <c r="AY19" s="3" t="s">
        <v>133</v>
      </c>
      <c r="AZ19" s="3">
        <v>23123100</v>
      </c>
      <c r="BA19" s="3" t="s">
        <v>133</v>
      </c>
      <c r="BB19" s="3" t="s">
        <v>133</v>
      </c>
      <c r="BC19" s="3" t="s">
        <v>133</v>
      </c>
      <c r="BD19" s="3" t="s">
        <v>133</v>
      </c>
      <c r="BE19" s="3" t="s">
        <v>133</v>
      </c>
      <c r="BF19" s="3" t="s">
        <v>133</v>
      </c>
      <c r="BG19" s="3" t="s">
        <v>133</v>
      </c>
      <c r="BH19" s="3" t="s">
        <v>133</v>
      </c>
      <c r="BI19" s="3" t="s">
        <v>133</v>
      </c>
      <c r="BJ19" s="3" t="s">
        <v>133</v>
      </c>
      <c r="BK19" s="3" t="s">
        <v>133</v>
      </c>
      <c r="BL19" s="3" t="s">
        <v>133</v>
      </c>
      <c r="BM19" s="3" t="s">
        <v>133</v>
      </c>
      <c r="BN19" s="3" t="s">
        <v>133</v>
      </c>
      <c r="BO19" s="3" t="s">
        <v>133</v>
      </c>
      <c r="BP19" s="3" t="s">
        <v>133</v>
      </c>
      <c r="BQ19" s="3" t="s">
        <v>133</v>
      </c>
      <c r="BR19" s="3" t="s">
        <v>133</v>
      </c>
      <c r="BS19" s="3" t="s">
        <v>133</v>
      </c>
      <c r="BT19" s="3" t="s">
        <v>133</v>
      </c>
    </row>
    <row r="20" spans="1:72" x14ac:dyDescent="0.25">
      <c r="A20" s="3" t="s">
        <v>19</v>
      </c>
      <c r="B20" s="4">
        <f>IF(ISNUMBER(cash_original!B20),cash_original!B20/100000000,cash_original!B20)</f>
        <v>6.5088600000000003</v>
      </c>
      <c r="C20" s="4">
        <f>IF(ISNUMBER(cash_original!C20),cash_original!C20/100000000,cash_original!C20)</f>
        <v>5.4980450000000003</v>
      </c>
      <c r="D20" s="4">
        <f>IF(ISNUMBER(cash_original!D20),cash_original!D20/100000000,cash_original!D20)</f>
        <v>4.1446240000000003</v>
      </c>
      <c r="E20" s="4">
        <f>IF(ISNUMBER(cash_original!E20),cash_original!E20/100000000,cash_original!E20)</f>
        <v>11.208252999999999</v>
      </c>
      <c r="F20" s="4">
        <f>IF(ISNUMBER(cash_original!F20),cash_original!F20/100000000,cash_original!F20)</f>
        <v>9.0324740000000006</v>
      </c>
      <c r="G20" s="4">
        <f>IF(ISNUMBER(cash_original!G20),cash_original!G20/100000000,cash_original!G20)</f>
        <v>5.1530959999999997</v>
      </c>
      <c r="H20" s="4">
        <f>IF(ISNUMBER(cash_original!H20),cash_original!H20/100000000,cash_original!H20)</f>
        <v>6.094824</v>
      </c>
      <c r="I20" s="4">
        <f>IF(ISNUMBER(cash_original!I20),cash_original!I20/100000000,cash_original!I20)</f>
        <v>5.9027229999999999</v>
      </c>
      <c r="J20" s="4">
        <f>IF(ISNUMBER(cash_original!J20),cash_original!J20/100000000,cash_original!J20)</f>
        <v>2.9983810000000002</v>
      </c>
      <c r="K20" s="4">
        <f>IF(ISNUMBER(cash_original!K20),cash_original!K20/100000000,cash_original!K20)</f>
        <v>1.42001</v>
      </c>
      <c r="L20" s="4">
        <f>IF(ISNUMBER(cash_original!L20),cash_original!L20/100000000,cash_original!L20)</f>
        <v>5.7463889999999997</v>
      </c>
      <c r="M20" s="4">
        <f>IF(ISNUMBER(cash_original!M20),cash_original!M20/100000000,cash_original!M20)</f>
        <v>3.6802269999999999</v>
      </c>
      <c r="N20" s="4">
        <f>IF(ISNUMBER(cash_original!N20),cash_original!N20/100000000,cash_original!N20)</f>
        <v>2.7599520000000002</v>
      </c>
      <c r="O20" s="4">
        <f>IF(ISNUMBER(cash_original!O20),cash_original!O20/100000000,cash_original!O20)</f>
        <v>1.7363</v>
      </c>
      <c r="P20" s="4">
        <f>IF(ISNUMBER(cash_original!P20),cash_original!P20/100000000,cash_original!P20)</f>
        <v>3.073693</v>
      </c>
      <c r="Q20" s="4">
        <f>IF(ISNUMBER(cash_original!Q20),cash_original!Q20/100000000,cash_original!Q20)</f>
        <v>2.4390890000000001</v>
      </c>
      <c r="R20" s="4">
        <f>IF(ISNUMBER(cash_original!R20),cash_original!R20/100000000,cash_original!R20)</f>
        <v>2.786632</v>
      </c>
      <c r="S20" s="4">
        <f>IF(ISNUMBER(cash_original!S20),cash_original!S20/100000000,cash_original!S20)</f>
        <v>1.2951950000000001</v>
      </c>
      <c r="T20" s="4">
        <f>IF(ISNUMBER(cash_original!T20),cash_original!T20/100000000,cash_original!T20)</f>
        <v>3.6708660000000002</v>
      </c>
      <c r="U20" s="4">
        <f>IF(ISNUMBER(cash_original!U20),cash_original!U20/100000000,cash_original!U20)</f>
        <v>2.5066030000000001</v>
      </c>
      <c r="V20" s="4">
        <f>IF(ISNUMBER(cash_original!V20),cash_original!V20/100000000,cash_original!V20)</f>
        <v>5.3490279999999997</v>
      </c>
      <c r="W20" s="4">
        <f>IF(ISNUMBER(cash_original!W20),cash_original!W20/100000000,cash_original!W20)</f>
        <v>4.1017700000000001</v>
      </c>
      <c r="X20" s="4">
        <f>IF(ISNUMBER(cash_original!X20),cash_original!X20/100000000,cash_original!X20)</f>
        <v>8.6573030000000006</v>
      </c>
      <c r="Y20" s="4">
        <f>IF(ISNUMBER(cash_original!Y20),cash_original!Y20/100000000,cash_original!Y20)</f>
        <v>7.3265929999999999</v>
      </c>
      <c r="Z20" s="4">
        <f>IF(ISNUMBER(cash_original!Z20),cash_original!Z20/100000000,cash_original!Z20)</f>
        <v>8.522907</v>
      </c>
      <c r="AA20" s="4">
        <f>IF(ISNUMBER(cash_original!AA20),cash_original!AA20/100000000,cash_original!AA20)</f>
        <v>8.2114720000000005</v>
      </c>
      <c r="AB20" s="4">
        <f>IF(ISNUMBER(cash_original!AB20),cash_original!AB20/100000000,cash_original!AB20)</f>
        <v>20.249679</v>
      </c>
      <c r="AC20" s="4">
        <f>IF(ISNUMBER(cash_original!AC20),cash_original!AC20/100000000,cash_original!AC20)</f>
        <v>14.610771</v>
      </c>
      <c r="AD20" s="4">
        <f>IF(ISNUMBER(cash_original!AD20),cash_original!AD20/100000000,cash_original!AD20)</f>
        <v>14.174670000000001</v>
      </c>
      <c r="AE20" s="4">
        <f>IF(ISNUMBER(cash_original!AE20),cash_original!AE20/100000000,cash_original!AE20)</f>
        <v>14.022569000000001</v>
      </c>
      <c r="AF20" s="4">
        <f>IF(ISNUMBER(cash_original!AF20),cash_original!AF20/100000000,cash_original!AF20)</f>
        <v>11.249390999999999</v>
      </c>
      <c r="AG20" s="4">
        <f>IF(ISNUMBER(cash_original!AG20),cash_original!AG20/100000000,cash_original!AG20)</f>
        <v>11.700918</v>
      </c>
      <c r="AH20" s="4">
        <f>IF(ISNUMBER(cash_original!AH20),cash_original!AH20/100000000,cash_original!AH20)</f>
        <v>13.404916999999999</v>
      </c>
      <c r="AI20" s="4">
        <f>IF(ISNUMBER(cash_original!AI20),cash_original!AI20/100000000,cash_original!AI20)</f>
        <v>10.225021999999999</v>
      </c>
      <c r="AJ20" s="4">
        <f>IF(ISNUMBER(cash_original!AJ20),cash_original!AJ20/100000000,cash_original!AJ20)</f>
        <v>6.7881499999999999</v>
      </c>
      <c r="AK20" s="4">
        <f>IF(ISNUMBER(cash_original!AK20),cash_original!AK20/100000000,cash_original!AK20)</f>
        <v>9.5022300000000008</v>
      </c>
      <c r="AL20" s="4">
        <f>IF(ISNUMBER(cash_original!AL20),cash_original!AL20/100000000,cash_original!AL20)</f>
        <v>4.8725009999999997</v>
      </c>
      <c r="AM20" s="4">
        <f>IF(ISNUMBER(cash_original!AM20),cash_original!AM20/100000000,cash_original!AM20)</f>
        <v>4.4636360000000002</v>
      </c>
      <c r="AN20" s="4">
        <f>IF(ISNUMBER(cash_original!AN20),cash_original!AN20/100000000,cash_original!AN20)</f>
        <v>3.0069149999999998</v>
      </c>
      <c r="AO20" s="4">
        <f>IF(ISNUMBER(cash_original!AO20),cash_original!AO20/100000000,cash_original!AO20)</f>
        <v>3.3769209999999998</v>
      </c>
      <c r="AP20" s="4">
        <f>IF(ISNUMBER(cash_original!AP20),cash_original!AP20/100000000,cash_original!AP20)</f>
        <v>3.145594</v>
      </c>
      <c r="AQ20" s="4">
        <f>IF(ISNUMBER(cash_original!AQ20),cash_original!AQ20/100000000,cash_original!AQ20)</f>
        <v>6.1062279999999998</v>
      </c>
      <c r="AR20" s="4">
        <f>IF(ISNUMBER(cash_original!AR20),cash_original!AR20/100000000,cash_original!AR20)</f>
        <v>4.6903949999999996</v>
      </c>
      <c r="AS20" s="4">
        <f>IF(ISNUMBER(cash_original!AS20),cash_original!AS20/100000000,cash_original!AS20)</f>
        <v>2.9810059999999998</v>
      </c>
      <c r="AT20" s="4">
        <f>IF(ISNUMBER(cash_original!AT20),cash_original!AT20/100000000,cash_original!AT20)</f>
        <v>3.6948319999999999</v>
      </c>
      <c r="AU20" s="4">
        <f>IF(ISNUMBER(cash_original!AU20),cash_original!AU20/100000000,cash_original!AU20)</f>
        <v>4.0013870000000002</v>
      </c>
      <c r="AV20" s="3">
        <v>288879000</v>
      </c>
      <c r="AW20" s="3">
        <v>366866400</v>
      </c>
      <c r="AX20" s="3">
        <v>234085100</v>
      </c>
      <c r="AY20" s="3">
        <v>235117900</v>
      </c>
      <c r="AZ20" s="3">
        <v>174666400</v>
      </c>
      <c r="BA20" s="3">
        <v>226872900</v>
      </c>
      <c r="BB20" s="3">
        <v>213080700</v>
      </c>
      <c r="BC20" s="3">
        <v>149844300</v>
      </c>
      <c r="BD20" s="3">
        <v>182658800</v>
      </c>
      <c r="BE20" s="3">
        <v>193140500</v>
      </c>
      <c r="BF20" s="3">
        <v>232377000</v>
      </c>
      <c r="BG20" s="3">
        <v>207130100</v>
      </c>
      <c r="BH20" s="3">
        <v>104817300</v>
      </c>
      <c r="BI20" s="3">
        <v>152212400</v>
      </c>
      <c r="BJ20" s="3">
        <v>145951200</v>
      </c>
      <c r="BK20" s="3">
        <v>140690900</v>
      </c>
      <c r="BL20" s="3">
        <v>101989200</v>
      </c>
      <c r="BM20" s="3">
        <v>126999100</v>
      </c>
      <c r="BN20" s="3">
        <v>89864200</v>
      </c>
      <c r="BO20" s="3">
        <v>64822800</v>
      </c>
      <c r="BP20" s="3">
        <v>73503900</v>
      </c>
      <c r="BQ20" s="3">
        <v>35016700</v>
      </c>
      <c r="BR20" s="3">
        <v>98629700</v>
      </c>
      <c r="BS20" s="3">
        <v>94583700</v>
      </c>
      <c r="BT20" s="3">
        <v>106650500</v>
      </c>
    </row>
    <row r="21" spans="1:72" x14ac:dyDescent="0.25">
      <c r="A21" s="3" t="s">
        <v>179</v>
      </c>
      <c r="B21" s="4" t="str">
        <f>IF(ISNUMBER(cash_original!B21),cash_original!B21/100000000,cash_original!B21)</f>
        <v>--</v>
      </c>
      <c r="C21" s="4" t="str">
        <f>IF(ISNUMBER(cash_original!C21),cash_original!C21/100000000,cash_original!C21)</f>
        <v>--</v>
      </c>
      <c r="D21" s="4" t="str">
        <f>IF(ISNUMBER(cash_original!D21),cash_original!D21/100000000,cash_original!D21)</f>
        <v>--</v>
      </c>
      <c r="E21" s="4" t="str">
        <f>IF(ISNUMBER(cash_original!E21),cash_original!E21/100000000,cash_original!E21)</f>
        <v>--</v>
      </c>
      <c r="F21" s="4" t="str">
        <f>IF(ISNUMBER(cash_original!F21),cash_original!F21/100000000,cash_original!F21)</f>
        <v>--</v>
      </c>
      <c r="G21" s="4" t="str">
        <f>IF(ISNUMBER(cash_original!G21),cash_original!G21/100000000,cash_original!G21)</f>
        <v>--</v>
      </c>
      <c r="H21" s="4" t="str">
        <f>IF(ISNUMBER(cash_original!H21),cash_original!H21/100000000,cash_original!H21)</f>
        <v>--</v>
      </c>
      <c r="I21" s="4" t="str">
        <f>IF(ISNUMBER(cash_original!I21),cash_original!I21/100000000,cash_original!I21)</f>
        <v>--</v>
      </c>
      <c r="J21" s="4" t="str">
        <f>IF(ISNUMBER(cash_original!J21),cash_original!J21/100000000,cash_original!J21)</f>
        <v>--</v>
      </c>
      <c r="K21" s="4" t="str">
        <f>IF(ISNUMBER(cash_original!K21),cash_original!K21/100000000,cash_original!K21)</f>
        <v>--</v>
      </c>
      <c r="L21" s="4" t="str">
        <f>IF(ISNUMBER(cash_original!L21),cash_original!L21/100000000,cash_original!L21)</f>
        <v>--</v>
      </c>
      <c r="M21" s="4" t="str">
        <f>IF(ISNUMBER(cash_original!M21),cash_original!M21/100000000,cash_original!M21)</f>
        <v>--</v>
      </c>
      <c r="N21" s="4" t="str">
        <f>IF(ISNUMBER(cash_original!N21),cash_original!N21/100000000,cash_original!N21)</f>
        <v>--</v>
      </c>
      <c r="O21" s="4" t="str">
        <f>IF(ISNUMBER(cash_original!O21),cash_original!O21/100000000,cash_original!O21)</f>
        <v>--</v>
      </c>
      <c r="P21" s="4" t="str">
        <f>IF(ISNUMBER(cash_original!P21),cash_original!P21/100000000,cash_original!P21)</f>
        <v>--</v>
      </c>
      <c r="Q21" s="4" t="str">
        <f>IF(ISNUMBER(cash_original!Q21),cash_original!Q21/100000000,cash_original!Q21)</f>
        <v>--</v>
      </c>
      <c r="R21" s="4" t="str">
        <f>IF(ISNUMBER(cash_original!R21),cash_original!R21/100000000,cash_original!R21)</f>
        <v>--</v>
      </c>
      <c r="S21" s="4" t="str">
        <f>IF(ISNUMBER(cash_original!S21),cash_original!S21/100000000,cash_original!S21)</f>
        <v>--</v>
      </c>
      <c r="T21" s="4" t="str">
        <f>IF(ISNUMBER(cash_original!T21),cash_original!T21/100000000,cash_original!T21)</f>
        <v>--</v>
      </c>
      <c r="U21" s="4">
        <f>IF(ISNUMBER(cash_original!U21),cash_original!U21/100000000,cash_original!U21)</f>
        <v>5.0000000000000001E-4</v>
      </c>
      <c r="V21" s="4" t="str">
        <f>IF(ISNUMBER(cash_original!V21),cash_original!V21/100000000,cash_original!V21)</f>
        <v>--</v>
      </c>
      <c r="W21" s="4" t="str">
        <f>IF(ISNUMBER(cash_original!W21),cash_original!W21/100000000,cash_original!W21)</f>
        <v>--</v>
      </c>
      <c r="X21" s="4" t="str">
        <f>IF(ISNUMBER(cash_original!X21),cash_original!X21/100000000,cash_original!X21)</f>
        <v>--</v>
      </c>
      <c r="Y21" s="4" t="str">
        <f>IF(ISNUMBER(cash_original!Y21),cash_original!Y21/100000000,cash_original!Y21)</f>
        <v>--</v>
      </c>
      <c r="Z21" s="4" t="str">
        <f>IF(ISNUMBER(cash_original!Z21),cash_original!Z21/100000000,cash_original!Z21)</f>
        <v>--</v>
      </c>
      <c r="AA21" s="4" t="str">
        <f>IF(ISNUMBER(cash_original!AA21),cash_original!AA21/100000000,cash_original!AA21)</f>
        <v>--</v>
      </c>
      <c r="AB21" s="4" t="str">
        <f>IF(ISNUMBER(cash_original!AB21),cash_original!AB21/100000000,cash_original!AB21)</f>
        <v>--</v>
      </c>
      <c r="AC21" s="4" t="str">
        <f>IF(ISNUMBER(cash_original!AC21),cash_original!AC21/100000000,cash_original!AC21)</f>
        <v>--</v>
      </c>
      <c r="AD21" s="4" t="str">
        <f>IF(ISNUMBER(cash_original!AD21),cash_original!AD21/100000000,cash_original!AD21)</f>
        <v>--</v>
      </c>
      <c r="AE21" s="4" t="str">
        <f>IF(ISNUMBER(cash_original!AE21),cash_original!AE21/100000000,cash_original!AE21)</f>
        <v>--</v>
      </c>
      <c r="AF21" s="4" t="str">
        <f>IF(ISNUMBER(cash_original!AF21),cash_original!AF21/100000000,cash_original!AF21)</f>
        <v>--</v>
      </c>
      <c r="AG21" s="4" t="str">
        <f>IF(ISNUMBER(cash_original!AG21),cash_original!AG21/100000000,cash_original!AG21)</f>
        <v>--</v>
      </c>
      <c r="AH21" s="4" t="str">
        <f>IF(ISNUMBER(cash_original!AH21),cash_original!AH21/100000000,cash_original!AH21)</f>
        <v>--</v>
      </c>
      <c r="AI21" s="4" t="str">
        <f>IF(ISNUMBER(cash_original!AI21),cash_original!AI21/100000000,cash_original!AI21)</f>
        <v>--</v>
      </c>
      <c r="AJ21" s="4" t="str">
        <f>IF(ISNUMBER(cash_original!AJ21),cash_original!AJ21/100000000,cash_original!AJ21)</f>
        <v>--</v>
      </c>
      <c r="AK21" s="4" t="str">
        <f>IF(ISNUMBER(cash_original!AK21),cash_original!AK21/100000000,cash_original!AK21)</f>
        <v>--</v>
      </c>
      <c r="AL21" s="4" t="str">
        <f>IF(ISNUMBER(cash_original!AL21),cash_original!AL21/100000000,cash_original!AL21)</f>
        <v>--</v>
      </c>
      <c r="AM21" s="4" t="str">
        <f>IF(ISNUMBER(cash_original!AM21),cash_original!AM21/100000000,cash_original!AM21)</f>
        <v>--</v>
      </c>
      <c r="AN21" s="4" t="str">
        <f>IF(ISNUMBER(cash_original!AN21),cash_original!AN21/100000000,cash_original!AN21)</f>
        <v>--</v>
      </c>
      <c r="AO21" s="4" t="str">
        <f>IF(ISNUMBER(cash_original!AO21),cash_original!AO21/100000000,cash_original!AO21)</f>
        <v>--</v>
      </c>
      <c r="AP21" s="4" t="str">
        <f>IF(ISNUMBER(cash_original!AP21),cash_original!AP21/100000000,cash_original!AP21)</f>
        <v>--</v>
      </c>
      <c r="AQ21" s="4" t="str">
        <f>IF(ISNUMBER(cash_original!AQ21),cash_original!AQ21/100000000,cash_original!AQ21)</f>
        <v>--</v>
      </c>
      <c r="AR21" s="4" t="str">
        <f>IF(ISNUMBER(cash_original!AR21),cash_original!AR21/100000000,cash_original!AR21)</f>
        <v>--</v>
      </c>
      <c r="AS21" s="4" t="str">
        <f>IF(ISNUMBER(cash_original!AS21),cash_original!AS21/100000000,cash_original!AS21)</f>
        <v>--</v>
      </c>
      <c r="AT21" s="4" t="str">
        <f>IF(ISNUMBER(cash_original!AT21),cash_original!AT21/100000000,cash_original!AT21)</f>
        <v>--</v>
      </c>
      <c r="AU21" s="4" t="str">
        <f>IF(ISNUMBER(cash_original!AU21),cash_original!AU21/100000000,cash_original!AU21)</f>
        <v>--</v>
      </c>
      <c r="AV21" s="3">
        <v>10000000</v>
      </c>
      <c r="AW21" s="3" t="s">
        <v>133</v>
      </c>
      <c r="AX21" s="3" t="s">
        <v>133</v>
      </c>
      <c r="AY21" s="3" t="s">
        <v>133</v>
      </c>
      <c r="AZ21" s="3" t="s">
        <v>133</v>
      </c>
      <c r="BA21" s="3" t="s">
        <v>133</v>
      </c>
      <c r="BB21" s="3" t="s">
        <v>133</v>
      </c>
      <c r="BC21" s="3" t="s">
        <v>133</v>
      </c>
      <c r="BD21" s="3">
        <v>17000000</v>
      </c>
      <c r="BE21" s="3" t="s">
        <v>133</v>
      </c>
      <c r="BF21" s="3" t="s">
        <v>133</v>
      </c>
      <c r="BG21" s="3" t="s">
        <v>133</v>
      </c>
      <c r="BH21" s="3" t="s">
        <v>133</v>
      </c>
      <c r="BI21" s="3" t="s">
        <v>133</v>
      </c>
      <c r="BJ21" s="3" t="s">
        <v>133</v>
      </c>
      <c r="BK21" s="3" t="s">
        <v>133</v>
      </c>
      <c r="BL21" s="3" t="s">
        <v>133</v>
      </c>
      <c r="BM21" s="3" t="s">
        <v>133</v>
      </c>
      <c r="BN21" s="3" t="s">
        <v>133</v>
      </c>
      <c r="BO21" s="3" t="s">
        <v>133</v>
      </c>
      <c r="BP21" s="3" t="s">
        <v>133</v>
      </c>
      <c r="BQ21" s="3" t="s">
        <v>133</v>
      </c>
      <c r="BR21" s="3" t="s">
        <v>133</v>
      </c>
      <c r="BS21" s="3" t="s">
        <v>133</v>
      </c>
      <c r="BT21" s="3" t="s">
        <v>133</v>
      </c>
    </row>
    <row r="22" spans="1:72" x14ac:dyDescent="0.25">
      <c r="A22" s="3" t="s">
        <v>180</v>
      </c>
      <c r="B22" s="4">
        <f>IF(ISNUMBER(cash_original!B22),cash_original!B22/100000000,cash_original!B22)</f>
        <v>4.8598000000000002E-2</v>
      </c>
      <c r="C22" s="4">
        <f>IF(ISNUMBER(cash_original!C22),cash_original!C22/100000000,cash_original!C22)</f>
        <v>3.0144000000000001E-2</v>
      </c>
      <c r="D22" s="4">
        <f>IF(ISNUMBER(cash_original!D22),cash_original!D22/100000000,cash_original!D22)</f>
        <v>5.7629E-2</v>
      </c>
      <c r="E22" s="4">
        <f>IF(ISNUMBER(cash_original!E22),cash_original!E22/100000000,cash_original!E22)</f>
        <v>4.6283999999999999E-2</v>
      </c>
      <c r="F22" s="4">
        <f>IF(ISNUMBER(cash_original!F22),cash_original!F22/100000000,cash_original!F22)</f>
        <v>3.8824999999999998E-2</v>
      </c>
      <c r="G22" s="4">
        <f>IF(ISNUMBER(cash_original!G22),cash_original!G22/100000000,cash_original!G22)</f>
        <v>6.234E-2</v>
      </c>
      <c r="H22" s="4">
        <f>IF(ISNUMBER(cash_original!H22),cash_original!H22/100000000,cash_original!H22)</f>
        <v>9.4353999999999993E-2</v>
      </c>
      <c r="I22" s="4">
        <f>IF(ISNUMBER(cash_original!I22),cash_original!I22/100000000,cash_original!I22)</f>
        <v>0.184002</v>
      </c>
      <c r="J22" s="4">
        <f>IF(ISNUMBER(cash_original!J22),cash_original!J22/100000000,cash_original!J22)</f>
        <v>-8.9011999999999994E-2</v>
      </c>
      <c r="K22" s="4">
        <f>IF(ISNUMBER(cash_original!K22),cash_original!K22/100000000,cash_original!K22)</f>
        <v>6.5351999999999993E-2</v>
      </c>
      <c r="L22" s="4">
        <f>IF(ISNUMBER(cash_original!L22),cash_original!L22/100000000,cash_original!L22)</f>
        <v>0.17422299999999999</v>
      </c>
      <c r="M22" s="4">
        <f>IF(ISNUMBER(cash_original!M22),cash_original!M22/100000000,cash_original!M22)</f>
        <v>8.1618999999999997E-2</v>
      </c>
      <c r="N22" s="4">
        <f>IF(ISNUMBER(cash_original!N22),cash_original!N22/100000000,cash_original!N22)</f>
        <v>1.7885000000000002E-2</v>
      </c>
      <c r="O22" s="4">
        <f>IF(ISNUMBER(cash_original!O22),cash_original!O22/100000000,cash_original!O22)</f>
        <v>8.1840000000000003E-3</v>
      </c>
      <c r="P22" s="4">
        <f>IF(ISNUMBER(cash_original!P22),cash_original!P22/100000000,cash_original!P22)</f>
        <v>6.3063999999999995E-2</v>
      </c>
      <c r="Q22" s="4">
        <f>IF(ISNUMBER(cash_original!Q22),cash_original!Q22/100000000,cash_original!Q22)</f>
        <v>0.85236500000000004</v>
      </c>
      <c r="R22" s="4">
        <f>IF(ISNUMBER(cash_original!R22),cash_original!R22/100000000,cash_original!R22)</f>
        <v>-0.59191400000000005</v>
      </c>
      <c r="S22" s="4">
        <f>IF(ISNUMBER(cash_original!S22),cash_original!S22/100000000,cash_original!S22)</f>
        <v>6.4027000000000001E-2</v>
      </c>
      <c r="T22" s="4">
        <f>IF(ISNUMBER(cash_original!T22),cash_original!T22/100000000,cash_original!T22)</f>
        <v>0.56529399999999996</v>
      </c>
      <c r="U22" s="4">
        <f>IF(ISNUMBER(cash_original!U22),cash_original!U22/100000000,cash_original!U22)</f>
        <v>0.25762600000000002</v>
      </c>
      <c r="V22" s="4">
        <f>IF(ISNUMBER(cash_original!V22),cash_original!V22/100000000,cash_original!V22)</f>
        <v>0.12966800000000001</v>
      </c>
      <c r="W22" s="4">
        <f>IF(ISNUMBER(cash_original!W22),cash_original!W22/100000000,cash_original!W22)</f>
        <v>0.25850099999999998</v>
      </c>
      <c r="X22" s="4">
        <f>IF(ISNUMBER(cash_original!X22),cash_original!X22/100000000,cash_original!X22)</f>
        <v>3.7402999999999999E-2</v>
      </c>
      <c r="Y22" s="4">
        <f>IF(ISNUMBER(cash_original!Y22),cash_original!Y22/100000000,cash_original!Y22)</f>
        <v>-0.11430899999999999</v>
      </c>
      <c r="Z22" s="4">
        <f>IF(ISNUMBER(cash_original!Z22),cash_original!Z22/100000000,cash_original!Z22)</f>
        <v>0.23874100000000001</v>
      </c>
      <c r="AA22" s="4">
        <f>IF(ISNUMBER(cash_original!AA22),cash_original!AA22/100000000,cash_original!AA22)</f>
        <v>0.98247399999999996</v>
      </c>
      <c r="AB22" s="4">
        <f>IF(ISNUMBER(cash_original!AB22),cash_original!AB22/100000000,cash_original!AB22)</f>
        <v>1.484529</v>
      </c>
      <c r="AC22" s="4">
        <f>IF(ISNUMBER(cash_original!AC22),cash_original!AC22/100000000,cash_original!AC22)</f>
        <v>1.564662</v>
      </c>
      <c r="AD22" s="4">
        <f>IF(ISNUMBER(cash_original!AD22),cash_original!AD22/100000000,cash_original!AD22)</f>
        <v>1.3673569999999999</v>
      </c>
      <c r="AE22" s="4">
        <f>IF(ISNUMBER(cash_original!AE22),cash_original!AE22/100000000,cash_original!AE22)</f>
        <v>0.97968299999999997</v>
      </c>
      <c r="AF22" s="4">
        <f>IF(ISNUMBER(cash_original!AF22),cash_original!AF22/100000000,cash_original!AF22)</f>
        <v>3.0179740000000002</v>
      </c>
      <c r="AG22" s="4">
        <f>IF(ISNUMBER(cash_original!AG22),cash_original!AG22/100000000,cash_original!AG22)</f>
        <v>1.6737299999999999</v>
      </c>
      <c r="AH22" s="4">
        <f>IF(ISNUMBER(cash_original!AH22),cash_original!AH22/100000000,cash_original!AH22)</f>
        <v>0.37947599999999998</v>
      </c>
      <c r="AI22" s="4">
        <f>IF(ISNUMBER(cash_original!AI22),cash_original!AI22/100000000,cash_original!AI22)</f>
        <v>1.1463719999999999</v>
      </c>
      <c r="AJ22" s="4">
        <f>IF(ISNUMBER(cash_original!AJ22),cash_original!AJ22/100000000,cash_original!AJ22)</f>
        <v>0.221252</v>
      </c>
      <c r="AK22" s="4">
        <f>IF(ISNUMBER(cash_original!AK22),cash_original!AK22/100000000,cash_original!AK22)</f>
        <v>1.105575</v>
      </c>
      <c r="AL22" s="4">
        <f>IF(ISNUMBER(cash_original!AL22),cash_original!AL22/100000000,cash_original!AL22)</f>
        <v>0.12567300000000001</v>
      </c>
      <c r="AM22" s="4">
        <f>IF(ISNUMBER(cash_original!AM22),cash_original!AM22/100000000,cash_original!AM22)</f>
        <v>0.167402</v>
      </c>
      <c r="AN22" s="4">
        <f>IF(ISNUMBER(cash_original!AN22),cash_original!AN22/100000000,cash_original!AN22)</f>
        <v>0.116103</v>
      </c>
      <c r="AO22" s="4">
        <f>IF(ISNUMBER(cash_original!AO22),cash_original!AO22/100000000,cash_original!AO22)</f>
        <v>-1.0978999999999999E-2</v>
      </c>
      <c r="AP22" s="4">
        <f>IF(ISNUMBER(cash_original!AP22),cash_original!AP22/100000000,cash_original!AP22)</f>
        <v>0.13098199999999999</v>
      </c>
      <c r="AQ22" s="4" t="str">
        <f>IF(ISNUMBER(cash_original!AQ22),cash_original!AQ22/100000000,cash_original!AQ22)</f>
        <v>--</v>
      </c>
      <c r="AR22" s="4" t="str">
        <f>IF(ISNUMBER(cash_original!AR22),cash_original!AR22/100000000,cash_original!AR22)</f>
        <v>--</v>
      </c>
      <c r="AS22" s="4" t="str">
        <f>IF(ISNUMBER(cash_original!AS22),cash_original!AS22/100000000,cash_original!AS22)</f>
        <v>--</v>
      </c>
      <c r="AT22" s="4" t="str">
        <f>IF(ISNUMBER(cash_original!AT22),cash_original!AT22/100000000,cash_original!AT22)</f>
        <v>--</v>
      </c>
      <c r="AU22" s="4" t="str">
        <f>IF(ISNUMBER(cash_original!AU22),cash_original!AU22/100000000,cash_original!AU22)</f>
        <v>--</v>
      </c>
      <c r="AV22" s="3" t="s">
        <v>133</v>
      </c>
      <c r="AW22" s="3" t="s">
        <v>133</v>
      </c>
      <c r="AX22" s="3" t="s">
        <v>133</v>
      </c>
      <c r="AY22" s="3" t="s">
        <v>133</v>
      </c>
      <c r="AZ22" s="3" t="s">
        <v>133</v>
      </c>
      <c r="BA22" s="3" t="s">
        <v>133</v>
      </c>
      <c r="BB22" s="3" t="s">
        <v>133</v>
      </c>
      <c r="BC22" s="3" t="s">
        <v>133</v>
      </c>
      <c r="BD22" s="3" t="s">
        <v>133</v>
      </c>
      <c r="BE22" s="3" t="s">
        <v>133</v>
      </c>
      <c r="BF22" s="3" t="s">
        <v>133</v>
      </c>
      <c r="BG22" s="3" t="s">
        <v>133</v>
      </c>
      <c r="BH22" s="3" t="s">
        <v>133</v>
      </c>
      <c r="BI22" s="3" t="s">
        <v>133</v>
      </c>
      <c r="BJ22" s="3" t="s">
        <v>133</v>
      </c>
      <c r="BK22" s="3" t="s">
        <v>133</v>
      </c>
      <c r="BL22" s="3" t="s">
        <v>133</v>
      </c>
      <c r="BM22" s="3" t="s">
        <v>133</v>
      </c>
      <c r="BN22" s="3" t="s">
        <v>133</v>
      </c>
      <c r="BO22" s="3" t="s">
        <v>133</v>
      </c>
      <c r="BP22" s="3" t="s">
        <v>133</v>
      </c>
      <c r="BQ22" s="3" t="s">
        <v>133</v>
      </c>
      <c r="BR22" s="3" t="s">
        <v>133</v>
      </c>
      <c r="BS22" s="3" t="s">
        <v>133</v>
      </c>
      <c r="BT22" s="3" t="s">
        <v>133</v>
      </c>
    </row>
    <row r="23" spans="1:72" x14ac:dyDescent="0.25">
      <c r="A23" s="3" t="s">
        <v>181</v>
      </c>
      <c r="B23" s="4">
        <f>IF(ISNUMBER(cash_original!B23),cash_original!B23/100000000,cash_original!B23)</f>
        <v>6.5574573501</v>
      </c>
      <c r="C23" s="4">
        <f>IF(ISNUMBER(cash_original!C23),cash_original!C23/100000000,cash_original!C23)</f>
        <v>5.5281887601999999</v>
      </c>
      <c r="D23" s="4">
        <f>IF(ISNUMBER(cash_original!D23),cash_original!D23/100000000,cash_original!D23)</f>
        <v>4.2022531575000004</v>
      </c>
      <c r="E23" s="4">
        <f>IF(ISNUMBER(cash_original!E23),cash_original!E23/100000000,cash_original!E23)</f>
        <v>11.254536453499998</v>
      </c>
      <c r="F23" s="4">
        <f>IF(ISNUMBER(cash_original!F23),cash_original!F23/100000000,cash_original!F23)</f>
        <v>9.0712989154999999</v>
      </c>
      <c r="G23" s="4">
        <f>IF(ISNUMBER(cash_original!G23),cash_original!G23/100000000,cash_original!G23)</f>
        <v>5.2154359822999998</v>
      </c>
      <c r="H23" s="4">
        <f>IF(ISNUMBER(cash_original!H23),cash_original!H23/100000000,cash_original!H23)</f>
        <v>6.1891775851999995</v>
      </c>
      <c r="I23" s="4">
        <f>IF(ISNUMBER(cash_original!I23),cash_original!I23/100000000,cash_original!I23)</f>
        <v>6.0867253945000002</v>
      </c>
      <c r="J23" s="4">
        <f>IF(ISNUMBER(cash_original!J23),cash_original!J23/100000000,cash_original!J23)</f>
        <v>2.9093696243</v>
      </c>
      <c r="K23" s="4">
        <f>IF(ISNUMBER(cash_original!K23),cash_original!K23/100000000,cash_original!K23)</f>
        <v>1.4853619546000001</v>
      </c>
      <c r="L23" s="4">
        <f>IF(ISNUMBER(cash_original!L23),cash_original!L23/100000000,cash_original!L23)</f>
        <v>5.9206118851999996</v>
      </c>
      <c r="M23" s="4">
        <f>IF(ISNUMBER(cash_original!M23),cash_original!M23/100000000,cash_original!M23)</f>
        <v>3.7618466285000003</v>
      </c>
      <c r="N23" s="4">
        <f>IF(ISNUMBER(cash_original!N23),cash_original!N23/100000000,cash_original!N23)</f>
        <v>2.7778363017999999</v>
      </c>
      <c r="O23" s="4">
        <f>IF(ISNUMBER(cash_original!O23),cash_original!O23/100000000,cash_original!O23)</f>
        <v>1.7444839735</v>
      </c>
      <c r="P23" s="4">
        <f>IF(ISNUMBER(cash_original!P23),cash_original!P23/100000000,cash_original!P23)</f>
        <v>3.1367564717</v>
      </c>
      <c r="Q23" s="4">
        <f>IF(ISNUMBER(cash_original!Q23),cash_original!Q23/100000000,cash_original!Q23)</f>
        <v>3.2914531477</v>
      </c>
      <c r="R23" s="4">
        <f>IF(ISNUMBER(cash_original!R23),cash_original!R23/100000000,cash_original!R23)</f>
        <v>2.1947183566000001</v>
      </c>
      <c r="S23" s="4">
        <f>IF(ISNUMBER(cash_original!S23),cash_original!S23/100000000,cash_original!S23)</f>
        <v>1.3592213652</v>
      </c>
      <c r="T23" s="4">
        <f>IF(ISNUMBER(cash_original!T23),cash_original!T23/100000000,cash_original!T23)</f>
        <v>4.2361595294000001</v>
      </c>
      <c r="U23" s="4">
        <f>IF(ISNUMBER(cash_original!U23),cash_original!U23/100000000,cash_original!U23)</f>
        <v>2.7647288793999998</v>
      </c>
      <c r="V23" s="4">
        <f>IF(ISNUMBER(cash_original!V23),cash_original!V23/100000000,cash_original!V23)</f>
        <v>5.4786955627999996</v>
      </c>
      <c r="W23" s="4">
        <f>IF(ISNUMBER(cash_original!W23),cash_original!W23/100000000,cash_original!W23)</f>
        <v>4.6102717423000001</v>
      </c>
      <c r="X23" s="4">
        <f>IF(ISNUMBER(cash_original!X23),cash_original!X23/100000000,cash_original!X23)</f>
        <v>8.6947064163000007</v>
      </c>
      <c r="Y23" s="4">
        <f>IF(ISNUMBER(cash_original!Y23),cash_original!Y23/100000000,cash_original!Y23)</f>
        <v>7.21228392</v>
      </c>
      <c r="Z23" s="4">
        <f>IF(ISNUMBER(cash_original!Z23),cash_original!Z23/100000000,cash_original!Z23)</f>
        <v>8.7616471484999998</v>
      </c>
      <c r="AA23" s="4">
        <f>IF(ISNUMBER(cash_original!AA23),cash_original!AA23/100000000,cash_original!AA23)</f>
        <v>9.3439468600000009</v>
      </c>
      <c r="AB23" s="4">
        <f>IF(ISNUMBER(cash_original!AB23),cash_original!AB23/100000000,cash_original!AB23)</f>
        <v>21.7342084448</v>
      </c>
      <c r="AC23" s="4">
        <f>IF(ISNUMBER(cash_original!AC23),cash_original!AC23/100000000,cash_original!AC23)</f>
        <v>16.175432719100002</v>
      </c>
      <c r="AD23" s="4">
        <f>IF(ISNUMBER(cash_original!AD23),cash_original!AD23/100000000,cash_original!AD23)</f>
        <v>15.542027581900001</v>
      </c>
      <c r="AE23" s="4">
        <f>IF(ISNUMBER(cash_original!AE23),cash_original!AE23/100000000,cash_original!AE23)</f>
        <v>15.0022514747</v>
      </c>
      <c r="AF23" s="4">
        <f>IF(ISNUMBER(cash_original!AF23),cash_original!AF23/100000000,cash_original!AF23)</f>
        <v>14.2673645702</v>
      </c>
      <c r="AG23" s="4">
        <f>IF(ISNUMBER(cash_original!AG23),cash_original!AG23/100000000,cash_original!AG23)</f>
        <v>13.3746482996</v>
      </c>
      <c r="AH23" s="4">
        <f>IF(ISNUMBER(cash_original!AH23),cash_original!AH23/100000000,cash_original!AH23)</f>
        <v>13.784393185399999</v>
      </c>
      <c r="AI23" s="4">
        <f>IF(ISNUMBER(cash_original!AI23),cash_original!AI23/100000000,cash_original!AI23)</f>
        <v>11.3713947627</v>
      </c>
      <c r="AJ23" s="4">
        <f>IF(ISNUMBER(cash_original!AJ23),cash_original!AJ23/100000000,cash_original!AJ23)</f>
        <v>7.0094024150000003</v>
      </c>
      <c r="AK23" s="4">
        <f>IF(ISNUMBER(cash_original!AK23),cash_original!AK23/100000000,cash_original!AK23)</f>
        <v>10.6078051207</v>
      </c>
      <c r="AL23" s="4">
        <f>IF(ISNUMBER(cash_original!AL23),cash_original!AL23/100000000,cash_original!AL23)</f>
        <v>4.9981739197000001</v>
      </c>
      <c r="AM23" s="4">
        <f>IF(ISNUMBER(cash_original!AM23),cash_original!AM23/100000000,cash_original!AM23)</f>
        <v>4.6310382388999995</v>
      </c>
      <c r="AN23" s="4">
        <f>IF(ISNUMBER(cash_original!AN23),cash_original!AN23/100000000,cash_original!AN23)</f>
        <v>3.1230174881999999</v>
      </c>
      <c r="AO23" s="4">
        <f>IF(ISNUMBER(cash_original!AO23),cash_original!AO23/100000000,cash_original!AO23)</f>
        <v>3.3659416732</v>
      </c>
      <c r="AP23" s="4">
        <f>IF(ISNUMBER(cash_original!AP23),cash_original!AP23/100000000,cash_original!AP23)</f>
        <v>3.2765759988999998</v>
      </c>
      <c r="AQ23" s="4">
        <f>IF(ISNUMBER(cash_original!AQ23),cash_original!AQ23/100000000,cash_original!AQ23)</f>
        <v>7.0514540994000008</v>
      </c>
      <c r="AR23" s="4">
        <f>IF(ISNUMBER(cash_original!AR23),cash_original!AR23/100000000,cash_original!AR23)</f>
        <v>4.6903950407999995</v>
      </c>
      <c r="AS23" s="4">
        <f>IF(ISNUMBER(cash_original!AS23),cash_original!AS23/100000000,cash_original!AS23)</f>
        <v>2.9810058367000001</v>
      </c>
      <c r="AT23" s="4">
        <f>IF(ISNUMBER(cash_original!AT23),cash_original!AT23/100000000,cash_original!AT23)</f>
        <v>3.6948318429000002</v>
      </c>
      <c r="AU23" s="4">
        <f>IF(ISNUMBER(cash_original!AU23),cash_original!AU23/100000000,cash_original!AU23)</f>
        <v>4.0013874543999997</v>
      </c>
      <c r="AV23" s="3">
        <v>298879016.69</v>
      </c>
      <c r="AW23" s="3">
        <v>371866380.92000002</v>
      </c>
      <c r="AX23" s="3">
        <v>234085124.37</v>
      </c>
      <c r="AY23" s="3">
        <v>235117880.22</v>
      </c>
      <c r="AZ23" s="3">
        <v>174666400.53</v>
      </c>
      <c r="BA23" s="3">
        <v>226872859.37</v>
      </c>
      <c r="BB23" s="3">
        <v>213080710.50999999</v>
      </c>
      <c r="BC23" s="3">
        <v>149844264.84</v>
      </c>
      <c r="BD23" s="3">
        <v>199658817.77000001</v>
      </c>
      <c r="BE23" s="3">
        <v>234140500.52000001</v>
      </c>
      <c r="BF23" s="3">
        <v>232376960.43000001</v>
      </c>
      <c r="BG23" s="3">
        <v>207130086.46000001</v>
      </c>
      <c r="BH23" s="3">
        <v>104817335.87</v>
      </c>
      <c r="BI23" s="3">
        <v>152212434.33000001</v>
      </c>
      <c r="BJ23" s="3">
        <v>145951239.40000001</v>
      </c>
      <c r="BK23" s="3">
        <v>140690857.08000001</v>
      </c>
      <c r="BL23" s="3">
        <v>101989194.91</v>
      </c>
      <c r="BM23" s="3">
        <v>126999073.92</v>
      </c>
      <c r="BN23" s="3">
        <v>89864209.310000002</v>
      </c>
      <c r="BO23" s="3">
        <v>64822823.969999999</v>
      </c>
      <c r="BP23" s="3">
        <v>73503913.549999997</v>
      </c>
      <c r="BQ23" s="3">
        <v>35016671.210000001</v>
      </c>
      <c r="BR23" s="3">
        <v>98629652.530000001</v>
      </c>
      <c r="BS23" s="3">
        <v>94583736.700000003</v>
      </c>
      <c r="BT23" s="3">
        <v>106650497.18000001</v>
      </c>
    </row>
    <row r="24" spans="1:72" x14ac:dyDescent="0.25">
      <c r="A24" s="3" t="s">
        <v>20</v>
      </c>
      <c r="B24" s="4">
        <f>IF(ISNUMBER(cash_original!B24),cash_original!B24/100000000,cash_original!B24)</f>
        <v>-3.4083921352999997</v>
      </c>
      <c r="C24" s="4">
        <f>IF(ISNUMBER(cash_original!C24),cash_original!C24/100000000,cash_original!C24)</f>
        <v>-5.5281887601999999</v>
      </c>
      <c r="D24" s="4">
        <f>IF(ISNUMBER(cash_original!D24),cash_original!D24/100000000,cash_original!D24)</f>
        <v>-4.2022531575000004</v>
      </c>
      <c r="E24" s="4">
        <f>IF(ISNUMBER(cash_original!E24),cash_original!E24/100000000,cash_original!E24)</f>
        <v>-11.2541556535</v>
      </c>
      <c r="F24" s="4">
        <f>IF(ISNUMBER(cash_original!F24),cash_original!F24/100000000,cash_original!F24)</f>
        <v>-9.0388656014999995</v>
      </c>
      <c r="G24" s="4">
        <f>IF(ISNUMBER(cash_original!G24),cash_original!G24/100000000,cash_original!G24)</f>
        <v>-5.1807983423000001</v>
      </c>
      <c r="H24" s="4">
        <f>IF(ISNUMBER(cash_original!H24),cash_original!H24/100000000,cash_original!H24)</f>
        <v>-6.1830378351999995</v>
      </c>
      <c r="I24" s="4">
        <f>IF(ISNUMBER(cash_original!I24),cash_original!I24/100000000,cash_original!I24)</f>
        <v>-6.0583888945000002</v>
      </c>
      <c r="J24" s="4">
        <f>IF(ISNUMBER(cash_original!J24),cash_original!J24/100000000,cash_original!J24)</f>
        <v>-2.8334213813</v>
      </c>
      <c r="K24" s="4">
        <f>IF(ISNUMBER(cash_original!K24),cash_original!K24/100000000,cash_original!K24)</f>
        <v>-1.4787071846000002</v>
      </c>
      <c r="L24" s="4">
        <f>IF(ISNUMBER(cash_original!L24),cash_original!L24/100000000,cash_original!L24)</f>
        <v>-5.9191095852000002</v>
      </c>
      <c r="M24" s="4">
        <f>IF(ISNUMBER(cash_original!M24),cash_original!M24/100000000,cash_original!M24)</f>
        <v>-3.7287000125</v>
      </c>
      <c r="N24" s="4">
        <f>IF(ISNUMBER(cash_original!N24),cash_original!N24/100000000,cash_original!N24)</f>
        <v>-2.7708660018</v>
      </c>
      <c r="O24" s="4">
        <f>IF(ISNUMBER(cash_original!O24),cash_original!O24/100000000,cash_original!O24)</f>
        <v>-1.7034892105999999</v>
      </c>
      <c r="P24" s="4">
        <f>IF(ISNUMBER(cash_original!P24),cash_original!P24/100000000,cash_original!P24)</f>
        <v>-3.0033969211000002</v>
      </c>
      <c r="Q24" s="4">
        <f>IF(ISNUMBER(cash_original!Q24),cash_original!Q24/100000000,cash_original!Q24)</f>
        <v>-3.2901341507999997</v>
      </c>
      <c r="R24" s="4">
        <f>IF(ISNUMBER(cash_original!R24),cash_original!R24/100000000,cash_original!R24)</f>
        <v>-2.1797954157000001</v>
      </c>
      <c r="S24" s="4">
        <f>IF(ISNUMBER(cash_original!S24),cash_original!S24/100000000,cash_original!S24)</f>
        <v>-1.3416253171999999</v>
      </c>
      <c r="T24" s="4">
        <f>IF(ISNUMBER(cash_original!T24),cash_original!T24/100000000,cash_original!T24)</f>
        <v>-4.2134531583000001</v>
      </c>
      <c r="U24" s="4">
        <f>IF(ISNUMBER(cash_original!U24),cash_original!U24/100000000,cash_original!U24)</f>
        <v>-2.6579574155000003</v>
      </c>
      <c r="V24" s="4">
        <f>IF(ISNUMBER(cash_original!V24),cash_original!V24/100000000,cash_original!V24)</f>
        <v>-4.9227911304000003</v>
      </c>
      <c r="W24" s="4">
        <f>IF(ISNUMBER(cash_original!W24),cash_original!W24/100000000,cash_original!W24)</f>
        <v>-4.3667012146999999</v>
      </c>
      <c r="X24" s="4">
        <f>IF(ISNUMBER(cash_original!X24),cash_original!X24/100000000,cash_original!X24)</f>
        <v>-8.5404528853000006</v>
      </c>
      <c r="Y24" s="4">
        <f>IF(ISNUMBER(cash_original!Y24),cash_original!Y24/100000000,cash_original!Y24)</f>
        <v>-7.0523973185999997</v>
      </c>
      <c r="Z24" s="4">
        <f>IF(ISNUMBER(cash_original!Z24),cash_original!Z24/100000000,cash_original!Z24)</f>
        <v>-8.7616471484999998</v>
      </c>
      <c r="AA24" s="4">
        <f>IF(ISNUMBER(cash_original!AA24),cash_original!AA24/100000000,cash_original!AA24)</f>
        <v>-9.1393642400000008</v>
      </c>
      <c r="AB24" s="4">
        <f>IF(ISNUMBER(cash_original!AB24),cash_original!AB24/100000000,cash_original!AB24)</f>
        <v>-20.8481870948</v>
      </c>
      <c r="AC24" s="4">
        <f>IF(ISNUMBER(cash_original!AC24),cash_original!AC24/100000000,cash_original!AC24)</f>
        <v>-15.017912588699998</v>
      </c>
      <c r="AD24" s="4">
        <f>IF(ISNUMBER(cash_original!AD24),cash_original!AD24/100000000,cash_original!AD24)</f>
        <v>-14.559366685599999</v>
      </c>
      <c r="AE24" s="4">
        <f>IF(ISNUMBER(cash_original!AE24),cash_original!AE24/100000000,cash_original!AE24)</f>
        <v>-13.62970265</v>
      </c>
      <c r="AF24" s="4">
        <f>IF(ISNUMBER(cash_original!AF24),cash_original!AF24/100000000,cash_original!AF24)</f>
        <v>-10.1861320752</v>
      </c>
      <c r="AG24" s="4">
        <f>IF(ISNUMBER(cash_original!AG24),cash_original!AG24/100000000,cash_original!AG24)</f>
        <v>-11.8411241903</v>
      </c>
      <c r="AH24" s="4">
        <f>IF(ISNUMBER(cash_original!AH24),cash_original!AH24/100000000,cash_original!AH24)</f>
        <v>-13.379944549700001</v>
      </c>
      <c r="AI24" s="4">
        <f>IF(ISNUMBER(cash_original!AI24),cash_original!AI24/100000000,cash_original!AI24)</f>
        <v>-9.8754818276999998</v>
      </c>
      <c r="AJ24" s="4">
        <f>IF(ISNUMBER(cash_original!AJ24),cash_original!AJ24/100000000,cash_original!AJ24)</f>
        <v>-6.8982124149999997</v>
      </c>
      <c r="AK24" s="4">
        <f>IF(ISNUMBER(cash_original!AK24),cash_original!AK24/100000000,cash_original!AK24)</f>
        <v>-9.2284693504999993</v>
      </c>
      <c r="AL24" s="4">
        <f>IF(ISNUMBER(cash_original!AL24),cash_original!AL24/100000000,cash_original!AL24)</f>
        <v>-4.9316274542</v>
      </c>
      <c r="AM24" s="4">
        <f>IF(ISNUMBER(cash_original!AM24),cash_original!AM24/100000000,cash_original!AM24)</f>
        <v>-4.0334659790999998</v>
      </c>
      <c r="AN24" s="4">
        <f>IF(ISNUMBER(cash_original!AN24),cash_original!AN24/100000000,cash_original!AN24)</f>
        <v>-3.0106177152999996</v>
      </c>
      <c r="AO24" s="4">
        <f>IF(ISNUMBER(cash_original!AO24),cash_original!AO24/100000000,cash_original!AO24)</f>
        <v>-3.3694077001</v>
      </c>
      <c r="AP24" s="4">
        <f>IF(ISNUMBER(cash_original!AP24),cash_original!AP24/100000000,cash_original!AP24)</f>
        <v>-3.2517549368999998</v>
      </c>
      <c r="AQ24" s="4">
        <f>IF(ISNUMBER(cash_original!AQ24),cash_original!AQ24/100000000,cash_original!AQ24)</f>
        <v>-6.5096518694000007</v>
      </c>
      <c r="AR24" s="4">
        <f>IF(ISNUMBER(cash_original!AR24),cash_original!AR24/100000000,cash_original!AR24)</f>
        <v>-4.5030810407999997</v>
      </c>
      <c r="AS24" s="4">
        <f>IF(ISNUMBER(cash_original!AS24),cash_original!AS24/100000000,cash_original!AS24)</f>
        <v>-2.9810058367000001</v>
      </c>
      <c r="AT24" s="4">
        <f>IF(ISNUMBER(cash_original!AT24),cash_original!AT24/100000000,cash_original!AT24)</f>
        <v>-3.6948318429000002</v>
      </c>
      <c r="AU24" s="4">
        <f>IF(ISNUMBER(cash_original!AU24),cash_original!AU24/100000000,cash_original!AU24)</f>
        <v>-3.7305834818000001</v>
      </c>
      <c r="AV24" s="3">
        <v>-298879016.69</v>
      </c>
      <c r="AW24" s="3">
        <v>-371866380.92000002</v>
      </c>
      <c r="AX24" s="3">
        <v>-234035124.37</v>
      </c>
      <c r="AY24" s="3">
        <v>-235117880.22</v>
      </c>
      <c r="AZ24" s="3">
        <v>-151543300.53</v>
      </c>
      <c r="BA24" s="3">
        <v>-226872859.37</v>
      </c>
      <c r="BB24" s="3">
        <v>-213080710.50999999</v>
      </c>
      <c r="BC24" s="3">
        <v>-149844264.84</v>
      </c>
      <c r="BD24" s="3">
        <v>-199658817.77000001</v>
      </c>
      <c r="BE24" s="3">
        <v>-234134550.52000001</v>
      </c>
      <c r="BF24" s="3">
        <v>-232376960.43000001</v>
      </c>
      <c r="BG24" s="3">
        <v>-207130086.46000001</v>
      </c>
      <c r="BH24" s="3">
        <v>-104817335.87</v>
      </c>
      <c r="BI24" s="3">
        <v>-152212434.33000001</v>
      </c>
      <c r="BJ24" s="3">
        <v>-145951239.40000001</v>
      </c>
      <c r="BK24" s="3">
        <v>-140690857.08000001</v>
      </c>
      <c r="BL24" s="3">
        <v>-101989194.91</v>
      </c>
      <c r="BM24" s="3">
        <v>-126999073.92</v>
      </c>
      <c r="BN24" s="3">
        <v>-89864209.310000002</v>
      </c>
      <c r="BO24" s="3">
        <v>-64822823.969999999</v>
      </c>
      <c r="BP24" s="3">
        <v>-73503913.549999997</v>
      </c>
      <c r="BQ24" s="3">
        <v>-35016671.210000001</v>
      </c>
      <c r="BR24" s="3">
        <v>-98629652.530000001</v>
      </c>
      <c r="BS24" s="3">
        <v>-94583736.700000003</v>
      </c>
      <c r="BT24" s="3">
        <v>-106650497.18000001</v>
      </c>
    </row>
    <row r="25" spans="1:72" x14ac:dyDescent="0.25">
      <c r="A25" s="3" t="s">
        <v>182</v>
      </c>
      <c r="B25" s="4">
        <f>IF(ISNUMBER(cash_original!B25),cash_original!B25/100000000,cash_original!B25)</f>
        <v>0</v>
      </c>
      <c r="C25" s="4">
        <f>IF(ISNUMBER(cash_original!C25),cash_original!C25/100000000,cash_original!C25)</f>
        <v>0</v>
      </c>
      <c r="D25" s="4">
        <f>IF(ISNUMBER(cash_original!D25),cash_original!D25/100000000,cash_original!D25)</f>
        <v>0</v>
      </c>
      <c r="E25" s="4">
        <f>IF(ISNUMBER(cash_original!E25),cash_original!E25/100000000,cash_original!E25)</f>
        <v>0</v>
      </c>
      <c r="F25" s="4">
        <f>IF(ISNUMBER(cash_original!F25),cash_original!F25/100000000,cash_original!F25)</f>
        <v>0</v>
      </c>
      <c r="G25" s="4">
        <f>IF(ISNUMBER(cash_original!G25),cash_original!G25/100000000,cash_original!G25)</f>
        <v>0</v>
      </c>
      <c r="H25" s="4">
        <f>IF(ISNUMBER(cash_original!H25),cash_original!H25/100000000,cash_original!H25)</f>
        <v>0</v>
      </c>
      <c r="I25" s="4">
        <f>IF(ISNUMBER(cash_original!I25),cash_original!I25/100000000,cash_original!I25)</f>
        <v>0</v>
      </c>
      <c r="J25" s="4">
        <f>IF(ISNUMBER(cash_original!J25),cash_original!J25/100000000,cash_original!J25)</f>
        <v>0</v>
      </c>
      <c r="K25" s="4">
        <f>IF(ISNUMBER(cash_original!K25),cash_original!K25/100000000,cash_original!K25)</f>
        <v>0</v>
      </c>
      <c r="L25" s="4">
        <f>IF(ISNUMBER(cash_original!L25),cash_original!L25/100000000,cash_original!L25)</f>
        <v>0</v>
      </c>
      <c r="M25" s="4">
        <f>IF(ISNUMBER(cash_original!M25),cash_original!M25/100000000,cash_original!M25)</f>
        <v>0</v>
      </c>
      <c r="N25" s="4">
        <f>IF(ISNUMBER(cash_original!N25),cash_original!N25/100000000,cash_original!N25)</f>
        <v>0</v>
      </c>
      <c r="O25" s="4">
        <f>IF(ISNUMBER(cash_original!O25),cash_original!O25/100000000,cash_original!O25)</f>
        <v>0</v>
      </c>
      <c r="P25" s="4">
        <f>IF(ISNUMBER(cash_original!P25),cash_original!P25/100000000,cash_original!P25)</f>
        <v>0</v>
      </c>
      <c r="Q25" s="4">
        <f>IF(ISNUMBER(cash_original!Q25),cash_original!Q25/100000000,cash_original!Q25)</f>
        <v>0</v>
      </c>
      <c r="R25" s="4">
        <f>IF(ISNUMBER(cash_original!R25),cash_original!R25/100000000,cash_original!R25)</f>
        <v>0</v>
      </c>
      <c r="S25" s="4">
        <f>IF(ISNUMBER(cash_original!S25),cash_original!S25/100000000,cash_original!S25)</f>
        <v>0</v>
      </c>
      <c r="T25" s="4">
        <f>IF(ISNUMBER(cash_original!T25),cash_original!T25/100000000,cash_original!T25)</f>
        <v>0</v>
      </c>
      <c r="U25" s="4">
        <f>IF(ISNUMBER(cash_original!U25),cash_original!U25/100000000,cash_original!U25)</f>
        <v>0</v>
      </c>
      <c r="V25" s="4">
        <f>IF(ISNUMBER(cash_original!V25),cash_original!V25/100000000,cash_original!V25)</f>
        <v>0</v>
      </c>
      <c r="W25" s="4">
        <f>IF(ISNUMBER(cash_original!W25),cash_original!W25/100000000,cash_original!W25)</f>
        <v>0</v>
      </c>
      <c r="X25" s="4">
        <f>IF(ISNUMBER(cash_original!X25),cash_original!X25/100000000,cash_original!X25)</f>
        <v>0</v>
      </c>
      <c r="Y25" s="4">
        <f>IF(ISNUMBER(cash_original!Y25),cash_original!Y25/100000000,cash_original!Y25)</f>
        <v>0</v>
      </c>
      <c r="Z25" s="4">
        <f>IF(ISNUMBER(cash_original!Z25),cash_original!Z25/100000000,cash_original!Z25)</f>
        <v>0</v>
      </c>
      <c r="AA25" s="4">
        <f>IF(ISNUMBER(cash_original!AA25),cash_original!AA25/100000000,cash_original!AA25)</f>
        <v>0</v>
      </c>
      <c r="AB25" s="4">
        <f>IF(ISNUMBER(cash_original!AB25),cash_original!AB25/100000000,cash_original!AB25)</f>
        <v>0</v>
      </c>
      <c r="AC25" s="4">
        <f>IF(ISNUMBER(cash_original!AC25),cash_original!AC25/100000000,cash_original!AC25)</f>
        <v>0</v>
      </c>
      <c r="AD25" s="4">
        <f>IF(ISNUMBER(cash_original!AD25),cash_original!AD25/100000000,cash_original!AD25)</f>
        <v>0</v>
      </c>
      <c r="AE25" s="4">
        <f>IF(ISNUMBER(cash_original!AE25),cash_original!AE25/100000000,cash_original!AE25)</f>
        <v>0</v>
      </c>
      <c r="AF25" s="4">
        <f>IF(ISNUMBER(cash_original!AF25),cash_original!AF25/100000000,cash_original!AF25)</f>
        <v>0</v>
      </c>
      <c r="AG25" s="4">
        <f>IF(ISNUMBER(cash_original!AG25),cash_original!AG25/100000000,cash_original!AG25)</f>
        <v>0</v>
      </c>
      <c r="AH25" s="4">
        <f>IF(ISNUMBER(cash_original!AH25),cash_original!AH25/100000000,cash_original!AH25)</f>
        <v>0</v>
      </c>
      <c r="AI25" s="4">
        <f>IF(ISNUMBER(cash_original!AI25),cash_original!AI25/100000000,cash_original!AI25)</f>
        <v>0</v>
      </c>
      <c r="AJ25" s="4">
        <f>IF(ISNUMBER(cash_original!AJ25),cash_original!AJ25/100000000,cash_original!AJ25)</f>
        <v>0</v>
      </c>
      <c r="AK25" s="4">
        <f>IF(ISNUMBER(cash_original!AK25),cash_original!AK25/100000000,cash_original!AK25)</f>
        <v>0</v>
      </c>
      <c r="AL25" s="4">
        <f>IF(ISNUMBER(cash_original!AL25),cash_original!AL25/100000000,cash_original!AL25)</f>
        <v>0</v>
      </c>
      <c r="AM25" s="4">
        <f>IF(ISNUMBER(cash_original!AM25),cash_original!AM25/100000000,cash_original!AM25)</f>
        <v>0</v>
      </c>
      <c r="AN25" s="4">
        <f>IF(ISNUMBER(cash_original!AN25),cash_original!AN25/100000000,cash_original!AN25)</f>
        <v>0</v>
      </c>
      <c r="AO25" s="4">
        <f>IF(ISNUMBER(cash_original!AO25),cash_original!AO25/100000000,cash_original!AO25)</f>
        <v>0</v>
      </c>
      <c r="AP25" s="4">
        <f>IF(ISNUMBER(cash_original!AP25),cash_original!AP25/100000000,cash_original!AP25)</f>
        <v>0</v>
      </c>
      <c r="AQ25" s="4">
        <f>IF(ISNUMBER(cash_original!AQ25),cash_original!AQ25/100000000,cash_original!AQ25)</f>
        <v>0</v>
      </c>
      <c r="AR25" s="4">
        <f>IF(ISNUMBER(cash_original!AR25),cash_original!AR25/100000000,cash_original!AR25)</f>
        <v>0</v>
      </c>
      <c r="AS25" s="4">
        <f>IF(ISNUMBER(cash_original!AS25),cash_original!AS25/100000000,cash_original!AS25)</f>
        <v>0</v>
      </c>
      <c r="AT25" s="4">
        <f>IF(ISNUMBER(cash_original!AT25),cash_original!AT25/100000000,cash_original!AT25)</f>
        <v>0</v>
      </c>
      <c r="AU25" s="4">
        <f>IF(ISNUMBER(cash_original!AU25),cash_original!AU25/100000000,cash_original!AU25)</f>
        <v>0</v>
      </c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</row>
    <row r="26" spans="1:72" x14ac:dyDescent="0.25">
      <c r="A26" s="3" t="s">
        <v>183</v>
      </c>
      <c r="B26" s="4" t="str">
        <f>IF(ISNUMBER(cash_original!B26),cash_original!B26/100000000,cash_original!B26)</f>
        <v>--</v>
      </c>
      <c r="C26" s="4" t="str">
        <f>IF(ISNUMBER(cash_original!C26),cash_original!C26/100000000,cash_original!C26)</f>
        <v>--</v>
      </c>
      <c r="D26" s="4" t="str">
        <f>IF(ISNUMBER(cash_original!D26),cash_original!D26/100000000,cash_original!D26)</f>
        <v>--</v>
      </c>
      <c r="E26" s="4" t="str">
        <f>IF(ISNUMBER(cash_original!E26),cash_original!E26/100000000,cash_original!E26)</f>
        <v>--</v>
      </c>
      <c r="F26" s="4" t="str">
        <f>IF(ISNUMBER(cash_original!F26),cash_original!F26/100000000,cash_original!F26)</f>
        <v>--</v>
      </c>
      <c r="G26" s="4" t="str">
        <f>IF(ISNUMBER(cash_original!G26),cash_original!G26/100000000,cash_original!G26)</f>
        <v>--</v>
      </c>
      <c r="H26" s="4" t="str">
        <f>IF(ISNUMBER(cash_original!H26),cash_original!H26/100000000,cash_original!H26)</f>
        <v>--</v>
      </c>
      <c r="I26" s="4" t="str">
        <f>IF(ISNUMBER(cash_original!I26),cash_original!I26/100000000,cash_original!I26)</f>
        <v>--</v>
      </c>
      <c r="J26" s="4" t="str">
        <f>IF(ISNUMBER(cash_original!J26),cash_original!J26/100000000,cash_original!J26)</f>
        <v>--</v>
      </c>
      <c r="K26" s="4" t="str">
        <f>IF(ISNUMBER(cash_original!K26),cash_original!K26/100000000,cash_original!K26)</f>
        <v>--</v>
      </c>
      <c r="L26" s="4" t="str">
        <f>IF(ISNUMBER(cash_original!L26),cash_original!L26/100000000,cash_original!L26)</f>
        <v>--</v>
      </c>
      <c r="M26" s="4" t="str">
        <f>IF(ISNUMBER(cash_original!M26),cash_original!M26/100000000,cash_original!M26)</f>
        <v>--</v>
      </c>
      <c r="N26" s="4" t="str">
        <f>IF(ISNUMBER(cash_original!N26),cash_original!N26/100000000,cash_original!N26)</f>
        <v>--</v>
      </c>
      <c r="O26" s="4" t="str">
        <f>IF(ISNUMBER(cash_original!O26),cash_original!O26/100000000,cash_original!O26)</f>
        <v>--</v>
      </c>
      <c r="P26" s="4" t="str">
        <f>IF(ISNUMBER(cash_original!P26),cash_original!P26/100000000,cash_original!P26)</f>
        <v>--</v>
      </c>
      <c r="Q26" s="4" t="str">
        <f>IF(ISNUMBER(cash_original!Q26),cash_original!Q26/100000000,cash_original!Q26)</f>
        <v>--</v>
      </c>
      <c r="R26" s="4" t="str">
        <f>IF(ISNUMBER(cash_original!R26),cash_original!R26/100000000,cash_original!R26)</f>
        <v>--</v>
      </c>
      <c r="S26" s="4" t="str">
        <f>IF(ISNUMBER(cash_original!S26),cash_original!S26/100000000,cash_original!S26)</f>
        <v>--</v>
      </c>
      <c r="T26" s="4" t="str">
        <f>IF(ISNUMBER(cash_original!T26),cash_original!T26/100000000,cash_original!T26)</f>
        <v>--</v>
      </c>
      <c r="U26" s="4" t="str">
        <f>IF(ISNUMBER(cash_original!U26),cash_original!U26/100000000,cash_original!U26)</f>
        <v>--</v>
      </c>
      <c r="V26" s="4" t="str">
        <f>IF(ISNUMBER(cash_original!V26),cash_original!V26/100000000,cash_original!V26)</f>
        <v>--</v>
      </c>
      <c r="W26" s="4" t="str">
        <f>IF(ISNUMBER(cash_original!W26),cash_original!W26/100000000,cash_original!W26)</f>
        <v>--</v>
      </c>
      <c r="X26" s="4" t="str">
        <f>IF(ISNUMBER(cash_original!X26),cash_original!X26/100000000,cash_original!X26)</f>
        <v>--</v>
      </c>
      <c r="Y26" s="4">
        <f>IF(ISNUMBER(cash_original!Y26),cash_original!Y26/100000000,cash_original!Y26)</f>
        <v>0.28799999999999998</v>
      </c>
      <c r="Z26" s="4" t="str">
        <f>IF(ISNUMBER(cash_original!Z26),cash_original!Z26/100000000,cash_original!Z26)</f>
        <v>--</v>
      </c>
      <c r="AA26" s="4" t="str">
        <f>IF(ISNUMBER(cash_original!AA26),cash_original!AA26/100000000,cash_original!AA26)</f>
        <v>--</v>
      </c>
      <c r="AB26" s="4" t="str">
        <f>IF(ISNUMBER(cash_original!AB26),cash_original!AB26/100000000,cash_original!AB26)</f>
        <v>--</v>
      </c>
      <c r="AC26" s="4" t="str">
        <f>IF(ISNUMBER(cash_original!AC26),cash_original!AC26/100000000,cash_original!AC26)</f>
        <v>--</v>
      </c>
      <c r="AD26" s="4" t="str">
        <f>IF(ISNUMBER(cash_original!AD26),cash_original!AD26/100000000,cash_original!AD26)</f>
        <v>--</v>
      </c>
      <c r="AE26" s="4" t="str">
        <f>IF(ISNUMBER(cash_original!AE26),cash_original!AE26/100000000,cash_original!AE26)</f>
        <v>--</v>
      </c>
      <c r="AF26" s="4" t="str">
        <f>IF(ISNUMBER(cash_original!AF26),cash_original!AF26/100000000,cash_original!AF26)</f>
        <v>--</v>
      </c>
      <c r="AG26" s="4" t="str">
        <f>IF(ISNUMBER(cash_original!AG26),cash_original!AG26/100000000,cash_original!AG26)</f>
        <v>--</v>
      </c>
      <c r="AH26" s="4" t="str">
        <f>IF(ISNUMBER(cash_original!AH26),cash_original!AH26/100000000,cash_original!AH26)</f>
        <v>--</v>
      </c>
      <c r="AI26" s="4" t="str">
        <f>IF(ISNUMBER(cash_original!AI26),cash_original!AI26/100000000,cash_original!AI26)</f>
        <v>--</v>
      </c>
      <c r="AJ26" s="4" t="str">
        <f>IF(ISNUMBER(cash_original!AJ26),cash_original!AJ26/100000000,cash_original!AJ26)</f>
        <v>--</v>
      </c>
      <c r="AK26" s="4" t="str">
        <f>IF(ISNUMBER(cash_original!AK26),cash_original!AK26/100000000,cash_original!AK26)</f>
        <v>--</v>
      </c>
      <c r="AL26" s="4" t="str">
        <f>IF(ISNUMBER(cash_original!AL26),cash_original!AL26/100000000,cash_original!AL26)</f>
        <v>--</v>
      </c>
      <c r="AM26" s="4" t="str">
        <f>IF(ISNUMBER(cash_original!AM26),cash_original!AM26/100000000,cash_original!AM26)</f>
        <v>--</v>
      </c>
      <c r="AN26" s="4" t="str">
        <f>IF(ISNUMBER(cash_original!AN26),cash_original!AN26/100000000,cash_original!AN26)</f>
        <v>--</v>
      </c>
      <c r="AO26" s="4" t="str">
        <f>IF(ISNUMBER(cash_original!AO26),cash_original!AO26/100000000,cash_original!AO26)</f>
        <v>--</v>
      </c>
      <c r="AP26" s="4" t="str">
        <f>IF(ISNUMBER(cash_original!AP26),cash_original!AP26/100000000,cash_original!AP26)</f>
        <v>--</v>
      </c>
      <c r="AQ26" s="4" t="str">
        <f>IF(ISNUMBER(cash_original!AQ26),cash_original!AQ26/100000000,cash_original!AQ26)</f>
        <v>--</v>
      </c>
      <c r="AR26" s="4" t="str">
        <f>IF(ISNUMBER(cash_original!AR26),cash_original!AR26/100000000,cash_original!AR26)</f>
        <v>--</v>
      </c>
      <c r="AS26" s="4" t="str">
        <f>IF(ISNUMBER(cash_original!AS26),cash_original!AS26/100000000,cash_original!AS26)</f>
        <v>--</v>
      </c>
      <c r="AT26" s="4" t="str">
        <f>IF(ISNUMBER(cash_original!AT26),cash_original!AT26/100000000,cash_original!AT26)</f>
        <v>--</v>
      </c>
      <c r="AU26" s="4" t="str">
        <f>IF(ISNUMBER(cash_original!AU26),cash_original!AU26/100000000,cash_original!AU26)</f>
        <v>--</v>
      </c>
      <c r="AV26" s="3" t="s">
        <v>133</v>
      </c>
      <c r="AW26" s="3" t="s">
        <v>133</v>
      </c>
      <c r="AX26" s="3" t="s">
        <v>133</v>
      </c>
      <c r="AY26" s="3" t="s">
        <v>133</v>
      </c>
      <c r="AZ26" s="3" t="s">
        <v>133</v>
      </c>
      <c r="BA26" s="3" t="s">
        <v>133</v>
      </c>
      <c r="BB26" s="3" t="s">
        <v>133</v>
      </c>
      <c r="BC26" s="3" t="s">
        <v>133</v>
      </c>
      <c r="BD26" s="3" t="s">
        <v>133</v>
      </c>
      <c r="BE26" s="3" t="s">
        <v>133</v>
      </c>
      <c r="BF26" s="3" t="s">
        <v>133</v>
      </c>
      <c r="BG26" s="3" t="s">
        <v>133</v>
      </c>
      <c r="BH26" s="3" t="s">
        <v>133</v>
      </c>
      <c r="BI26" s="3" t="s">
        <v>133</v>
      </c>
      <c r="BJ26" s="3" t="s">
        <v>133</v>
      </c>
      <c r="BK26" s="3" t="s">
        <v>133</v>
      </c>
      <c r="BL26" s="3" t="s">
        <v>133</v>
      </c>
      <c r="BM26" s="3" t="s">
        <v>133</v>
      </c>
      <c r="BN26" s="3" t="s">
        <v>133</v>
      </c>
      <c r="BO26" s="3" t="s">
        <v>133</v>
      </c>
      <c r="BP26" s="3" t="s">
        <v>133</v>
      </c>
      <c r="BQ26" s="3" t="s">
        <v>133</v>
      </c>
      <c r="BR26" s="3" t="s">
        <v>133</v>
      </c>
      <c r="BS26" s="3" t="s">
        <v>133</v>
      </c>
      <c r="BT26" s="3" t="s">
        <v>133</v>
      </c>
    </row>
    <row r="27" spans="1:72" x14ac:dyDescent="0.25">
      <c r="A27" s="3" t="s">
        <v>184</v>
      </c>
      <c r="B27" s="4" t="str">
        <f>IF(ISNUMBER(cash_original!B27),cash_original!B27/100000000,cash_original!B27)</f>
        <v>--</v>
      </c>
      <c r="C27" s="4" t="str">
        <f>IF(ISNUMBER(cash_original!C27),cash_original!C27/100000000,cash_original!C27)</f>
        <v>--</v>
      </c>
      <c r="D27" s="4" t="str">
        <f>IF(ISNUMBER(cash_original!D27),cash_original!D27/100000000,cash_original!D27)</f>
        <v>--</v>
      </c>
      <c r="E27" s="4" t="str">
        <f>IF(ISNUMBER(cash_original!E27),cash_original!E27/100000000,cash_original!E27)</f>
        <v>--</v>
      </c>
      <c r="F27" s="4" t="str">
        <f>IF(ISNUMBER(cash_original!F27),cash_original!F27/100000000,cash_original!F27)</f>
        <v>--</v>
      </c>
      <c r="G27" s="4" t="str">
        <f>IF(ISNUMBER(cash_original!G27),cash_original!G27/100000000,cash_original!G27)</f>
        <v>--</v>
      </c>
      <c r="H27" s="4" t="str">
        <f>IF(ISNUMBER(cash_original!H27),cash_original!H27/100000000,cash_original!H27)</f>
        <v>--</v>
      </c>
      <c r="I27" s="4" t="str">
        <f>IF(ISNUMBER(cash_original!I27),cash_original!I27/100000000,cash_original!I27)</f>
        <v>--</v>
      </c>
      <c r="J27" s="4" t="str">
        <f>IF(ISNUMBER(cash_original!J27),cash_original!J27/100000000,cash_original!J27)</f>
        <v>--</v>
      </c>
      <c r="K27" s="4" t="str">
        <f>IF(ISNUMBER(cash_original!K27),cash_original!K27/100000000,cash_original!K27)</f>
        <v>--</v>
      </c>
      <c r="L27" s="4" t="str">
        <f>IF(ISNUMBER(cash_original!L27),cash_original!L27/100000000,cash_original!L27)</f>
        <v>--</v>
      </c>
      <c r="M27" s="4" t="str">
        <f>IF(ISNUMBER(cash_original!M27),cash_original!M27/100000000,cash_original!M27)</f>
        <v>--</v>
      </c>
      <c r="N27" s="4" t="str">
        <f>IF(ISNUMBER(cash_original!N27),cash_original!N27/100000000,cash_original!N27)</f>
        <v>--</v>
      </c>
      <c r="O27" s="4" t="str">
        <f>IF(ISNUMBER(cash_original!O27),cash_original!O27/100000000,cash_original!O27)</f>
        <v>--</v>
      </c>
      <c r="P27" s="4" t="str">
        <f>IF(ISNUMBER(cash_original!P27),cash_original!P27/100000000,cash_original!P27)</f>
        <v>--</v>
      </c>
      <c r="Q27" s="4" t="str">
        <f>IF(ISNUMBER(cash_original!Q27),cash_original!Q27/100000000,cash_original!Q27)</f>
        <v>--</v>
      </c>
      <c r="R27" s="4" t="str">
        <f>IF(ISNUMBER(cash_original!R27),cash_original!R27/100000000,cash_original!R27)</f>
        <v>--</v>
      </c>
      <c r="S27" s="4" t="str">
        <f>IF(ISNUMBER(cash_original!S27),cash_original!S27/100000000,cash_original!S27)</f>
        <v>--</v>
      </c>
      <c r="T27" s="4" t="str">
        <f>IF(ISNUMBER(cash_original!T27),cash_original!T27/100000000,cash_original!T27)</f>
        <v>--</v>
      </c>
      <c r="U27" s="4" t="str">
        <f>IF(ISNUMBER(cash_original!U27),cash_original!U27/100000000,cash_original!U27)</f>
        <v>--</v>
      </c>
      <c r="V27" s="4" t="str">
        <f>IF(ISNUMBER(cash_original!V27),cash_original!V27/100000000,cash_original!V27)</f>
        <v>--</v>
      </c>
      <c r="W27" s="4" t="str">
        <f>IF(ISNUMBER(cash_original!W27),cash_original!W27/100000000,cash_original!W27)</f>
        <v>--</v>
      </c>
      <c r="X27" s="4" t="str">
        <f>IF(ISNUMBER(cash_original!X27),cash_original!X27/100000000,cash_original!X27)</f>
        <v>--</v>
      </c>
      <c r="Y27" s="4">
        <f>IF(ISNUMBER(cash_original!Y27),cash_original!Y27/100000000,cash_original!Y27)</f>
        <v>0.28799999999999998</v>
      </c>
      <c r="Z27" s="4" t="str">
        <f>IF(ISNUMBER(cash_original!Z27),cash_original!Z27/100000000,cash_original!Z27)</f>
        <v>--</v>
      </c>
      <c r="AA27" s="4" t="str">
        <f>IF(ISNUMBER(cash_original!AA27),cash_original!AA27/100000000,cash_original!AA27)</f>
        <v>--</v>
      </c>
      <c r="AB27" s="4" t="str">
        <f>IF(ISNUMBER(cash_original!AB27),cash_original!AB27/100000000,cash_original!AB27)</f>
        <v>--</v>
      </c>
      <c r="AC27" s="4" t="str">
        <f>IF(ISNUMBER(cash_original!AC27),cash_original!AC27/100000000,cash_original!AC27)</f>
        <v>--</v>
      </c>
      <c r="AD27" s="4" t="str">
        <f>IF(ISNUMBER(cash_original!AD27),cash_original!AD27/100000000,cash_original!AD27)</f>
        <v>--</v>
      </c>
      <c r="AE27" s="4" t="str">
        <f>IF(ISNUMBER(cash_original!AE27),cash_original!AE27/100000000,cash_original!AE27)</f>
        <v>--</v>
      </c>
      <c r="AF27" s="4" t="str">
        <f>IF(ISNUMBER(cash_original!AF27),cash_original!AF27/100000000,cash_original!AF27)</f>
        <v>--</v>
      </c>
      <c r="AG27" s="4" t="str">
        <f>IF(ISNUMBER(cash_original!AG27),cash_original!AG27/100000000,cash_original!AG27)</f>
        <v>--</v>
      </c>
      <c r="AH27" s="4" t="str">
        <f>IF(ISNUMBER(cash_original!AH27),cash_original!AH27/100000000,cash_original!AH27)</f>
        <v>--</v>
      </c>
      <c r="AI27" s="4" t="str">
        <f>IF(ISNUMBER(cash_original!AI27),cash_original!AI27/100000000,cash_original!AI27)</f>
        <v>--</v>
      </c>
      <c r="AJ27" s="4" t="str">
        <f>IF(ISNUMBER(cash_original!AJ27),cash_original!AJ27/100000000,cash_original!AJ27)</f>
        <v>--</v>
      </c>
      <c r="AK27" s="4" t="str">
        <f>IF(ISNUMBER(cash_original!AK27),cash_original!AK27/100000000,cash_original!AK27)</f>
        <v>--</v>
      </c>
      <c r="AL27" s="4" t="str">
        <f>IF(ISNUMBER(cash_original!AL27),cash_original!AL27/100000000,cash_original!AL27)</f>
        <v>--</v>
      </c>
      <c r="AM27" s="4" t="str">
        <f>IF(ISNUMBER(cash_original!AM27),cash_original!AM27/100000000,cash_original!AM27)</f>
        <v>--</v>
      </c>
      <c r="AN27" s="4" t="str">
        <f>IF(ISNUMBER(cash_original!AN27),cash_original!AN27/100000000,cash_original!AN27)</f>
        <v>--</v>
      </c>
      <c r="AO27" s="4" t="str">
        <f>IF(ISNUMBER(cash_original!AO27),cash_original!AO27/100000000,cash_original!AO27)</f>
        <v>--</v>
      </c>
      <c r="AP27" s="4" t="str">
        <f>IF(ISNUMBER(cash_original!AP27),cash_original!AP27/100000000,cash_original!AP27)</f>
        <v>--</v>
      </c>
      <c r="AQ27" s="4" t="str">
        <f>IF(ISNUMBER(cash_original!AQ27),cash_original!AQ27/100000000,cash_original!AQ27)</f>
        <v>--</v>
      </c>
      <c r="AR27" s="4" t="str">
        <f>IF(ISNUMBER(cash_original!AR27),cash_original!AR27/100000000,cash_original!AR27)</f>
        <v>--</v>
      </c>
      <c r="AS27" s="4" t="str">
        <f>IF(ISNUMBER(cash_original!AS27),cash_original!AS27/100000000,cash_original!AS27)</f>
        <v>--</v>
      </c>
      <c r="AT27" s="4" t="str">
        <f>IF(ISNUMBER(cash_original!AT27),cash_original!AT27/100000000,cash_original!AT27)</f>
        <v>--</v>
      </c>
      <c r="AU27" s="4" t="str">
        <f>IF(ISNUMBER(cash_original!AU27),cash_original!AU27/100000000,cash_original!AU27)</f>
        <v>--</v>
      </c>
      <c r="AV27" s="3" t="s">
        <v>133</v>
      </c>
      <c r="AW27" s="3" t="s">
        <v>133</v>
      </c>
      <c r="AX27" s="3" t="s">
        <v>133</v>
      </c>
      <c r="AY27" s="3" t="s">
        <v>133</v>
      </c>
      <c r="AZ27" s="3" t="s">
        <v>133</v>
      </c>
      <c r="BA27" s="3" t="s">
        <v>133</v>
      </c>
      <c r="BB27" s="3" t="s">
        <v>133</v>
      </c>
      <c r="BC27" s="3" t="s">
        <v>133</v>
      </c>
      <c r="BD27" s="3" t="s">
        <v>133</v>
      </c>
      <c r="BE27" s="3" t="s">
        <v>133</v>
      </c>
      <c r="BF27" s="3" t="s">
        <v>133</v>
      </c>
      <c r="BG27" s="3" t="s">
        <v>133</v>
      </c>
      <c r="BH27" s="3" t="s">
        <v>133</v>
      </c>
      <c r="BI27" s="3" t="s">
        <v>133</v>
      </c>
      <c r="BJ27" s="3" t="s">
        <v>133</v>
      </c>
      <c r="BK27" s="3" t="s">
        <v>133</v>
      </c>
      <c r="BL27" s="3" t="s">
        <v>133</v>
      </c>
      <c r="BM27" s="3" t="s">
        <v>133</v>
      </c>
      <c r="BN27" s="3" t="s">
        <v>133</v>
      </c>
      <c r="BO27" s="3" t="s">
        <v>133</v>
      </c>
      <c r="BP27" s="3" t="s">
        <v>133</v>
      </c>
      <c r="BQ27" s="3" t="s">
        <v>133</v>
      </c>
      <c r="BR27" s="3" t="s">
        <v>133</v>
      </c>
      <c r="BS27" s="3" t="s">
        <v>133</v>
      </c>
      <c r="BT27" s="3" t="s">
        <v>133</v>
      </c>
    </row>
    <row r="28" spans="1:72" x14ac:dyDescent="0.25">
      <c r="A28" s="3" t="s">
        <v>185</v>
      </c>
      <c r="B28" s="4" t="str">
        <f>IF(ISNUMBER(cash_original!B28),cash_original!B28/100000000,cash_original!B28)</f>
        <v>--</v>
      </c>
      <c r="C28" s="4" t="str">
        <f>IF(ISNUMBER(cash_original!C28),cash_original!C28/100000000,cash_original!C28)</f>
        <v>--</v>
      </c>
      <c r="D28" s="4" t="str">
        <f>IF(ISNUMBER(cash_original!D28),cash_original!D28/100000000,cash_original!D28)</f>
        <v>--</v>
      </c>
      <c r="E28" s="4" t="str">
        <f>IF(ISNUMBER(cash_original!E28),cash_original!E28/100000000,cash_original!E28)</f>
        <v>--</v>
      </c>
      <c r="F28" s="4" t="str">
        <f>IF(ISNUMBER(cash_original!F28),cash_original!F28/100000000,cash_original!F28)</f>
        <v>--</v>
      </c>
      <c r="G28" s="4" t="str">
        <f>IF(ISNUMBER(cash_original!G28),cash_original!G28/100000000,cash_original!G28)</f>
        <v>--</v>
      </c>
      <c r="H28" s="4" t="str">
        <f>IF(ISNUMBER(cash_original!H28),cash_original!H28/100000000,cash_original!H28)</f>
        <v>--</v>
      </c>
      <c r="I28" s="4" t="str">
        <f>IF(ISNUMBER(cash_original!I28),cash_original!I28/100000000,cash_original!I28)</f>
        <v>--</v>
      </c>
      <c r="J28" s="4" t="str">
        <f>IF(ISNUMBER(cash_original!J28),cash_original!J28/100000000,cash_original!J28)</f>
        <v>--</v>
      </c>
      <c r="K28" s="4" t="str">
        <f>IF(ISNUMBER(cash_original!K28),cash_original!K28/100000000,cash_original!K28)</f>
        <v>--</v>
      </c>
      <c r="L28" s="4" t="str">
        <f>IF(ISNUMBER(cash_original!L28),cash_original!L28/100000000,cash_original!L28)</f>
        <v>--</v>
      </c>
      <c r="M28" s="4" t="str">
        <f>IF(ISNUMBER(cash_original!M28),cash_original!M28/100000000,cash_original!M28)</f>
        <v>--</v>
      </c>
      <c r="N28" s="4" t="str">
        <f>IF(ISNUMBER(cash_original!N28),cash_original!N28/100000000,cash_original!N28)</f>
        <v>--</v>
      </c>
      <c r="O28" s="4" t="str">
        <f>IF(ISNUMBER(cash_original!O28),cash_original!O28/100000000,cash_original!O28)</f>
        <v>--</v>
      </c>
      <c r="P28" s="4" t="str">
        <f>IF(ISNUMBER(cash_original!P28),cash_original!P28/100000000,cash_original!P28)</f>
        <v>--</v>
      </c>
      <c r="Q28" s="4" t="str">
        <f>IF(ISNUMBER(cash_original!Q28),cash_original!Q28/100000000,cash_original!Q28)</f>
        <v>--</v>
      </c>
      <c r="R28" s="4" t="str">
        <f>IF(ISNUMBER(cash_original!R28),cash_original!R28/100000000,cash_original!R28)</f>
        <v>--</v>
      </c>
      <c r="S28" s="4" t="str">
        <f>IF(ISNUMBER(cash_original!S28),cash_original!S28/100000000,cash_original!S28)</f>
        <v>--</v>
      </c>
      <c r="T28" s="4" t="str">
        <f>IF(ISNUMBER(cash_original!T28),cash_original!T28/100000000,cash_original!T28)</f>
        <v>--</v>
      </c>
      <c r="U28" s="4" t="str">
        <f>IF(ISNUMBER(cash_original!U28),cash_original!U28/100000000,cash_original!U28)</f>
        <v>--</v>
      </c>
      <c r="V28" s="4" t="str">
        <f>IF(ISNUMBER(cash_original!V28),cash_original!V28/100000000,cash_original!V28)</f>
        <v>--</v>
      </c>
      <c r="W28" s="4" t="str">
        <f>IF(ISNUMBER(cash_original!W28),cash_original!W28/100000000,cash_original!W28)</f>
        <v>--</v>
      </c>
      <c r="X28" s="4" t="str">
        <f>IF(ISNUMBER(cash_original!X28),cash_original!X28/100000000,cash_original!X28)</f>
        <v>--</v>
      </c>
      <c r="Y28" s="4" t="str">
        <f>IF(ISNUMBER(cash_original!Y28),cash_original!Y28/100000000,cash_original!Y28)</f>
        <v>--</v>
      </c>
      <c r="Z28" s="4" t="str">
        <f>IF(ISNUMBER(cash_original!Z28),cash_original!Z28/100000000,cash_original!Z28)</f>
        <v>--</v>
      </c>
      <c r="AA28" s="4" t="str">
        <f>IF(ISNUMBER(cash_original!AA28),cash_original!AA28/100000000,cash_original!AA28)</f>
        <v>--</v>
      </c>
      <c r="AB28" s="4" t="str">
        <f>IF(ISNUMBER(cash_original!AB28),cash_original!AB28/100000000,cash_original!AB28)</f>
        <v>--</v>
      </c>
      <c r="AC28" s="4" t="str">
        <f>IF(ISNUMBER(cash_original!AC28),cash_original!AC28/100000000,cash_original!AC28)</f>
        <v>--</v>
      </c>
      <c r="AD28" s="4" t="str">
        <f>IF(ISNUMBER(cash_original!AD28),cash_original!AD28/100000000,cash_original!AD28)</f>
        <v>--</v>
      </c>
      <c r="AE28" s="4" t="str">
        <f>IF(ISNUMBER(cash_original!AE28),cash_original!AE28/100000000,cash_original!AE28)</f>
        <v>--</v>
      </c>
      <c r="AF28" s="4" t="str">
        <f>IF(ISNUMBER(cash_original!AF28),cash_original!AF28/100000000,cash_original!AF28)</f>
        <v>--</v>
      </c>
      <c r="AG28" s="4" t="str">
        <f>IF(ISNUMBER(cash_original!AG28),cash_original!AG28/100000000,cash_original!AG28)</f>
        <v>--</v>
      </c>
      <c r="AH28" s="4" t="str">
        <f>IF(ISNUMBER(cash_original!AH28),cash_original!AH28/100000000,cash_original!AH28)</f>
        <v>--</v>
      </c>
      <c r="AI28" s="4" t="str">
        <f>IF(ISNUMBER(cash_original!AI28),cash_original!AI28/100000000,cash_original!AI28)</f>
        <v>--</v>
      </c>
      <c r="AJ28" s="4" t="str">
        <f>IF(ISNUMBER(cash_original!AJ28),cash_original!AJ28/100000000,cash_original!AJ28)</f>
        <v>--</v>
      </c>
      <c r="AK28" s="4" t="str">
        <f>IF(ISNUMBER(cash_original!AK28),cash_original!AK28/100000000,cash_original!AK28)</f>
        <v>--</v>
      </c>
      <c r="AL28" s="4" t="str">
        <f>IF(ISNUMBER(cash_original!AL28),cash_original!AL28/100000000,cash_original!AL28)</f>
        <v>--</v>
      </c>
      <c r="AM28" s="4" t="str">
        <f>IF(ISNUMBER(cash_original!AM28),cash_original!AM28/100000000,cash_original!AM28)</f>
        <v>--</v>
      </c>
      <c r="AN28" s="4" t="str">
        <f>IF(ISNUMBER(cash_original!AN28),cash_original!AN28/100000000,cash_original!AN28)</f>
        <v>--</v>
      </c>
      <c r="AO28" s="4" t="str">
        <f>IF(ISNUMBER(cash_original!AO28),cash_original!AO28/100000000,cash_original!AO28)</f>
        <v>--</v>
      </c>
      <c r="AP28" s="4" t="str">
        <f>IF(ISNUMBER(cash_original!AP28),cash_original!AP28/100000000,cash_original!AP28)</f>
        <v>--</v>
      </c>
      <c r="AQ28" s="4" t="str">
        <f>IF(ISNUMBER(cash_original!AQ28),cash_original!AQ28/100000000,cash_original!AQ28)</f>
        <v>--</v>
      </c>
      <c r="AR28" s="4" t="str">
        <f>IF(ISNUMBER(cash_original!AR28),cash_original!AR28/100000000,cash_original!AR28)</f>
        <v>--</v>
      </c>
      <c r="AS28" s="4" t="str">
        <f>IF(ISNUMBER(cash_original!AS28),cash_original!AS28/100000000,cash_original!AS28)</f>
        <v>--</v>
      </c>
      <c r="AT28" s="4" t="str">
        <f>IF(ISNUMBER(cash_original!AT28),cash_original!AT28/100000000,cash_original!AT28)</f>
        <v>--</v>
      </c>
      <c r="AU28" s="4" t="str">
        <f>IF(ISNUMBER(cash_original!AU28),cash_original!AU28/100000000,cash_original!AU28)</f>
        <v>--</v>
      </c>
      <c r="AV28" s="3" t="s">
        <v>133</v>
      </c>
      <c r="AW28" s="3" t="s">
        <v>133</v>
      </c>
      <c r="AX28" s="3" t="s">
        <v>133</v>
      </c>
      <c r="AY28" s="3" t="s">
        <v>133</v>
      </c>
      <c r="AZ28" s="3" t="s">
        <v>133</v>
      </c>
      <c r="BA28" s="3" t="s">
        <v>133</v>
      </c>
      <c r="BB28" s="3" t="s">
        <v>133</v>
      </c>
      <c r="BC28" s="3" t="s">
        <v>133</v>
      </c>
      <c r="BD28" s="3" t="s">
        <v>133</v>
      </c>
      <c r="BE28" s="3" t="s">
        <v>133</v>
      </c>
      <c r="BF28" s="3" t="s">
        <v>133</v>
      </c>
      <c r="BG28" s="3" t="s">
        <v>133</v>
      </c>
      <c r="BH28" s="3" t="s">
        <v>133</v>
      </c>
      <c r="BI28" s="3" t="s">
        <v>133</v>
      </c>
      <c r="BJ28" s="3" t="s">
        <v>133</v>
      </c>
      <c r="BK28" s="3" t="s">
        <v>133</v>
      </c>
      <c r="BL28" s="3" t="s">
        <v>133</v>
      </c>
      <c r="BM28" s="3" t="s">
        <v>133</v>
      </c>
      <c r="BN28" s="3" t="s">
        <v>133</v>
      </c>
      <c r="BO28" s="3" t="s">
        <v>133</v>
      </c>
      <c r="BP28" s="3" t="s">
        <v>133</v>
      </c>
      <c r="BQ28" s="3" t="s">
        <v>133</v>
      </c>
      <c r="BR28" s="3" t="s">
        <v>133</v>
      </c>
      <c r="BS28" s="3" t="s">
        <v>133</v>
      </c>
      <c r="BT28" s="3" t="s">
        <v>133</v>
      </c>
    </row>
    <row r="29" spans="1:72" x14ac:dyDescent="0.25">
      <c r="A29" s="3" t="s">
        <v>186</v>
      </c>
      <c r="B29" s="4" t="str">
        <f>IF(ISNUMBER(cash_original!B29),cash_original!B29/100000000,cash_original!B29)</f>
        <v>--</v>
      </c>
      <c r="C29" s="4" t="str">
        <f>IF(ISNUMBER(cash_original!C29),cash_original!C29/100000000,cash_original!C29)</f>
        <v>--</v>
      </c>
      <c r="D29" s="4" t="str">
        <f>IF(ISNUMBER(cash_original!D29),cash_original!D29/100000000,cash_original!D29)</f>
        <v>--</v>
      </c>
      <c r="E29" s="4" t="str">
        <f>IF(ISNUMBER(cash_original!E29),cash_original!E29/100000000,cash_original!E29)</f>
        <v>--</v>
      </c>
      <c r="F29" s="4" t="str">
        <f>IF(ISNUMBER(cash_original!F29),cash_original!F29/100000000,cash_original!F29)</f>
        <v>--</v>
      </c>
      <c r="G29" s="4" t="str">
        <f>IF(ISNUMBER(cash_original!G29),cash_original!G29/100000000,cash_original!G29)</f>
        <v>--</v>
      </c>
      <c r="H29" s="4" t="str">
        <f>IF(ISNUMBER(cash_original!H29),cash_original!H29/100000000,cash_original!H29)</f>
        <v>--</v>
      </c>
      <c r="I29" s="4" t="str">
        <f>IF(ISNUMBER(cash_original!I29),cash_original!I29/100000000,cash_original!I29)</f>
        <v>--</v>
      </c>
      <c r="J29" s="4" t="str">
        <f>IF(ISNUMBER(cash_original!J29),cash_original!J29/100000000,cash_original!J29)</f>
        <v>--</v>
      </c>
      <c r="K29" s="4" t="str">
        <f>IF(ISNUMBER(cash_original!K29),cash_original!K29/100000000,cash_original!K29)</f>
        <v>--</v>
      </c>
      <c r="L29" s="4" t="str">
        <f>IF(ISNUMBER(cash_original!L29),cash_original!L29/100000000,cash_original!L29)</f>
        <v>--</v>
      </c>
      <c r="M29" s="4" t="str">
        <f>IF(ISNUMBER(cash_original!M29),cash_original!M29/100000000,cash_original!M29)</f>
        <v>--</v>
      </c>
      <c r="N29" s="4" t="str">
        <f>IF(ISNUMBER(cash_original!N29),cash_original!N29/100000000,cash_original!N29)</f>
        <v>--</v>
      </c>
      <c r="O29" s="4" t="str">
        <f>IF(ISNUMBER(cash_original!O29),cash_original!O29/100000000,cash_original!O29)</f>
        <v>--</v>
      </c>
      <c r="P29" s="4" t="str">
        <f>IF(ISNUMBER(cash_original!P29),cash_original!P29/100000000,cash_original!P29)</f>
        <v>--</v>
      </c>
      <c r="Q29" s="4" t="str">
        <f>IF(ISNUMBER(cash_original!Q29),cash_original!Q29/100000000,cash_original!Q29)</f>
        <v>--</v>
      </c>
      <c r="R29" s="4" t="str">
        <f>IF(ISNUMBER(cash_original!R29),cash_original!R29/100000000,cash_original!R29)</f>
        <v>--</v>
      </c>
      <c r="S29" s="4" t="str">
        <f>IF(ISNUMBER(cash_original!S29),cash_original!S29/100000000,cash_original!S29)</f>
        <v>--</v>
      </c>
      <c r="T29" s="4" t="str">
        <f>IF(ISNUMBER(cash_original!T29),cash_original!T29/100000000,cash_original!T29)</f>
        <v>--</v>
      </c>
      <c r="U29" s="4" t="str">
        <f>IF(ISNUMBER(cash_original!U29),cash_original!U29/100000000,cash_original!U29)</f>
        <v>--</v>
      </c>
      <c r="V29" s="4" t="str">
        <f>IF(ISNUMBER(cash_original!V29),cash_original!V29/100000000,cash_original!V29)</f>
        <v>--</v>
      </c>
      <c r="W29" s="4" t="str">
        <f>IF(ISNUMBER(cash_original!W29),cash_original!W29/100000000,cash_original!W29)</f>
        <v>--</v>
      </c>
      <c r="X29" s="4">
        <f>IF(ISNUMBER(cash_original!X29),cash_original!X29/100000000,cash_original!X29)</f>
        <v>0.22</v>
      </c>
      <c r="Y29" s="4" t="str">
        <f>IF(ISNUMBER(cash_original!Y29),cash_original!Y29/100000000,cash_original!Y29)</f>
        <v>--</v>
      </c>
      <c r="Z29" s="4" t="str">
        <f>IF(ISNUMBER(cash_original!Z29),cash_original!Z29/100000000,cash_original!Z29)</f>
        <v>--</v>
      </c>
      <c r="AA29" s="4" t="str">
        <f>IF(ISNUMBER(cash_original!AA29),cash_original!AA29/100000000,cash_original!AA29)</f>
        <v>--</v>
      </c>
      <c r="AB29" s="4" t="str">
        <f>IF(ISNUMBER(cash_original!AB29),cash_original!AB29/100000000,cash_original!AB29)</f>
        <v>--</v>
      </c>
      <c r="AC29" s="4" t="str">
        <f>IF(ISNUMBER(cash_original!AC29),cash_original!AC29/100000000,cash_original!AC29)</f>
        <v>--</v>
      </c>
      <c r="AD29" s="4">
        <f>IF(ISNUMBER(cash_original!AD29),cash_original!AD29/100000000,cash_original!AD29)</f>
        <v>1E-8</v>
      </c>
      <c r="AE29" s="4">
        <f>IF(ISNUMBER(cash_original!AE29),cash_original!AE29/100000000,cash_original!AE29)</f>
        <v>3.8000000000000002E-5</v>
      </c>
      <c r="AF29" s="4">
        <f>IF(ISNUMBER(cash_original!AF29),cash_original!AF29/100000000,cash_original!AF29)</f>
        <v>1.37E-4</v>
      </c>
      <c r="AG29" s="4">
        <f>IF(ISNUMBER(cash_original!AG29),cash_original!AG29/100000000,cash_original!AG29)</f>
        <v>2.2499999999999999E-4</v>
      </c>
      <c r="AH29" s="4">
        <f>IF(ISNUMBER(cash_original!AH29),cash_original!AH29/100000000,cash_original!AH29)</f>
        <v>2.34E-4</v>
      </c>
      <c r="AI29" s="4">
        <f>IF(ISNUMBER(cash_original!AI29),cash_original!AI29/100000000,cash_original!AI29)</f>
        <v>2.1800000000000001E-4</v>
      </c>
      <c r="AJ29" s="4">
        <f>IF(ISNUMBER(cash_original!AJ29),cash_original!AJ29/100000000,cash_original!AJ29)</f>
        <v>2.1900000000000001E-4</v>
      </c>
      <c r="AK29" s="4">
        <f>IF(ISNUMBER(cash_original!AK29),cash_original!AK29/100000000,cash_original!AK29)</f>
        <v>2.5999999999999998E-4</v>
      </c>
      <c r="AL29" s="4">
        <f>IF(ISNUMBER(cash_original!AL29),cash_original!AL29/100000000,cash_original!AL29)</f>
        <v>2.63E-4</v>
      </c>
      <c r="AM29" s="4">
        <f>IF(ISNUMBER(cash_original!AM29),cash_original!AM29/100000000,cash_original!AM29)</f>
        <v>2.5300000000000002E-4</v>
      </c>
      <c r="AN29" s="4">
        <f>IF(ISNUMBER(cash_original!AN29),cash_original!AN29/100000000,cash_original!AN29)</f>
        <v>2.5399999999999999E-4</v>
      </c>
      <c r="AO29" s="4">
        <f>IF(ISNUMBER(cash_original!AO29),cash_original!AO29/100000000,cash_original!AO29)</f>
        <v>2.7099999999999997E-4</v>
      </c>
      <c r="AP29" s="4">
        <f>IF(ISNUMBER(cash_original!AP29),cash_original!AP29/100000000,cash_original!AP29)</f>
        <v>2.14E-4</v>
      </c>
      <c r="AQ29" s="4">
        <f>IF(ISNUMBER(cash_original!AQ29),cash_original!AQ29/100000000,cash_original!AQ29)</f>
        <v>3.0400000000000002E-4</v>
      </c>
      <c r="AR29" s="4">
        <f>IF(ISNUMBER(cash_original!AR29),cash_original!AR29/100000000,cash_original!AR29)</f>
        <v>2.6899999999999998E-4</v>
      </c>
      <c r="AS29" s="4">
        <f>IF(ISNUMBER(cash_original!AS29),cash_original!AS29/100000000,cash_original!AS29)</f>
        <v>2.72E-4</v>
      </c>
      <c r="AT29" s="4">
        <f>IF(ISNUMBER(cash_original!AT29),cash_original!AT29/100000000,cash_original!AT29)</f>
        <v>4.3600000000000003E-4</v>
      </c>
      <c r="AU29" s="4">
        <f>IF(ISNUMBER(cash_original!AU29),cash_original!AU29/100000000,cash_original!AU29)</f>
        <v>4.44E-4</v>
      </c>
      <c r="AV29" s="3">
        <v>43000</v>
      </c>
      <c r="AW29" s="3">
        <v>76600</v>
      </c>
      <c r="AX29" s="3">
        <v>54100</v>
      </c>
      <c r="AY29" s="3">
        <v>37300</v>
      </c>
      <c r="AZ29" s="3">
        <v>593200</v>
      </c>
      <c r="BA29" s="3">
        <v>1224200</v>
      </c>
      <c r="BB29" s="3">
        <v>32400</v>
      </c>
      <c r="BC29" s="3">
        <v>34200</v>
      </c>
      <c r="BD29" s="3">
        <v>213800</v>
      </c>
      <c r="BE29" s="3">
        <v>226300</v>
      </c>
      <c r="BF29" s="3">
        <v>3457000</v>
      </c>
      <c r="BG29" s="3">
        <v>-871200</v>
      </c>
      <c r="BH29" s="3">
        <v>1334200</v>
      </c>
      <c r="BI29" s="3" t="s">
        <v>133</v>
      </c>
      <c r="BJ29" s="3" t="s">
        <v>133</v>
      </c>
      <c r="BK29" s="3" t="s">
        <v>133</v>
      </c>
      <c r="BL29" s="3" t="s">
        <v>133</v>
      </c>
      <c r="BM29" s="3" t="s">
        <v>133</v>
      </c>
      <c r="BN29" s="3" t="s">
        <v>133</v>
      </c>
      <c r="BO29" s="3" t="s">
        <v>133</v>
      </c>
      <c r="BP29" s="3" t="s">
        <v>133</v>
      </c>
      <c r="BQ29" s="3" t="s">
        <v>133</v>
      </c>
      <c r="BR29" s="3" t="s">
        <v>133</v>
      </c>
      <c r="BS29" s="3" t="s">
        <v>133</v>
      </c>
      <c r="BT29" s="3" t="s">
        <v>133</v>
      </c>
    </row>
    <row r="30" spans="1:72" x14ac:dyDescent="0.25">
      <c r="A30" s="3" t="s">
        <v>187</v>
      </c>
      <c r="B30" s="4" t="str">
        <f>IF(ISNUMBER(cash_original!B30),cash_original!B30/100000000,cash_original!B30)</f>
        <v>--</v>
      </c>
      <c r="C30" s="4" t="str">
        <f>IF(ISNUMBER(cash_original!C30),cash_original!C30/100000000,cash_original!C30)</f>
        <v>--</v>
      </c>
      <c r="D30" s="4" t="str">
        <f>IF(ISNUMBER(cash_original!D30),cash_original!D30/100000000,cash_original!D30)</f>
        <v>--</v>
      </c>
      <c r="E30" s="4" t="str">
        <f>IF(ISNUMBER(cash_original!E30),cash_original!E30/100000000,cash_original!E30)</f>
        <v>--</v>
      </c>
      <c r="F30" s="4" t="str">
        <f>IF(ISNUMBER(cash_original!F30),cash_original!F30/100000000,cash_original!F30)</f>
        <v>--</v>
      </c>
      <c r="G30" s="4" t="str">
        <f>IF(ISNUMBER(cash_original!G30),cash_original!G30/100000000,cash_original!G30)</f>
        <v>--</v>
      </c>
      <c r="H30" s="4" t="str">
        <f>IF(ISNUMBER(cash_original!H30),cash_original!H30/100000000,cash_original!H30)</f>
        <v>--</v>
      </c>
      <c r="I30" s="4" t="str">
        <f>IF(ISNUMBER(cash_original!I30),cash_original!I30/100000000,cash_original!I30)</f>
        <v>--</v>
      </c>
      <c r="J30" s="4" t="str">
        <f>IF(ISNUMBER(cash_original!J30),cash_original!J30/100000000,cash_original!J30)</f>
        <v>--</v>
      </c>
      <c r="K30" s="4" t="str">
        <f>IF(ISNUMBER(cash_original!K30),cash_original!K30/100000000,cash_original!K30)</f>
        <v>--</v>
      </c>
      <c r="L30" s="4" t="str">
        <f>IF(ISNUMBER(cash_original!L30),cash_original!L30/100000000,cash_original!L30)</f>
        <v>--</v>
      </c>
      <c r="M30" s="4" t="str">
        <f>IF(ISNUMBER(cash_original!M30),cash_original!M30/100000000,cash_original!M30)</f>
        <v>--</v>
      </c>
      <c r="N30" s="4" t="str">
        <f>IF(ISNUMBER(cash_original!N30),cash_original!N30/100000000,cash_original!N30)</f>
        <v>--</v>
      </c>
      <c r="O30" s="4" t="str">
        <f>IF(ISNUMBER(cash_original!O30),cash_original!O30/100000000,cash_original!O30)</f>
        <v>--</v>
      </c>
      <c r="P30" s="4" t="str">
        <f>IF(ISNUMBER(cash_original!P30),cash_original!P30/100000000,cash_original!P30)</f>
        <v>--</v>
      </c>
      <c r="Q30" s="4" t="str">
        <f>IF(ISNUMBER(cash_original!Q30),cash_original!Q30/100000000,cash_original!Q30)</f>
        <v>--</v>
      </c>
      <c r="R30" s="4" t="str">
        <f>IF(ISNUMBER(cash_original!R30),cash_original!R30/100000000,cash_original!R30)</f>
        <v>--</v>
      </c>
      <c r="S30" s="4" t="str">
        <f>IF(ISNUMBER(cash_original!S30),cash_original!S30/100000000,cash_original!S30)</f>
        <v>--</v>
      </c>
      <c r="T30" s="4" t="str">
        <f>IF(ISNUMBER(cash_original!T30),cash_original!T30/100000000,cash_original!T30)</f>
        <v>--</v>
      </c>
      <c r="U30" s="4" t="str">
        <f>IF(ISNUMBER(cash_original!U30),cash_original!U30/100000000,cash_original!U30)</f>
        <v>--</v>
      </c>
      <c r="V30" s="4" t="str">
        <f>IF(ISNUMBER(cash_original!V30),cash_original!V30/100000000,cash_original!V30)</f>
        <v>--</v>
      </c>
      <c r="W30" s="4" t="str">
        <f>IF(ISNUMBER(cash_original!W30),cash_original!W30/100000000,cash_original!W30)</f>
        <v>--</v>
      </c>
      <c r="X30" s="4">
        <f>IF(ISNUMBER(cash_original!X30),cash_original!X30/100000000,cash_original!X30)</f>
        <v>0.22</v>
      </c>
      <c r="Y30" s="4">
        <f>IF(ISNUMBER(cash_original!Y30),cash_original!Y30/100000000,cash_original!Y30)</f>
        <v>0.96182606999999998</v>
      </c>
      <c r="Z30" s="4" t="str">
        <f>IF(ISNUMBER(cash_original!Z30),cash_original!Z30/100000000,cash_original!Z30)</f>
        <v>--</v>
      </c>
      <c r="AA30" s="4" t="str">
        <f>IF(ISNUMBER(cash_original!AA30),cash_original!AA30/100000000,cash_original!AA30)</f>
        <v>--</v>
      </c>
      <c r="AB30" s="4" t="str">
        <f>IF(ISNUMBER(cash_original!AB30),cash_original!AB30/100000000,cash_original!AB30)</f>
        <v>--</v>
      </c>
      <c r="AC30" s="4">
        <f>IF(ISNUMBER(cash_original!AC30),cash_original!AC30/100000000,cash_original!AC30)</f>
        <v>0.06</v>
      </c>
      <c r="AD30" s="4">
        <f>IF(ISNUMBER(cash_original!AD30),cash_original!AD30/100000000,cash_original!AD30)</f>
        <v>8.9000000000000003E-9</v>
      </c>
      <c r="AE30" s="4">
        <f>IF(ISNUMBER(cash_original!AE30),cash_original!AE30/100000000,cash_original!AE30)</f>
        <v>3.7896299999999998E-5</v>
      </c>
      <c r="AF30" s="4">
        <f>IF(ISNUMBER(cash_original!AF30),cash_original!AF30/100000000,cash_original!AF30)</f>
        <v>1.3684259999999999E-4</v>
      </c>
      <c r="AG30" s="4">
        <f>IF(ISNUMBER(cash_original!AG30),cash_original!AG30/100000000,cash_original!AG30)</f>
        <v>3.9202246676999999</v>
      </c>
      <c r="AH30" s="4">
        <f>IF(ISNUMBER(cash_original!AH30),cash_original!AH30/100000000,cash_original!AH30)</f>
        <v>2.3404720000000002E-4</v>
      </c>
      <c r="AI30" s="4">
        <f>IF(ISNUMBER(cash_original!AI30),cash_original!AI30/100000000,cash_original!AI30)</f>
        <v>2.175914E-4</v>
      </c>
      <c r="AJ30" s="4">
        <f>IF(ISNUMBER(cash_original!AJ30),cash_original!AJ30/100000000,cash_original!AJ30)</f>
        <v>2.1866520000000001E-4</v>
      </c>
      <c r="AK30" s="4">
        <f>IF(ISNUMBER(cash_original!AK30),cash_original!AK30/100000000,cash_original!AK30)</f>
        <v>2.6009060000000003E-4</v>
      </c>
      <c r="AL30" s="4">
        <f>IF(ISNUMBER(cash_original!AL30),cash_original!AL30/100000000,cash_original!AL30)</f>
        <v>2.6261390000000001E-4</v>
      </c>
      <c r="AM30" s="4">
        <f>IF(ISNUMBER(cash_original!AM30),cash_original!AM30/100000000,cash_original!AM30)</f>
        <v>2.5316770000000002E-4</v>
      </c>
      <c r="AN30" s="4">
        <f>IF(ISNUMBER(cash_original!AN30),cash_original!AN30/100000000,cash_original!AN30)</f>
        <v>2.5385150000000004E-4</v>
      </c>
      <c r="AO30" s="4">
        <f>IF(ISNUMBER(cash_original!AO30),cash_original!AO30/100000000,cash_original!AO30)</f>
        <v>2.7136409999999999E-4</v>
      </c>
      <c r="AP30" s="4">
        <f>IF(ISNUMBER(cash_original!AP30),cash_original!AP30/100000000,cash_original!AP30)</f>
        <v>2.1389909999999999E-4</v>
      </c>
      <c r="AQ30" s="4">
        <f>IF(ISNUMBER(cash_original!AQ30),cash_original!AQ30/100000000,cash_original!AQ30)</f>
        <v>3.0383990000000001E-4</v>
      </c>
      <c r="AR30" s="4">
        <f>IF(ISNUMBER(cash_original!AR30),cash_original!AR30/100000000,cash_original!AR30)</f>
        <v>2.6891300000000002E-4</v>
      </c>
      <c r="AS30" s="4">
        <f>IF(ISNUMBER(cash_original!AS30),cash_original!AS30/100000000,cash_original!AS30)</f>
        <v>2.7180640000000001E-4</v>
      </c>
      <c r="AT30" s="4">
        <f>IF(ISNUMBER(cash_original!AT30),cash_original!AT30/100000000,cash_original!AT30)</f>
        <v>4.3551959999999998E-4</v>
      </c>
      <c r="AU30" s="4">
        <f>IF(ISNUMBER(cash_original!AU30),cash_original!AU30/100000000,cash_original!AU30)</f>
        <v>4.4437140000000002E-4</v>
      </c>
      <c r="AV30" s="3">
        <v>42952.08</v>
      </c>
      <c r="AW30" s="3">
        <v>76607.64</v>
      </c>
      <c r="AX30" s="3">
        <v>54137.87</v>
      </c>
      <c r="AY30" s="3">
        <v>37266.71</v>
      </c>
      <c r="AZ30" s="3">
        <v>593163.85</v>
      </c>
      <c r="BA30" s="3">
        <v>1224218.28</v>
      </c>
      <c r="BB30" s="3">
        <v>32406.13</v>
      </c>
      <c r="BC30" s="3">
        <v>34246.589999999997</v>
      </c>
      <c r="BD30" s="3">
        <v>213750</v>
      </c>
      <c r="BE30" s="3">
        <v>226286.95</v>
      </c>
      <c r="BF30" s="3">
        <v>3456988.13</v>
      </c>
      <c r="BG30" s="3">
        <v>-871170.34</v>
      </c>
      <c r="BH30" s="3">
        <v>1334218.3600000001</v>
      </c>
      <c r="BI30" s="3" t="s">
        <v>133</v>
      </c>
      <c r="BJ30" s="3" t="s">
        <v>133</v>
      </c>
      <c r="BK30" s="3" t="s">
        <v>133</v>
      </c>
      <c r="BL30" s="3" t="s">
        <v>133</v>
      </c>
      <c r="BM30" s="3" t="s">
        <v>133</v>
      </c>
      <c r="BN30" s="3" t="s">
        <v>133</v>
      </c>
      <c r="BO30" s="3" t="s">
        <v>133</v>
      </c>
      <c r="BP30" s="3" t="s">
        <v>133</v>
      </c>
      <c r="BQ30" s="3" t="s">
        <v>133</v>
      </c>
      <c r="BR30" s="3" t="s">
        <v>133</v>
      </c>
      <c r="BS30" s="3" t="s">
        <v>133</v>
      </c>
      <c r="BT30" s="3" t="s">
        <v>133</v>
      </c>
    </row>
    <row r="31" spans="1:72" x14ac:dyDescent="0.25">
      <c r="A31" s="3" t="s">
        <v>188</v>
      </c>
      <c r="B31" s="4" t="str">
        <f>IF(ISNUMBER(cash_original!B31),cash_original!B31/100000000,cash_original!B31)</f>
        <v>--</v>
      </c>
      <c r="C31" s="4" t="str">
        <f>IF(ISNUMBER(cash_original!C31),cash_original!C31/100000000,cash_original!C31)</f>
        <v>--</v>
      </c>
      <c r="D31" s="4" t="str">
        <f>IF(ISNUMBER(cash_original!D31),cash_original!D31/100000000,cash_original!D31)</f>
        <v>--</v>
      </c>
      <c r="E31" s="4" t="str">
        <f>IF(ISNUMBER(cash_original!E31),cash_original!E31/100000000,cash_original!E31)</f>
        <v>--</v>
      </c>
      <c r="F31" s="4" t="str">
        <f>IF(ISNUMBER(cash_original!F31),cash_original!F31/100000000,cash_original!F31)</f>
        <v>--</v>
      </c>
      <c r="G31" s="4" t="str">
        <f>IF(ISNUMBER(cash_original!G31),cash_original!G31/100000000,cash_original!G31)</f>
        <v>--</v>
      </c>
      <c r="H31" s="4" t="str">
        <f>IF(ISNUMBER(cash_original!H31),cash_original!H31/100000000,cash_original!H31)</f>
        <v>--</v>
      </c>
      <c r="I31" s="4" t="str">
        <f>IF(ISNUMBER(cash_original!I31),cash_original!I31/100000000,cash_original!I31)</f>
        <v>--</v>
      </c>
      <c r="J31" s="4" t="str">
        <f>IF(ISNUMBER(cash_original!J31),cash_original!J31/100000000,cash_original!J31)</f>
        <v>--</v>
      </c>
      <c r="K31" s="4" t="str">
        <f>IF(ISNUMBER(cash_original!K31),cash_original!K31/100000000,cash_original!K31)</f>
        <v>--</v>
      </c>
      <c r="L31" s="4" t="str">
        <f>IF(ISNUMBER(cash_original!L31),cash_original!L31/100000000,cash_original!L31)</f>
        <v>--</v>
      </c>
      <c r="M31" s="4" t="str">
        <f>IF(ISNUMBER(cash_original!M31),cash_original!M31/100000000,cash_original!M31)</f>
        <v>--</v>
      </c>
      <c r="N31" s="4" t="str">
        <f>IF(ISNUMBER(cash_original!N31),cash_original!N31/100000000,cash_original!N31)</f>
        <v>--</v>
      </c>
      <c r="O31" s="4" t="str">
        <f>IF(ISNUMBER(cash_original!O31),cash_original!O31/100000000,cash_original!O31)</f>
        <v>--</v>
      </c>
      <c r="P31" s="4" t="str">
        <f>IF(ISNUMBER(cash_original!P31),cash_original!P31/100000000,cash_original!P31)</f>
        <v>--</v>
      </c>
      <c r="Q31" s="4" t="str">
        <f>IF(ISNUMBER(cash_original!Q31),cash_original!Q31/100000000,cash_original!Q31)</f>
        <v>--</v>
      </c>
      <c r="R31" s="4" t="str">
        <f>IF(ISNUMBER(cash_original!R31),cash_original!R31/100000000,cash_original!R31)</f>
        <v>--</v>
      </c>
      <c r="S31" s="4" t="str">
        <f>IF(ISNUMBER(cash_original!S31),cash_original!S31/100000000,cash_original!S31)</f>
        <v>--</v>
      </c>
      <c r="T31" s="4" t="str">
        <f>IF(ISNUMBER(cash_original!T31),cash_original!T31/100000000,cash_original!T31)</f>
        <v>--</v>
      </c>
      <c r="U31" s="4" t="str">
        <f>IF(ISNUMBER(cash_original!U31),cash_original!U31/100000000,cash_original!U31)</f>
        <v>--</v>
      </c>
      <c r="V31" s="4" t="str">
        <f>IF(ISNUMBER(cash_original!V31),cash_original!V31/100000000,cash_original!V31)</f>
        <v>--</v>
      </c>
      <c r="W31" s="4" t="str">
        <f>IF(ISNUMBER(cash_original!W31),cash_original!W31/100000000,cash_original!W31)</f>
        <v>--</v>
      </c>
      <c r="X31" s="4">
        <f>IF(ISNUMBER(cash_original!X31),cash_original!X31/100000000,cash_original!X31)</f>
        <v>0.55917671999999996</v>
      </c>
      <c r="Y31" s="4" t="str">
        <f>IF(ISNUMBER(cash_original!Y31),cash_original!Y31/100000000,cash_original!Y31)</f>
        <v>--</v>
      </c>
      <c r="Z31" s="4" t="str">
        <f>IF(ISNUMBER(cash_original!Z31),cash_original!Z31/100000000,cash_original!Z31)</f>
        <v>--</v>
      </c>
      <c r="AA31" s="4" t="str">
        <f>IF(ISNUMBER(cash_original!AA31),cash_original!AA31/100000000,cash_original!AA31)</f>
        <v>--</v>
      </c>
      <c r="AB31" s="4" t="str">
        <f>IF(ISNUMBER(cash_original!AB31),cash_original!AB31/100000000,cash_original!AB31)</f>
        <v>--</v>
      </c>
      <c r="AC31" s="4" t="str">
        <f>IF(ISNUMBER(cash_original!AC31),cash_original!AC31/100000000,cash_original!AC31)</f>
        <v>--</v>
      </c>
      <c r="AD31" s="4" t="str">
        <f>IF(ISNUMBER(cash_original!AD31),cash_original!AD31/100000000,cash_original!AD31)</f>
        <v>--</v>
      </c>
      <c r="AE31" s="4" t="str">
        <f>IF(ISNUMBER(cash_original!AE31),cash_original!AE31/100000000,cash_original!AE31)</f>
        <v>--</v>
      </c>
      <c r="AF31" s="4" t="str">
        <f>IF(ISNUMBER(cash_original!AF31),cash_original!AF31/100000000,cash_original!AF31)</f>
        <v>--</v>
      </c>
      <c r="AG31" s="4" t="str">
        <f>IF(ISNUMBER(cash_original!AG31),cash_original!AG31/100000000,cash_original!AG31)</f>
        <v>--</v>
      </c>
      <c r="AH31" s="4" t="str">
        <f>IF(ISNUMBER(cash_original!AH31),cash_original!AH31/100000000,cash_original!AH31)</f>
        <v>--</v>
      </c>
      <c r="AI31" s="4" t="str">
        <f>IF(ISNUMBER(cash_original!AI31),cash_original!AI31/100000000,cash_original!AI31)</f>
        <v>--</v>
      </c>
      <c r="AJ31" s="4" t="str">
        <f>IF(ISNUMBER(cash_original!AJ31),cash_original!AJ31/100000000,cash_original!AJ31)</f>
        <v>--</v>
      </c>
      <c r="AK31" s="4" t="str">
        <f>IF(ISNUMBER(cash_original!AK31),cash_original!AK31/100000000,cash_original!AK31)</f>
        <v>--</v>
      </c>
      <c r="AL31" s="4" t="str">
        <f>IF(ISNUMBER(cash_original!AL31),cash_original!AL31/100000000,cash_original!AL31)</f>
        <v>--</v>
      </c>
      <c r="AM31" s="4" t="str">
        <f>IF(ISNUMBER(cash_original!AM31),cash_original!AM31/100000000,cash_original!AM31)</f>
        <v>--</v>
      </c>
      <c r="AN31" s="4" t="str">
        <f>IF(ISNUMBER(cash_original!AN31),cash_original!AN31/100000000,cash_original!AN31)</f>
        <v>--</v>
      </c>
      <c r="AO31" s="4" t="str">
        <f>IF(ISNUMBER(cash_original!AO31),cash_original!AO31/100000000,cash_original!AO31)</f>
        <v>--</v>
      </c>
      <c r="AP31" s="4" t="str">
        <f>IF(ISNUMBER(cash_original!AP31),cash_original!AP31/100000000,cash_original!AP31)</f>
        <v>--</v>
      </c>
      <c r="AQ31" s="4" t="str">
        <f>IF(ISNUMBER(cash_original!AQ31),cash_original!AQ31/100000000,cash_original!AQ31)</f>
        <v>--</v>
      </c>
      <c r="AR31" s="4" t="str">
        <f>IF(ISNUMBER(cash_original!AR31),cash_original!AR31/100000000,cash_original!AR31)</f>
        <v>--</v>
      </c>
      <c r="AS31" s="4" t="str">
        <f>IF(ISNUMBER(cash_original!AS31),cash_original!AS31/100000000,cash_original!AS31)</f>
        <v>--</v>
      </c>
      <c r="AT31" s="4" t="str">
        <f>IF(ISNUMBER(cash_original!AT31),cash_original!AT31/100000000,cash_original!AT31)</f>
        <v>--</v>
      </c>
      <c r="AU31" s="4" t="str">
        <f>IF(ISNUMBER(cash_original!AU31),cash_original!AU31/100000000,cash_original!AU31)</f>
        <v>--</v>
      </c>
      <c r="AV31" s="3" t="s">
        <v>133</v>
      </c>
      <c r="AW31" s="3" t="s">
        <v>133</v>
      </c>
      <c r="AX31" s="3" t="s">
        <v>133</v>
      </c>
      <c r="AY31" s="3" t="s">
        <v>133</v>
      </c>
      <c r="AZ31" s="3" t="s">
        <v>133</v>
      </c>
      <c r="BA31" s="3" t="s">
        <v>133</v>
      </c>
      <c r="BB31" s="3" t="s">
        <v>133</v>
      </c>
      <c r="BC31" s="3" t="s">
        <v>133</v>
      </c>
      <c r="BD31" s="3" t="s">
        <v>133</v>
      </c>
      <c r="BE31" s="3" t="s">
        <v>133</v>
      </c>
      <c r="BF31" s="3" t="s">
        <v>133</v>
      </c>
      <c r="BG31" s="3" t="s">
        <v>133</v>
      </c>
      <c r="BH31" s="3" t="s">
        <v>133</v>
      </c>
      <c r="BI31" s="3" t="s">
        <v>133</v>
      </c>
      <c r="BJ31" s="3" t="s">
        <v>133</v>
      </c>
      <c r="BK31" s="3" t="s">
        <v>133</v>
      </c>
      <c r="BL31" s="3" t="s">
        <v>133</v>
      </c>
      <c r="BM31" s="3" t="s">
        <v>133</v>
      </c>
      <c r="BN31" s="3" t="s">
        <v>133</v>
      </c>
      <c r="BO31" s="3" t="s">
        <v>133</v>
      </c>
      <c r="BP31" s="3" t="s">
        <v>133</v>
      </c>
      <c r="BQ31" s="3" t="s">
        <v>133</v>
      </c>
      <c r="BR31" s="3" t="s">
        <v>133</v>
      </c>
      <c r="BS31" s="3" t="s">
        <v>133</v>
      </c>
      <c r="BT31" s="3" t="s">
        <v>133</v>
      </c>
    </row>
    <row r="32" spans="1:72" x14ac:dyDescent="0.25">
      <c r="A32" s="3" t="s">
        <v>189</v>
      </c>
      <c r="B32" s="4">
        <f>IF(ISNUMBER(cash_original!B32),cash_original!B32/100000000,cash_original!B32)</f>
        <v>1.4409019999999999</v>
      </c>
      <c r="C32" s="4">
        <f>IF(ISNUMBER(cash_original!C32),cash_original!C32/100000000,cash_original!C32)</f>
        <v>232.82981100000001</v>
      </c>
      <c r="D32" s="4">
        <f>IF(ISNUMBER(cash_original!D32),cash_original!D32/100000000,cash_original!D32)</f>
        <v>4.5123439999999997</v>
      </c>
      <c r="E32" s="4">
        <f>IF(ISNUMBER(cash_original!E32),cash_original!E32/100000000,cash_original!E32)</f>
        <v>-3.7454000000000001E-2</v>
      </c>
      <c r="F32" s="4">
        <f>IF(ISNUMBER(cash_original!F32),cash_original!F32/100000000,cash_original!F32)</f>
        <v>2.5591840000000001</v>
      </c>
      <c r="G32" s="4" t="str">
        <f>IF(ISNUMBER(cash_original!G32),cash_original!G32/100000000,cash_original!G32)</f>
        <v>--</v>
      </c>
      <c r="H32" s="4" t="str">
        <f>IF(ISNUMBER(cash_original!H32),cash_original!H32/100000000,cash_original!H32)</f>
        <v>--</v>
      </c>
      <c r="I32" s="4">
        <f>IF(ISNUMBER(cash_original!I32),cash_original!I32/100000000,cash_original!I32)</f>
        <v>5.7000000000000002E-2</v>
      </c>
      <c r="J32" s="4">
        <f>IF(ISNUMBER(cash_original!J32),cash_original!J32/100000000,cash_original!J32)</f>
        <v>25.804735000000001</v>
      </c>
      <c r="K32" s="4" t="str">
        <f>IF(ISNUMBER(cash_original!K32),cash_original!K32/100000000,cash_original!K32)</f>
        <v>--</v>
      </c>
      <c r="L32" s="4" t="str">
        <f>IF(ISNUMBER(cash_original!L32),cash_original!L32/100000000,cash_original!L32)</f>
        <v>--</v>
      </c>
      <c r="M32" s="4">
        <f>IF(ISNUMBER(cash_original!M32),cash_original!M32/100000000,cash_original!M32)</f>
        <v>0.06</v>
      </c>
      <c r="N32" s="4">
        <f>IF(ISNUMBER(cash_original!N32),cash_original!N32/100000000,cash_original!N32)</f>
        <v>85.291779000000005</v>
      </c>
      <c r="O32" s="4" t="str">
        <f>IF(ISNUMBER(cash_original!O32),cash_original!O32/100000000,cash_original!O32)</f>
        <v>--</v>
      </c>
      <c r="P32" s="4" t="str">
        <f>IF(ISNUMBER(cash_original!P32),cash_original!P32/100000000,cash_original!P32)</f>
        <v>--</v>
      </c>
      <c r="Q32" s="4">
        <f>IF(ISNUMBER(cash_original!Q32),cash_original!Q32/100000000,cash_original!Q32)</f>
        <v>0.66448300000000005</v>
      </c>
      <c r="R32" s="4">
        <f>IF(ISNUMBER(cash_original!R32),cash_original!R32/100000000,cash_original!R32)</f>
        <v>50.009900999999999</v>
      </c>
      <c r="S32" s="4">
        <f>IF(ISNUMBER(cash_original!S32),cash_original!S32/100000000,cash_original!S32)</f>
        <v>27.745664999999999</v>
      </c>
      <c r="T32" s="4">
        <f>IF(ISNUMBER(cash_original!T32),cash_original!T32/100000000,cash_original!T32)</f>
        <v>5.0850730000000004</v>
      </c>
      <c r="U32" s="4">
        <f>IF(ISNUMBER(cash_original!U32),cash_original!U32/100000000,cash_original!U32)</f>
        <v>4.6430000000000004E-3</v>
      </c>
      <c r="V32" s="4">
        <f>IF(ISNUMBER(cash_original!V32),cash_original!V32/100000000,cash_original!V32)</f>
        <v>55.526128999999997</v>
      </c>
      <c r="W32" s="4">
        <f>IF(ISNUMBER(cash_original!W32),cash_original!W32/100000000,cash_original!W32)</f>
        <v>3.006E-3</v>
      </c>
      <c r="X32" s="4">
        <f>IF(ISNUMBER(cash_original!X32),cash_original!X32/100000000,cash_original!X32)</f>
        <v>7.2420000000000002E-3</v>
      </c>
      <c r="Y32" s="4">
        <f>IF(ISNUMBER(cash_original!Y32),cash_original!Y32/100000000,cash_original!Y32)</f>
        <v>0.16217500000000001</v>
      </c>
      <c r="Z32" s="4" t="str">
        <f>IF(ISNUMBER(cash_original!Z32),cash_original!Z32/100000000,cash_original!Z32)</f>
        <v>--</v>
      </c>
      <c r="AA32" s="4" t="str">
        <f>IF(ISNUMBER(cash_original!AA32),cash_original!AA32/100000000,cash_original!AA32)</f>
        <v>--</v>
      </c>
      <c r="AB32" s="4" t="str">
        <f>IF(ISNUMBER(cash_original!AB32),cash_original!AB32/100000000,cash_original!AB32)</f>
        <v>--</v>
      </c>
      <c r="AC32" s="4">
        <f>IF(ISNUMBER(cash_original!AC32),cash_original!AC32/100000000,cash_original!AC32)</f>
        <v>0.47667399999999999</v>
      </c>
      <c r="AD32" s="4">
        <f>IF(ISNUMBER(cash_original!AD32),cash_original!AD32/100000000,cash_original!AD32)</f>
        <v>5.5391009999999996</v>
      </c>
      <c r="AE32" s="4">
        <f>IF(ISNUMBER(cash_original!AE32),cash_original!AE32/100000000,cash_original!AE32)</f>
        <v>66.920165999999995</v>
      </c>
      <c r="AF32" s="4">
        <f>IF(ISNUMBER(cash_original!AF32),cash_original!AF32/100000000,cash_original!AF32)</f>
        <v>0.98394499999999996</v>
      </c>
      <c r="AG32" s="4">
        <f>IF(ISNUMBER(cash_original!AG32),cash_original!AG32/100000000,cash_original!AG32)</f>
        <v>1.956885</v>
      </c>
      <c r="AH32" s="4">
        <f>IF(ISNUMBER(cash_original!AH32),cash_original!AH32/100000000,cash_original!AH32)</f>
        <v>40.557108999999997</v>
      </c>
      <c r="AI32" s="4">
        <f>IF(ISNUMBER(cash_original!AI32),cash_original!AI32/100000000,cash_original!AI32)</f>
        <v>2.2499999999999999E-2</v>
      </c>
      <c r="AJ32" s="4">
        <f>IF(ISNUMBER(cash_original!AJ32),cash_original!AJ32/100000000,cash_original!AJ32)</f>
        <v>0.52964699999999998</v>
      </c>
      <c r="AK32" s="4">
        <f>IF(ISNUMBER(cash_original!AK32),cash_original!AK32/100000000,cash_original!AK32)</f>
        <v>2.3244189999999998</v>
      </c>
      <c r="AL32" s="4">
        <f>IF(ISNUMBER(cash_original!AL32),cash_original!AL32/100000000,cash_original!AL32)</f>
        <v>22.092648000000001</v>
      </c>
      <c r="AM32" s="4" t="str">
        <f>IF(ISNUMBER(cash_original!AM32),cash_original!AM32/100000000,cash_original!AM32)</f>
        <v>--</v>
      </c>
      <c r="AN32" s="4" t="str">
        <f>IF(ISNUMBER(cash_original!AN32),cash_original!AN32/100000000,cash_original!AN32)</f>
        <v>--</v>
      </c>
      <c r="AO32" s="4">
        <f>IF(ISNUMBER(cash_original!AO32),cash_original!AO32/100000000,cash_original!AO32)</f>
        <v>0.38431599999999999</v>
      </c>
      <c r="AP32" s="4">
        <f>IF(ISNUMBER(cash_original!AP32),cash_original!AP32/100000000,cash_original!AP32)</f>
        <v>11.150617</v>
      </c>
      <c r="AQ32" s="4">
        <f>IF(ISNUMBER(cash_original!AQ32),cash_original!AQ32/100000000,cash_original!AQ32)</f>
        <v>2.2499999999999999E-2</v>
      </c>
      <c r="AR32" s="4">
        <f>IF(ISNUMBER(cash_original!AR32),cash_original!AR32/100000000,cash_original!AR32)</f>
        <v>1.372077</v>
      </c>
      <c r="AS32" s="4">
        <f>IF(ISNUMBER(cash_original!AS32),cash_original!AS32/100000000,cash_original!AS32)</f>
        <v>4.5009999999999998E-3</v>
      </c>
      <c r="AT32" s="4">
        <f>IF(ISNUMBER(cash_original!AT32),cash_original!AT32/100000000,cash_original!AT32)</f>
        <v>10.604424</v>
      </c>
      <c r="AU32" s="4">
        <f>IF(ISNUMBER(cash_original!AU32),cash_original!AU32/100000000,cash_original!AU32)</f>
        <v>1.7245140000000001</v>
      </c>
      <c r="AV32" s="3">
        <v>1800000</v>
      </c>
      <c r="AW32" s="3">
        <v>115387000</v>
      </c>
      <c r="AX32" s="3">
        <v>2799300</v>
      </c>
      <c r="AY32" s="3" t="s">
        <v>133</v>
      </c>
      <c r="AZ32" s="3" t="s">
        <v>133</v>
      </c>
      <c r="BA32" s="3">
        <v>74600</v>
      </c>
      <c r="BB32" s="3">
        <v>705891500</v>
      </c>
      <c r="BC32" s="3">
        <v>1066300</v>
      </c>
      <c r="BD32" s="3">
        <v>-166300</v>
      </c>
      <c r="BE32" s="3">
        <v>2331700</v>
      </c>
      <c r="BF32" s="3">
        <v>1537700</v>
      </c>
      <c r="BG32" s="3">
        <v>721271900</v>
      </c>
      <c r="BH32" s="3">
        <v>34997800</v>
      </c>
      <c r="BI32" s="3">
        <v>15294900</v>
      </c>
      <c r="BJ32" s="3">
        <v>149371800</v>
      </c>
      <c r="BK32" s="3">
        <v>13343200</v>
      </c>
      <c r="BL32" s="3">
        <v>13693900</v>
      </c>
      <c r="BM32" s="3">
        <v>-2928200</v>
      </c>
      <c r="BN32" s="3">
        <v>74296700</v>
      </c>
      <c r="BO32" s="3">
        <v>-3095000</v>
      </c>
      <c r="BP32" s="3">
        <v>-5959100</v>
      </c>
      <c r="BQ32" s="3">
        <v>-3643500</v>
      </c>
      <c r="BR32" s="3">
        <v>42171300</v>
      </c>
      <c r="BS32" s="3">
        <v>11046600</v>
      </c>
      <c r="BT32" s="3">
        <v>-2188400</v>
      </c>
    </row>
    <row r="33" spans="1:72" x14ac:dyDescent="0.25">
      <c r="A33" s="3" t="s">
        <v>190</v>
      </c>
      <c r="B33" s="4">
        <f>IF(ISNUMBER(cash_original!B33),cash_original!B33/100000000,cash_original!B33)</f>
        <v>1.4409019999999999</v>
      </c>
      <c r="C33" s="4">
        <f>IF(ISNUMBER(cash_original!C33),cash_original!C33/100000000,cash_original!C33)</f>
        <v>18.962136000000001</v>
      </c>
      <c r="D33" s="4">
        <f>IF(ISNUMBER(cash_original!D33),cash_original!D33/100000000,cash_original!D33)</f>
        <v>4.5123439999999997</v>
      </c>
      <c r="E33" s="4">
        <f>IF(ISNUMBER(cash_original!E33),cash_original!E33/100000000,cash_original!E33)</f>
        <v>0.56999999999999995</v>
      </c>
      <c r="F33" s="4" t="str">
        <f>IF(ISNUMBER(cash_original!F33),cash_original!F33/100000000,cash_original!F33)</f>
        <v>--</v>
      </c>
      <c r="G33" s="4" t="str">
        <f>IF(ISNUMBER(cash_original!G33),cash_original!G33/100000000,cash_original!G33)</f>
        <v>--</v>
      </c>
      <c r="H33" s="4" t="str">
        <f>IF(ISNUMBER(cash_original!H33),cash_original!H33/100000000,cash_original!H33)</f>
        <v>--</v>
      </c>
      <c r="I33" s="4">
        <f>IF(ISNUMBER(cash_original!I33),cash_original!I33/100000000,cash_original!I33)</f>
        <v>5.7000000000000002E-2</v>
      </c>
      <c r="J33" s="4">
        <f>IF(ISNUMBER(cash_original!J33),cash_original!J33/100000000,cash_original!J33)</f>
        <v>25.804735000000001</v>
      </c>
      <c r="K33" s="4" t="str">
        <f>IF(ISNUMBER(cash_original!K33),cash_original!K33/100000000,cash_original!K33)</f>
        <v>--</v>
      </c>
      <c r="L33" s="4" t="str">
        <f>IF(ISNUMBER(cash_original!L33),cash_original!L33/100000000,cash_original!L33)</f>
        <v>--</v>
      </c>
      <c r="M33" s="4">
        <f>IF(ISNUMBER(cash_original!M33),cash_original!M33/100000000,cash_original!M33)</f>
        <v>0.06</v>
      </c>
      <c r="N33" s="4">
        <f>IF(ISNUMBER(cash_original!N33),cash_original!N33/100000000,cash_original!N33)</f>
        <v>3.3633999999999997E-2</v>
      </c>
      <c r="O33" s="4" t="str">
        <f>IF(ISNUMBER(cash_original!O33),cash_original!O33/100000000,cash_original!O33)</f>
        <v>--</v>
      </c>
      <c r="P33" s="4" t="str">
        <f>IF(ISNUMBER(cash_original!P33),cash_original!P33/100000000,cash_original!P33)</f>
        <v>--</v>
      </c>
      <c r="Q33" s="4">
        <f>IF(ISNUMBER(cash_original!Q33),cash_original!Q33/100000000,cash_original!Q33)</f>
        <v>0</v>
      </c>
      <c r="R33" s="4">
        <f>IF(ISNUMBER(cash_original!R33),cash_original!R33/100000000,cash_original!R33)</f>
        <v>0.2356</v>
      </c>
      <c r="S33" s="4" t="str">
        <f>IF(ISNUMBER(cash_original!S33),cash_original!S33/100000000,cash_original!S33)</f>
        <v>--</v>
      </c>
      <c r="T33" s="4">
        <f>IF(ISNUMBER(cash_original!T33),cash_original!T33/100000000,cash_original!T33)</f>
        <v>5.0850730000000004</v>
      </c>
      <c r="U33" s="4">
        <f>IF(ISNUMBER(cash_original!U33),cash_original!U33/100000000,cash_original!U33)</f>
        <v>4.6430000000000004E-3</v>
      </c>
      <c r="V33" s="4" t="str">
        <f>IF(ISNUMBER(cash_original!V33),cash_original!V33/100000000,cash_original!V33)</f>
        <v>--</v>
      </c>
      <c r="W33" s="4" t="str">
        <f>IF(ISNUMBER(cash_original!W33),cash_original!W33/100000000,cash_original!W33)</f>
        <v>--</v>
      </c>
      <c r="X33" s="4" t="str">
        <f>IF(ISNUMBER(cash_original!X33),cash_original!X33/100000000,cash_original!X33)</f>
        <v>--</v>
      </c>
      <c r="Y33" s="4" t="str">
        <f>IF(ISNUMBER(cash_original!Y33),cash_original!Y33/100000000,cash_original!Y33)</f>
        <v>--</v>
      </c>
      <c r="Z33" s="4" t="str">
        <f>IF(ISNUMBER(cash_original!Z33),cash_original!Z33/100000000,cash_original!Z33)</f>
        <v>--</v>
      </c>
      <c r="AA33" s="4" t="str">
        <f>IF(ISNUMBER(cash_original!AA33),cash_original!AA33/100000000,cash_original!AA33)</f>
        <v>--</v>
      </c>
      <c r="AB33" s="4" t="str">
        <f>IF(ISNUMBER(cash_original!AB33),cash_original!AB33/100000000,cash_original!AB33)</f>
        <v>--</v>
      </c>
      <c r="AC33" s="4" t="str">
        <f>IF(ISNUMBER(cash_original!AC33),cash_original!AC33/100000000,cash_original!AC33)</f>
        <v>--</v>
      </c>
      <c r="AD33" s="4" t="str">
        <f>IF(ISNUMBER(cash_original!AD33),cash_original!AD33/100000000,cash_original!AD33)</f>
        <v>--</v>
      </c>
      <c r="AE33" s="4" t="str">
        <f>IF(ISNUMBER(cash_original!AE33),cash_original!AE33/100000000,cash_original!AE33)</f>
        <v>--</v>
      </c>
      <c r="AF33" s="4" t="str">
        <f>IF(ISNUMBER(cash_original!AF33),cash_original!AF33/100000000,cash_original!AF33)</f>
        <v>--</v>
      </c>
      <c r="AG33" s="4" t="str">
        <f>IF(ISNUMBER(cash_original!AG33),cash_original!AG33/100000000,cash_original!AG33)</f>
        <v>--</v>
      </c>
      <c r="AH33" s="4" t="str">
        <f>IF(ISNUMBER(cash_original!AH33),cash_original!AH33/100000000,cash_original!AH33)</f>
        <v>--</v>
      </c>
      <c r="AI33" s="4" t="str">
        <f>IF(ISNUMBER(cash_original!AI33),cash_original!AI33/100000000,cash_original!AI33)</f>
        <v>--</v>
      </c>
      <c r="AJ33" s="4" t="str">
        <f>IF(ISNUMBER(cash_original!AJ33),cash_original!AJ33/100000000,cash_original!AJ33)</f>
        <v>--</v>
      </c>
      <c r="AK33" s="4" t="str">
        <f>IF(ISNUMBER(cash_original!AK33),cash_original!AK33/100000000,cash_original!AK33)</f>
        <v>--</v>
      </c>
      <c r="AL33" s="4" t="str">
        <f>IF(ISNUMBER(cash_original!AL33),cash_original!AL33/100000000,cash_original!AL33)</f>
        <v>--</v>
      </c>
      <c r="AM33" s="4" t="str">
        <f>IF(ISNUMBER(cash_original!AM33),cash_original!AM33/100000000,cash_original!AM33)</f>
        <v>--</v>
      </c>
      <c r="AN33" s="4" t="str">
        <f>IF(ISNUMBER(cash_original!AN33),cash_original!AN33/100000000,cash_original!AN33)</f>
        <v>--</v>
      </c>
      <c r="AO33" s="4" t="str">
        <f>IF(ISNUMBER(cash_original!AO33),cash_original!AO33/100000000,cash_original!AO33)</f>
        <v>--</v>
      </c>
      <c r="AP33" s="4" t="str">
        <f>IF(ISNUMBER(cash_original!AP33),cash_original!AP33/100000000,cash_original!AP33)</f>
        <v>--</v>
      </c>
      <c r="AQ33" s="4" t="str">
        <f>IF(ISNUMBER(cash_original!AQ33),cash_original!AQ33/100000000,cash_original!AQ33)</f>
        <v>--</v>
      </c>
      <c r="AR33" s="4">
        <f>IF(ISNUMBER(cash_original!AR33),cash_original!AR33/100000000,cash_original!AR33)</f>
        <v>1.372077</v>
      </c>
      <c r="AS33" s="4" t="str">
        <f>IF(ISNUMBER(cash_original!AS33),cash_original!AS33/100000000,cash_original!AS33)</f>
        <v>--</v>
      </c>
      <c r="AT33" s="4" t="str">
        <f>IF(ISNUMBER(cash_original!AT33),cash_original!AT33/100000000,cash_original!AT33)</f>
        <v>--</v>
      </c>
      <c r="AU33" s="4" t="str">
        <f>IF(ISNUMBER(cash_original!AU33),cash_original!AU33/100000000,cash_original!AU33)</f>
        <v>--</v>
      </c>
      <c r="AV33" s="3" t="s">
        <v>133</v>
      </c>
      <c r="AW33" s="3" t="s">
        <v>133</v>
      </c>
      <c r="AX33" s="3" t="s">
        <v>133</v>
      </c>
      <c r="AY33" s="3" t="s">
        <v>133</v>
      </c>
      <c r="AZ33" s="3" t="s">
        <v>133</v>
      </c>
      <c r="BA33" s="3" t="s">
        <v>133</v>
      </c>
      <c r="BB33" s="3" t="s">
        <v>133</v>
      </c>
      <c r="BC33" s="3" t="s">
        <v>133</v>
      </c>
      <c r="BD33" s="3" t="s">
        <v>133</v>
      </c>
      <c r="BE33" s="3" t="s">
        <v>133</v>
      </c>
      <c r="BF33" s="3" t="s">
        <v>133</v>
      </c>
      <c r="BG33" s="3" t="s">
        <v>133</v>
      </c>
      <c r="BH33" s="3" t="s">
        <v>133</v>
      </c>
      <c r="BI33" s="3" t="s">
        <v>133</v>
      </c>
      <c r="BJ33" s="3" t="s">
        <v>133</v>
      </c>
      <c r="BK33" s="3" t="s">
        <v>133</v>
      </c>
      <c r="BL33" s="3" t="s">
        <v>133</v>
      </c>
      <c r="BM33" s="3" t="s">
        <v>133</v>
      </c>
      <c r="BN33" s="3" t="s">
        <v>133</v>
      </c>
      <c r="BO33" s="3" t="s">
        <v>133</v>
      </c>
      <c r="BP33" s="3" t="s">
        <v>133</v>
      </c>
      <c r="BQ33" s="3" t="s">
        <v>133</v>
      </c>
      <c r="BR33" s="3" t="s">
        <v>133</v>
      </c>
      <c r="BS33" s="3" t="s">
        <v>133</v>
      </c>
      <c r="BT33" s="3" t="s">
        <v>133</v>
      </c>
    </row>
    <row r="34" spans="1:72" x14ac:dyDescent="0.25">
      <c r="A34" s="3" t="s">
        <v>191</v>
      </c>
      <c r="B34" s="4" t="str">
        <f>IF(ISNUMBER(cash_original!B34),cash_original!B34/100000000,cash_original!B34)</f>
        <v>--</v>
      </c>
      <c r="C34" s="4" t="str">
        <f>IF(ISNUMBER(cash_original!C34),cash_original!C34/100000000,cash_original!C34)</f>
        <v>--</v>
      </c>
      <c r="D34" s="4" t="str">
        <f>IF(ISNUMBER(cash_original!D34),cash_original!D34/100000000,cash_original!D34)</f>
        <v>--</v>
      </c>
      <c r="E34" s="4" t="str">
        <f>IF(ISNUMBER(cash_original!E34),cash_original!E34/100000000,cash_original!E34)</f>
        <v>--</v>
      </c>
      <c r="F34" s="4" t="str">
        <f>IF(ISNUMBER(cash_original!F34),cash_original!F34/100000000,cash_original!F34)</f>
        <v>--</v>
      </c>
      <c r="G34" s="4" t="str">
        <f>IF(ISNUMBER(cash_original!G34),cash_original!G34/100000000,cash_original!G34)</f>
        <v>--</v>
      </c>
      <c r="H34" s="4" t="str">
        <f>IF(ISNUMBER(cash_original!H34),cash_original!H34/100000000,cash_original!H34)</f>
        <v>--</v>
      </c>
      <c r="I34" s="4" t="str">
        <f>IF(ISNUMBER(cash_original!I34),cash_original!I34/100000000,cash_original!I34)</f>
        <v>--</v>
      </c>
      <c r="J34" s="4" t="str">
        <f>IF(ISNUMBER(cash_original!J34),cash_original!J34/100000000,cash_original!J34)</f>
        <v>--</v>
      </c>
      <c r="K34" s="4" t="str">
        <f>IF(ISNUMBER(cash_original!K34),cash_original!K34/100000000,cash_original!K34)</f>
        <v>--</v>
      </c>
      <c r="L34" s="4" t="str">
        <f>IF(ISNUMBER(cash_original!L34),cash_original!L34/100000000,cash_original!L34)</f>
        <v>--</v>
      </c>
      <c r="M34" s="4" t="str">
        <f>IF(ISNUMBER(cash_original!M34),cash_original!M34/100000000,cash_original!M34)</f>
        <v>--</v>
      </c>
      <c r="N34" s="4" t="str">
        <f>IF(ISNUMBER(cash_original!N34),cash_original!N34/100000000,cash_original!N34)</f>
        <v>--</v>
      </c>
      <c r="O34" s="4" t="str">
        <f>IF(ISNUMBER(cash_original!O34),cash_original!O34/100000000,cash_original!O34)</f>
        <v>--</v>
      </c>
      <c r="P34" s="4" t="str">
        <f>IF(ISNUMBER(cash_original!P34),cash_original!P34/100000000,cash_original!P34)</f>
        <v>--</v>
      </c>
      <c r="Q34" s="4" t="str">
        <f>IF(ISNUMBER(cash_original!Q34),cash_original!Q34/100000000,cash_original!Q34)</f>
        <v>--</v>
      </c>
      <c r="R34" s="4" t="str">
        <f>IF(ISNUMBER(cash_original!R34),cash_original!R34/100000000,cash_original!R34)</f>
        <v>--</v>
      </c>
      <c r="S34" s="4" t="str">
        <f>IF(ISNUMBER(cash_original!S34),cash_original!S34/100000000,cash_original!S34)</f>
        <v>--</v>
      </c>
      <c r="T34" s="4" t="str">
        <f>IF(ISNUMBER(cash_original!T34),cash_original!T34/100000000,cash_original!T34)</f>
        <v>--</v>
      </c>
      <c r="U34" s="4" t="str">
        <f>IF(ISNUMBER(cash_original!U34),cash_original!U34/100000000,cash_original!U34)</f>
        <v>--</v>
      </c>
      <c r="V34" s="4" t="str">
        <f>IF(ISNUMBER(cash_original!V34),cash_original!V34/100000000,cash_original!V34)</f>
        <v>--</v>
      </c>
      <c r="W34" s="4" t="str">
        <f>IF(ISNUMBER(cash_original!W34),cash_original!W34/100000000,cash_original!W34)</f>
        <v>--</v>
      </c>
      <c r="X34" s="4" t="str">
        <f>IF(ISNUMBER(cash_original!X34),cash_original!X34/100000000,cash_original!X34)</f>
        <v>--</v>
      </c>
      <c r="Y34" s="4" t="str">
        <f>IF(ISNUMBER(cash_original!Y34),cash_original!Y34/100000000,cash_original!Y34)</f>
        <v>--</v>
      </c>
      <c r="Z34" s="4" t="str">
        <f>IF(ISNUMBER(cash_original!Z34),cash_original!Z34/100000000,cash_original!Z34)</f>
        <v>--</v>
      </c>
      <c r="AA34" s="4" t="str">
        <f>IF(ISNUMBER(cash_original!AA34),cash_original!AA34/100000000,cash_original!AA34)</f>
        <v>--</v>
      </c>
      <c r="AB34" s="4" t="str">
        <f>IF(ISNUMBER(cash_original!AB34),cash_original!AB34/100000000,cash_original!AB34)</f>
        <v>--</v>
      </c>
      <c r="AC34" s="4" t="str">
        <f>IF(ISNUMBER(cash_original!AC34),cash_original!AC34/100000000,cash_original!AC34)</f>
        <v>--</v>
      </c>
      <c r="AD34" s="4" t="str">
        <f>IF(ISNUMBER(cash_original!AD34),cash_original!AD34/100000000,cash_original!AD34)</f>
        <v>--</v>
      </c>
      <c r="AE34" s="4" t="str">
        <f>IF(ISNUMBER(cash_original!AE34),cash_original!AE34/100000000,cash_original!AE34)</f>
        <v>--</v>
      </c>
      <c r="AF34" s="4" t="str">
        <f>IF(ISNUMBER(cash_original!AF34),cash_original!AF34/100000000,cash_original!AF34)</f>
        <v>--</v>
      </c>
      <c r="AG34" s="4" t="str">
        <f>IF(ISNUMBER(cash_original!AG34),cash_original!AG34/100000000,cash_original!AG34)</f>
        <v>--</v>
      </c>
      <c r="AH34" s="4" t="str">
        <f>IF(ISNUMBER(cash_original!AH34),cash_original!AH34/100000000,cash_original!AH34)</f>
        <v>--</v>
      </c>
      <c r="AI34" s="4" t="str">
        <f>IF(ISNUMBER(cash_original!AI34),cash_original!AI34/100000000,cash_original!AI34)</f>
        <v>--</v>
      </c>
      <c r="AJ34" s="4" t="str">
        <f>IF(ISNUMBER(cash_original!AJ34),cash_original!AJ34/100000000,cash_original!AJ34)</f>
        <v>--</v>
      </c>
      <c r="AK34" s="4" t="str">
        <f>IF(ISNUMBER(cash_original!AK34),cash_original!AK34/100000000,cash_original!AK34)</f>
        <v>--</v>
      </c>
      <c r="AL34" s="4" t="str">
        <f>IF(ISNUMBER(cash_original!AL34),cash_original!AL34/100000000,cash_original!AL34)</f>
        <v>--</v>
      </c>
      <c r="AM34" s="4" t="str">
        <f>IF(ISNUMBER(cash_original!AM34),cash_original!AM34/100000000,cash_original!AM34)</f>
        <v>--</v>
      </c>
      <c r="AN34" s="4" t="str">
        <f>IF(ISNUMBER(cash_original!AN34),cash_original!AN34/100000000,cash_original!AN34)</f>
        <v>--</v>
      </c>
      <c r="AO34" s="4" t="str">
        <f>IF(ISNUMBER(cash_original!AO34),cash_original!AO34/100000000,cash_original!AO34)</f>
        <v>--</v>
      </c>
      <c r="AP34" s="4" t="str">
        <f>IF(ISNUMBER(cash_original!AP34),cash_original!AP34/100000000,cash_original!AP34)</f>
        <v>--</v>
      </c>
      <c r="AQ34" s="4" t="str">
        <f>IF(ISNUMBER(cash_original!AQ34),cash_original!AQ34/100000000,cash_original!AQ34)</f>
        <v>--</v>
      </c>
      <c r="AR34" s="4" t="str">
        <f>IF(ISNUMBER(cash_original!AR34),cash_original!AR34/100000000,cash_original!AR34)</f>
        <v>--</v>
      </c>
      <c r="AS34" s="4" t="str">
        <f>IF(ISNUMBER(cash_original!AS34),cash_original!AS34/100000000,cash_original!AS34)</f>
        <v>--</v>
      </c>
      <c r="AT34" s="4" t="str">
        <f>IF(ISNUMBER(cash_original!AT34),cash_original!AT34/100000000,cash_original!AT34)</f>
        <v>--</v>
      </c>
      <c r="AU34" s="4" t="str">
        <f>IF(ISNUMBER(cash_original!AU34),cash_original!AU34/100000000,cash_original!AU34)</f>
        <v>--</v>
      </c>
      <c r="AV34" s="3" t="s">
        <v>133</v>
      </c>
      <c r="AW34" s="3" t="s">
        <v>133</v>
      </c>
      <c r="AX34" s="3" t="s">
        <v>133</v>
      </c>
      <c r="AY34" s="3" t="s">
        <v>133</v>
      </c>
      <c r="AZ34" s="3" t="s">
        <v>133</v>
      </c>
      <c r="BA34" s="3" t="s">
        <v>133</v>
      </c>
      <c r="BB34" s="3" t="s">
        <v>133</v>
      </c>
      <c r="BC34" s="3" t="s">
        <v>133</v>
      </c>
      <c r="BD34" s="3" t="s">
        <v>133</v>
      </c>
      <c r="BE34" s="3" t="s">
        <v>133</v>
      </c>
      <c r="BF34" s="3" t="s">
        <v>133</v>
      </c>
      <c r="BG34" s="3" t="s">
        <v>133</v>
      </c>
      <c r="BH34" s="3" t="s">
        <v>133</v>
      </c>
      <c r="BI34" s="3" t="s">
        <v>133</v>
      </c>
      <c r="BJ34" s="3" t="s">
        <v>133</v>
      </c>
      <c r="BK34" s="3" t="s">
        <v>133</v>
      </c>
      <c r="BL34" s="3" t="s">
        <v>133</v>
      </c>
      <c r="BM34" s="3" t="s">
        <v>133</v>
      </c>
      <c r="BN34" s="3" t="s">
        <v>133</v>
      </c>
      <c r="BO34" s="3" t="s">
        <v>133</v>
      </c>
      <c r="BP34" s="3" t="s">
        <v>133</v>
      </c>
      <c r="BQ34" s="3" t="s">
        <v>133</v>
      </c>
      <c r="BR34" s="3" t="s">
        <v>133</v>
      </c>
      <c r="BS34" s="3" t="s">
        <v>133</v>
      </c>
      <c r="BT34" s="3" t="s">
        <v>133</v>
      </c>
    </row>
    <row r="35" spans="1:72" x14ac:dyDescent="0.25">
      <c r="A35" s="3" t="s">
        <v>192</v>
      </c>
      <c r="B35" s="4">
        <f>IF(ISNUMBER(cash_original!B35),cash_original!B35/100000000,cash_original!B35)</f>
        <v>1.4409020321000001</v>
      </c>
      <c r="C35" s="4">
        <f>IF(ISNUMBER(cash_original!C35),cash_original!C35/100000000,cash_original!C35)</f>
        <v>232.82981133060002</v>
      </c>
      <c r="D35" s="4">
        <f>IF(ISNUMBER(cash_original!D35),cash_original!D35/100000000,cash_original!D35)</f>
        <v>4.5123439999999997</v>
      </c>
      <c r="E35" s="4">
        <f>IF(ISNUMBER(cash_original!E35),cash_original!E35/100000000,cash_original!E35)</f>
        <v>-3.74542322E-2</v>
      </c>
      <c r="F35" s="4">
        <f>IF(ISNUMBER(cash_original!F35),cash_original!F35/100000000,cash_original!F35)</f>
        <v>2.5591841447999997</v>
      </c>
      <c r="G35" s="4" t="str">
        <f>IF(ISNUMBER(cash_original!G35),cash_original!G35/100000000,cash_original!G35)</f>
        <v>--</v>
      </c>
      <c r="H35" s="4" t="str">
        <f>IF(ISNUMBER(cash_original!H35),cash_original!H35/100000000,cash_original!H35)</f>
        <v>--</v>
      </c>
      <c r="I35" s="4">
        <f>IF(ISNUMBER(cash_original!I35),cash_original!I35/100000000,cash_original!I35)</f>
        <v>5.7000000000000002E-2</v>
      </c>
      <c r="J35" s="4">
        <f>IF(ISNUMBER(cash_original!J35),cash_original!J35/100000000,cash_original!J35)</f>
        <v>25.804735492300001</v>
      </c>
      <c r="K35" s="4" t="str">
        <f>IF(ISNUMBER(cash_original!K35),cash_original!K35/100000000,cash_original!K35)</f>
        <v>--</v>
      </c>
      <c r="L35" s="4" t="str">
        <f>IF(ISNUMBER(cash_original!L35),cash_original!L35/100000000,cash_original!L35)</f>
        <v>--</v>
      </c>
      <c r="M35" s="4">
        <f>IF(ISNUMBER(cash_original!M35),cash_original!M35/100000000,cash_original!M35)</f>
        <v>0.06</v>
      </c>
      <c r="N35" s="4">
        <f>IF(ISNUMBER(cash_original!N35),cash_original!N35/100000000,cash_original!N35)</f>
        <v>85.291778808000004</v>
      </c>
      <c r="O35" s="4" t="str">
        <f>IF(ISNUMBER(cash_original!O35),cash_original!O35/100000000,cash_original!O35)</f>
        <v>--</v>
      </c>
      <c r="P35" s="4" t="str">
        <f>IF(ISNUMBER(cash_original!P35),cash_original!P35/100000000,cash_original!P35)</f>
        <v>--</v>
      </c>
      <c r="Q35" s="4">
        <f>IF(ISNUMBER(cash_original!Q35),cash_original!Q35/100000000,cash_original!Q35)</f>
        <v>0.66448341880000006</v>
      </c>
      <c r="R35" s="4">
        <f>IF(ISNUMBER(cash_original!R35),cash_original!R35/100000000,cash_original!R35)</f>
        <v>50.009901293599995</v>
      </c>
      <c r="S35" s="4">
        <f>IF(ISNUMBER(cash_original!S35),cash_original!S35/100000000,cash_original!S35)</f>
        <v>27.7456649445</v>
      </c>
      <c r="T35" s="4">
        <f>IF(ISNUMBER(cash_original!T35),cash_original!T35/100000000,cash_original!T35)</f>
        <v>5.0850728653999999</v>
      </c>
      <c r="U35" s="4">
        <f>IF(ISNUMBER(cash_original!U35),cash_original!U35/100000000,cash_original!U35)</f>
        <v>4.6425709000000003E-3</v>
      </c>
      <c r="V35" s="4">
        <f>IF(ISNUMBER(cash_original!V35),cash_original!V35/100000000,cash_original!V35)</f>
        <v>55.526129248500006</v>
      </c>
      <c r="W35" s="4">
        <f>IF(ISNUMBER(cash_original!W35),cash_original!W35/100000000,cash_original!W35)</f>
        <v>3.0060376000000002E-3</v>
      </c>
      <c r="X35" s="4">
        <f>IF(ISNUMBER(cash_original!X35),cash_original!X35/100000000,cash_original!X35)</f>
        <v>0.56641852910000001</v>
      </c>
      <c r="Y35" s="4">
        <f>IF(ISNUMBER(cash_original!Y35),cash_original!Y35/100000000,cash_original!Y35)</f>
        <v>0.38217468710000002</v>
      </c>
      <c r="Z35" s="4" t="str">
        <f>IF(ISNUMBER(cash_original!Z35),cash_original!Z35/100000000,cash_original!Z35)</f>
        <v>--</v>
      </c>
      <c r="AA35" s="4" t="str">
        <f>IF(ISNUMBER(cash_original!AA35),cash_original!AA35/100000000,cash_original!AA35)</f>
        <v>--</v>
      </c>
      <c r="AB35" s="4" t="str">
        <f>IF(ISNUMBER(cash_original!AB35),cash_original!AB35/100000000,cash_original!AB35)</f>
        <v>--</v>
      </c>
      <c r="AC35" s="4">
        <f>IF(ISNUMBER(cash_original!AC35),cash_original!AC35/100000000,cash_original!AC35)</f>
        <v>0.47667355570000003</v>
      </c>
      <c r="AD35" s="4">
        <f>IF(ISNUMBER(cash_original!AD35),cash_original!AD35/100000000,cash_original!AD35)</f>
        <v>5.5391006533000002</v>
      </c>
      <c r="AE35" s="4">
        <f>IF(ISNUMBER(cash_original!AE35),cash_original!AE35/100000000,cash_original!AE35)</f>
        <v>66.920165841400006</v>
      </c>
      <c r="AF35" s="4">
        <f>IF(ISNUMBER(cash_original!AF35),cash_original!AF35/100000000,cash_original!AF35)</f>
        <v>0.9839454420999999</v>
      </c>
      <c r="AG35" s="4">
        <f>IF(ISNUMBER(cash_original!AG35),cash_original!AG35/100000000,cash_original!AG35)</f>
        <v>1.9568845598</v>
      </c>
      <c r="AH35" s="4">
        <f>IF(ISNUMBER(cash_original!AH35),cash_original!AH35/100000000,cash_original!AH35)</f>
        <v>40.5571091602</v>
      </c>
      <c r="AI35" s="4">
        <f>IF(ISNUMBER(cash_original!AI35),cash_original!AI35/100000000,cash_original!AI35)</f>
        <v>2.2499999999999999E-2</v>
      </c>
      <c r="AJ35" s="4">
        <f>IF(ISNUMBER(cash_original!AJ35),cash_original!AJ35/100000000,cash_original!AJ35)</f>
        <v>0.52964747999999995</v>
      </c>
      <c r="AK35" s="4">
        <f>IF(ISNUMBER(cash_original!AK35),cash_original!AK35/100000000,cash_original!AK35)</f>
        <v>2.3244188127000003</v>
      </c>
      <c r="AL35" s="4">
        <f>IF(ISNUMBER(cash_original!AL35),cash_original!AL35/100000000,cash_original!AL35)</f>
        <v>22.092647796399998</v>
      </c>
      <c r="AM35" s="4" t="str">
        <f>IF(ISNUMBER(cash_original!AM35),cash_original!AM35/100000000,cash_original!AM35)</f>
        <v>--</v>
      </c>
      <c r="AN35" s="4" t="str">
        <f>IF(ISNUMBER(cash_original!AN35),cash_original!AN35/100000000,cash_original!AN35)</f>
        <v>--</v>
      </c>
      <c r="AO35" s="4">
        <f>IF(ISNUMBER(cash_original!AO35),cash_original!AO35/100000000,cash_original!AO35)</f>
        <v>0.38431640170000003</v>
      </c>
      <c r="AP35" s="4">
        <f>IF(ISNUMBER(cash_original!AP35),cash_original!AP35/100000000,cash_original!AP35)</f>
        <v>11.150617296199998</v>
      </c>
      <c r="AQ35" s="4">
        <f>IF(ISNUMBER(cash_original!AQ35),cash_original!AQ35/100000000,cash_original!AQ35)</f>
        <v>2.2499999999999999E-2</v>
      </c>
      <c r="AR35" s="4">
        <f>IF(ISNUMBER(cash_original!AR35),cash_original!AR35/100000000,cash_original!AR35)</f>
        <v>1.3720766262000001</v>
      </c>
      <c r="AS35" s="4">
        <f>IF(ISNUMBER(cash_original!AS35),cash_original!AS35/100000000,cash_original!AS35)</f>
        <v>4.5005549999999998E-3</v>
      </c>
      <c r="AT35" s="4">
        <f>IF(ISNUMBER(cash_original!AT35),cash_original!AT35/100000000,cash_original!AT35)</f>
        <v>10.604424288700001</v>
      </c>
      <c r="AU35" s="4">
        <f>IF(ISNUMBER(cash_original!AU35),cash_original!AU35/100000000,cash_original!AU35)</f>
        <v>1.7245138472999999</v>
      </c>
      <c r="AV35" s="3">
        <v>1800000</v>
      </c>
      <c r="AW35" s="3">
        <v>115386977.67</v>
      </c>
      <c r="AX35" s="3">
        <v>2799330.95</v>
      </c>
      <c r="AY35" s="3" t="s">
        <v>133</v>
      </c>
      <c r="AZ35" s="3" t="s">
        <v>133</v>
      </c>
      <c r="BA35" s="3">
        <v>74571.740000000005</v>
      </c>
      <c r="BB35" s="3">
        <v>705877392.75999999</v>
      </c>
      <c r="BC35" s="3">
        <v>1080398.3500000001</v>
      </c>
      <c r="BD35" s="3">
        <v>-166334.65</v>
      </c>
      <c r="BE35" s="3">
        <v>2331674.25</v>
      </c>
      <c r="BF35" s="3">
        <v>1537716.92</v>
      </c>
      <c r="BG35" s="3">
        <v>721271886.75</v>
      </c>
      <c r="BH35" s="3">
        <v>34997836.479999997</v>
      </c>
      <c r="BI35" s="3">
        <v>15294882.82</v>
      </c>
      <c r="BJ35" s="3">
        <v>149371835.03999999</v>
      </c>
      <c r="BK35" s="3">
        <v>13343172.300000001</v>
      </c>
      <c r="BL35" s="3">
        <v>13693935.66</v>
      </c>
      <c r="BM35" s="3">
        <v>-2928213.61</v>
      </c>
      <c r="BN35" s="3">
        <v>74296682.450000003</v>
      </c>
      <c r="BO35" s="3">
        <v>-3094958.71</v>
      </c>
      <c r="BP35" s="3">
        <v>-5959082.6799999997</v>
      </c>
      <c r="BQ35" s="3">
        <v>-3643510.81</v>
      </c>
      <c r="BR35" s="3">
        <v>42171295.219999999</v>
      </c>
      <c r="BS35" s="3">
        <v>11046562.27</v>
      </c>
      <c r="BT35" s="3">
        <v>-2188358.4300000002</v>
      </c>
    </row>
    <row r="36" spans="1:72" x14ac:dyDescent="0.25">
      <c r="A36" s="3" t="s">
        <v>21</v>
      </c>
      <c r="B36" s="4">
        <f>IF(ISNUMBER(cash_original!B36),cash_original!B36/100000000,cash_original!B36)</f>
        <v>-1.4409020321000001</v>
      </c>
      <c r="C36" s="4">
        <f>IF(ISNUMBER(cash_original!C36),cash_original!C36/100000000,cash_original!C36)</f>
        <v>-232.82981133060002</v>
      </c>
      <c r="D36" s="4">
        <f>IF(ISNUMBER(cash_original!D36),cash_original!D36/100000000,cash_original!D36)</f>
        <v>-4.5123439999999997</v>
      </c>
      <c r="E36" s="4">
        <f>IF(ISNUMBER(cash_original!E36),cash_original!E36/100000000,cash_original!E36)</f>
        <v>3.74542322E-2</v>
      </c>
      <c r="F36" s="4">
        <f>IF(ISNUMBER(cash_original!F36),cash_original!F36/100000000,cash_original!F36)</f>
        <v>-2.5591841447999997</v>
      </c>
      <c r="G36" s="4" t="str">
        <f>IF(ISNUMBER(cash_original!G36),cash_original!G36/100000000,cash_original!G36)</f>
        <v>--</v>
      </c>
      <c r="H36" s="4" t="str">
        <f>IF(ISNUMBER(cash_original!H36),cash_original!H36/100000000,cash_original!H36)</f>
        <v>--</v>
      </c>
      <c r="I36" s="4">
        <f>IF(ISNUMBER(cash_original!I36),cash_original!I36/100000000,cash_original!I36)</f>
        <v>-5.7000000000000002E-2</v>
      </c>
      <c r="J36" s="4">
        <f>IF(ISNUMBER(cash_original!J36),cash_original!J36/100000000,cash_original!J36)</f>
        <v>-25.804735492300001</v>
      </c>
      <c r="K36" s="4" t="str">
        <f>IF(ISNUMBER(cash_original!K36),cash_original!K36/100000000,cash_original!K36)</f>
        <v>--</v>
      </c>
      <c r="L36" s="4" t="str">
        <f>IF(ISNUMBER(cash_original!L36),cash_original!L36/100000000,cash_original!L36)</f>
        <v>--</v>
      </c>
      <c r="M36" s="4">
        <f>IF(ISNUMBER(cash_original!M36),cash_original!M36/100000000,cash_original!M36)</f>
        <v>-0.06</v>
      </c>
      <c r="N36" s="4">
        <f>IF(ISNUMBER(cash_original!N36),cash_original!N36/100000000,cash_original!N36)</f>
        <v>-85.291778808000004</v>
      </c>
      <c r="O36" s="4" t="str">
        <f>IF(ISNUMBER(cash_original!O36),cash_original!O36/100000000,cash_original!O36)</f>
        <v>--</v>
      </c>
      <c r="P36" s="4" t="str">
        <f>IF(ISNUMBER(cash_original!P36),cash_original!P36/100000000,cash_original!P36)</f>
        <v>--</v>
      </c>
      <c r="Q36" s="4">
        <f>IF(ISNUMBER(cash_original!Q36),cash_original!Q36/100000000,cash_original!Q36)</f>
        <v>-0.50448341880000003</v>
      </c>
      <c r="R36" s="4">
        <f>IF(ISNUMBER(cash_original!R36),cash_original!R36/100000000,cash_original!R36)</f>
        <v>-50.009901293599995</v>
      </c>
      <c r="S36" s="4">
        <f>IF(ISNUMBER(cash_original!S36),cash_original!S36/100000000,cash_original!S36)</f>
        <v>-27.7456649445</v>
      </c>
      <c r="T36" s="4">
        <f>IF(ISNUMBER(cash_original!T36),cash_original!T36/100000000,cash_original!T36)</f>
        <v>-5.0850728653999999</v>
      </c>
      <c r="U36" s="4">
        <f>IF(ISNUMBER(cash_original!U36),cash_original!U36/100000000,cash_original!U36)</f>
        <v>-4.6425709000000003E-3</v>
      </c>
      <c r="V36" s="4">
        <f>IF(ISNUMBER(cash_original!V36),cash_original!V36/100000000,cash_original!V36)</f>
        <v>-55.526129248500006</v>
      </c>
      <c r="W36" s="4">
        <f>IF(ISNUMBER(cash_original!W36),cash_original!W36/100000000,cash_original!W36)</f>
        <v>-3.0060376000000002E-3</v>
      </c>
      <c r="X36" s="4">
        <f>IF(ISNUMBER(cash_original!X36),cash_original!X36/100000000,cash_original!X36)</f>
        <v>-0.34641852909999998</v>
      </c>
      <c r="Y36" s="4">
        <f>IF(ISNUMBER(cash_original!Y36),cash_original!Y36/100000000,cash_original!Y36)</f>
        <v>0.57965138289999996</v>
      </c>
      <c r="Z36" s="4">
        <f>IF(ISNUMBER(cash_original!Z36),cash_original!Z36/100000000,cash_original!Z36)</f>
        <v>0.06</v>
      </c>
      <c r="AA36" s="4" t="str">
        <f>IF(ISNUMBER(cash_original!AA36),cash_original!AA36/100000000,cash_original!AA36)</f>
        <v>--</v>
      </c>
      <c r="AB36" s="4" t="str">
        <f>IF(ISNUMBER(cash_original!AB36),cash_original!AB36/100000000,cash_original!AB36)</f>
        <v>--</v>
      </c>
      <c r="AC36" s="4">
        <f>IF(ISNUMBER(cash_original!AC36),cash_original!AC36/100000000,cash_original!AC36)</f>
        <v>-0.41667355569999998</v>
      </c>
      <c r="AD36" s="4">
        <f>IF(ISNUMBER(cash_original!AD36),cash_original!AD36/100000000,cash_original!AD36)</f>
        <v>-5.5391006444000004</v>
      </c>
      <c r="AE36" s="4">
        <f>IF(ISNUMBER(cash_original!AE36),cash_original!AE36/100000000,cash_original!AE36)</f>
        <v>-66.920127945100006</v>
      </c>
      <c r="AF36" s="4">
        <f>IF(ISNUMBER(cash_original!AF36),cash_original!AF36/100000000,cash_original!AF36)</f>
        <v>-0.98380859949999999</v>
      </c>
      <c r="AG36" s="4">
        <f>IF(ISNUMBER(cash_original!AG36),cash_original!AG36/100000000,cash_original!AG36)</f>
        <v>1.9633401078999999</v>
      </c>
      <c r="AH36" s="4">
        <f>IF(ISNUMBER(cash_original!AH36),cash_original!AH36/100000000,cash_original!AH36)</f>
        <v>-40.556875113000004</v>
      </c>
      <c r="AI36" s="4">
        <f>IF(ISNUMBER(cash_original!AI36),cash_original!AI36/100000000,cash_original!AI36)</f>
        <v>-2.2282408599999998E-2</v>
      </c>
      <c r="AJ36" s="4">
        <f>IF(ISNUMBER(cash_original!AJ36),cash_original!AJ36/100000000,cash_original!AJ36)</f>
        <v>-0.52942881479999993</v>
      </c>
      <c r="AK36" s="4">
        <f>IF(ISNUMBER(cash_original!AK36),cash_original!AK36/100000000,cash_original!AK36)</f>
        <v>-2.3241587221</v>
      </c>
      <c r="AL36" s="4">
        <f>IF(ISNUMBER(cash_original!AL36),cash_original!AL36/100000000,cash_original!AL36)</f>
        <v>-22.092385182499999</v>
      </c>
      <c r="AM36" s="4">
        <f>IF(ISNUMBER(cash_original!AM36),cash_original!AM36/100000000,cash_original!AM36)</f>
        <v>-2.2022136155999998</v>
      </c>
      <c r="AN36" s="4">
        <f>IF(ISNUMBER(cash_original!AN36),cash_original!AN36/100000000,cash_original!AN36)</f>
        <v>2.5385150000000004E-4</v>
      </c>
      <c r="AO36" s="4">
        <f>IF(ISNUMBER(cash_original!AO36),cash_original!AO36/100000000,cash_original!AO36)</f>
        <v>-0.38404503759999997</v>
      </c>
      <c r="AP36" s="4">
        <f>IF(ISNUMBER(cash_original!AP36),cash_original!AP36/100000000,cash_original!AP36)</f>
        <v>-11.1504033971</v>
      </c>
      <c r="AQ36" s="4">
        <f>IF(ISNUMBER(cash_original!AQ36),cash_original!AQ36/100000000,cash_original!AQ36)</f>
        <v>-2.2196160099999997E-2</v>
      </c>
      <c r="AR36" s="4">
        <f>IF(ISNUMBER(cash_original!AR36),cash_original!AR36/100000000,cash_original!AR36)</f>
        <v>-1.3718077131999999</v>
      </c>
      <c r="AS36" s="4">
        <f>IF(ISNUMBER(cash_original!AS36),cash_original!AS36/100000000,cash_original!AS36)</f>
        <v>-4.2287486000000003E-3</v>
      </c>
      <c r="AT36" s="4">
        <f>IF(ISNUMBER(cash_original!AT36),cash_original!AT36/100000000,cash_original!AT36)</f>
        <v>-10.603988769099999</v>
      </c>
      <c r="AU36" s="4">
        <f>IF(ISNUMBER(cash_original!AU36),cash_original!AU36/100000000,cash_original!AU36)</f>
        <v>-1.7240694758999999</v>
      </c>
      <c r="AV36" s="3">
        <v>-1757047.92</v>
      </c>
      <c r="AW36" s="3">
        <v>-115310370.03</v>
      </c>
      <c r="AX36" s="3">
        <v>-2745193.08</v>
      </c>
      <c r="AY36" s="3">
        <v>-766447859.29999995</v>
      </c>
      <c r="AZ36" s="3">
        <v>593163.85</v>
      </c>
      <c r="BA36" s="3">
        <v>1149646.54</v>
      </c>
      <c r="BB36" s="3">
        <v>-705844986.63</v>
      </c>
      <c r="BC36" s="3">
        <v>-1046151.76</v>
      </c>
      <c r="BD36" s="3">
        <v>380084.65</v>
      </c>
      <c r="BE36" s="3">
        <v>-2105387.2999999998</v>
      </c>
      <c r="BF36" s="3">
        <v>1919271.21</v>
      </c>
      <c r="BG36" s="3">
        <v>-722143057.09000003</v>
      </c>
      <c r="BH36" s="3">
        <v>-33663618.119999997</v>
      </c>
      <c r="BI36" s="3">
        <v>17207195.079999998</v>
      </c>
      <c r="BJ36" s="3">
        <v>-149371835.03999999</v>
      </c>
      <c r="BK36" s="3">
        <v>-13343172.300000001</v>
      </c>
      <c r="BL36" s="3">
        <v>-13693935.66</v>
      </c>
      <c r="BM36" s="3">
        <v>2928213.61</v>
      </c>
      <c r="BN36" s="3">
        <v>-74296682.450000003</v>
      </c>
      <c r="BO36" s="3">
        <v>3094958.71</v>
      </c>
      <c r="BP36" s="3">
        <v>5959082.6799999997</v>
      </c>
      <c r="BQ36" s="3">
        <v>3943510.81</v>
      </c>
      <c r="BR36" s="3">
        <v>-42171295.219999999</v>
      </c>
      <c r="BS36" s="3">
        <v>-11046562.27</v>
      </c>
      <c r="BT36" s="3">
        <v>2188358.4300000002</v>
      </c>
    </row>
    <row r="37" spans="1:72" x14ac:dyDescent="0.25">
      <c r="A37" s="3" t="s">
        <v>193</v>
      </c>
      <c r="B37" s="4">
        <f>IF(ISNUMBER(cash_original!B37),cash_original!B37/100000000,cash_original!B37)</f>
        <v>3.2499999999999999E-4</v>
      </c>
      <c r="C37" s="4">
        <f>IF(ISNUMBER(cash_original!C37),cash_original!C37/100000000,cash_original!C37)</f>
        <v>2.6510000000000001E-3</v>
      </c>
      <c r="D37" s="4">
        <f>IF(ISNUMBER(cash_original!D37),cash_original!D37/100000000,cash_original!D37)</f>
        <v>-1.2E-5</v>
      </c>
      <c r="E37" s="4">
        <f>IF(ISNUMBER(cash_original!E37),cash_original!E37/100000000,cash_original!E37)</f>
        <v>8.0599999999999997E-4</v>
      </c>
      <c r="F37" s="4">
        <f>IF(ISNUMBER(cash_original!F37),cash_original!F37/100000000,cash_original!F37)</f>
        <v>-2.32E-4</v>
      </c>
      <c r="G37" s="4">
        <f>IF(ISNUMBER(cash_original!G37),cash_original!G37/100000000,cash_original!G37)</f>
        <v>1.838E-3</v>
      </c>
      <c r="H37" s="4">
        <f>IF(ISNUMBER(cash_original!H37),cash_original!H37/100000000,cash_original!H37)</f>
        <v>-2.1389999999999998E-3</v>
      </c>
      <c r="I37" s="4">
        <f>IF(ISNUMBER(cash_original!I37),cash_original!I37/100000000,cash_original!I37)</f>
        <v>-4.37E-4</v>
      </c>
      <c r="J37" s="4">
        <f>IF(ISNUMBER(cash_original!J37),cash_original!J37/100000000,cash_original!J37)</f>
        <v>8.9800000000000004E-4</v>
      </c>
      <c r="K37" s="4">
        <f>IF(ISNUMBER(cash_original!K37),cash_original!K37/100000000,cash_original!K37)</f>
        <v>-8.6000000000000003E-5</v>
      </c>
      <c r="L37" s="4">
        <f>IF(ISNUMBER(cash_original!L37),cash_original!L37/100000000,cash_original!L37)</f>
        <v>-8.5000000000000006E-5</v>
      </c>
      <c r="M37" s="4">
        <f>IF(ISNUMBER(cash_original!M37),cash_original!M37/100000000,cash_original!M37)</f>
        <v>-7.1000000000000005E-5</v>
      </c>
      <c r="N37" s="4">
        <f>IF(ISNUMBER(cash_original!N37),cash_original!N37/100000000,cash_original!N37)</f>
        <v>1.17E-4</v>
      </c>
      <c r="O37" s="4">
        <f>IF(ISNUMBER(cash_original!O37),cash_original!O37/100000000,cash_original!O37)</f>
        <v>5.8100000000000003E-4</v>
      </c>
      <c r="P37" s="4">
        <f>IF(ISNUMBER(cash_original!P37),cash_original!P37/100000000,cash_original!P37)</f>
        <v>1.03E-4</v>
      </c>
      <c r="Q37" s="4">
        <f>IF(ISNUMBER(cash_original!Q37),cash_original!Q37/100000000,cash_original!Q37)</f>
        <v>-5.7499999999999999E-4</v>
      </c>
      <c r="R37" s="4">
        <f>IF(ISNUMBER(cash_original!R37),cash_original!R37/100000000,cash_original!R37)</f>
        <v>3.7399999999999998E-4</v>
      </c>
      <c r="S37" s="4">
        <f>IF(ISNUMBER(cash_original!S37),cash_original!S37/100000000,cash_original!S37)</f>
        <v>4.3000000000000002E-5</v>
      </c>
      <c r="T37" s="4">
        <f>IF(ISNUMBER(cash_original!T37),cash_original!T37/100000000,cash_original!T37)</f>
        <v>8.8199999999999997E-4</v>
      </c>
      <c r="U37" s="4">
        <f>IF(ISNUMBER(cash_original!U37),cash_original!U37/100000000,cash_original!U37)</f>
        <v>-4.5399999999999998E-4</v>
      </c>
      <c r="V37" s="4">
        <f>IF(ISNUMBER(cash_original!V37),cash_original!V37/100000000,cash_original!V37)</f>
        <v>1.325E-3</v>
      </c>
      <c r="W37" s="4">
        <f>IF(ISNUMBER(cash_original!W37),cash_original!W37/100000000,cash_original!W37)</f>
        <v>1.3240000000000001E-3</v>
      </c>
      <c r="X37" s="4">
        <f>IF(ISNUMBER(cash_original!X37),cash_original!X37/100000000,cash_original!X37)</f>
        <v>-0.16492899999999999</v>
      </c>
      <c r="Y37" s="4" t="str">
        <f>IF(ISNUMBER(cash_original!Y37),cash_original!Y37/100000000,cash_original!Y37)</f>
        <v>--</v>
      </c>
      <c r="Z37" s="4" t="str">
        <f>IF(ISNUMBER(cash_original!Z37),cash_original!Z37/100000000,cash_original!Z37)</f>
        <v>--</v>
      </c>
      <c r="AA37" s="4" t="str">
        <f>IF(ISNUMBER(cash_original!AA37),cash_original!AA37/100000000,cash_original!AA37)</f>
        <v>--</v>
      </c>
      <c r="AB37" s="4" t="str">
        <f>IF(ISNUMBER(cash_original!AB37),cash_original!AB37/100000000,cash_original!AB37)</f>
        <v>--</v>
      </c>
      <c r="AC37" s="4" t="str">
        <f>IF(ISNUMBER(cash_original!AC37),cash_original!AC37/100000000,cash_original!AC37)</f>
        <v>--</v>
      </c>
      <c r="AD37" s="4" t="str">
        <f>IF(ISNUMBER(cash_original!AD37),cash_original!AD37/100000000,cash_original!AD37)</f>
        <v>--</v>
      </c>
      <c r="AE37" s="4" t="str">
        <f>IF(ISNUMBER(cash_original!AE37),cash_original!AE37/100000000,cash_original!AE37)</f>
        <v>--</v>
      </c>
      <c r="AF37" s="4" t="str">
        <f>IF(ISNUMBER(cash_original!AF37),cash_original!AF37/100000000,cash_original!AF37)</f>
        <v>--</v>
      </c>
      <c r="AG37" s="4" t="str">
        <f>IF(ISNUMBER(cash_original!AG37),cash_original!AG37/100000000,cash_original!AG37)</f>
        <v>--</v>
      </c>
      <c r="AH37" s="4" t="str">
        <f>IF(ISNUMBER(cash_original!AH37),cash_original!AH37/100000000,cash_original!AH37)</f>
        <v>--</v>
      </c>
      <c r="AI37" s="4" t="str">
        <f>IF(ISNUMBER(cash_original!AI37),cash_original!AI37/100000000,cash_original!AI37)</f>
        <v>--</v>
      </c>
      <c r="AJ37" s="4" t="str">
        <f>IF(ISNUMBER(cash_original!AJ37),cash_original!AJ37/100000000,cash_original!AJ37)</f>
        <v>--</v>
      </c>
      <c r="AK37" s="4" t="str">
        <f>IF(ISNUMBER(cash_original!AK37),cash_original!AK37/100000000,cash_original!AK37)</f>
        <v>--</v>
      </c>
      <c r="AL37" s="4" t="str">
        <f>IF(ISNUMBER(cash_original!AL37),cash_original!AL37/100000000,cash_original!AL37)</f>
        <v>--</v>
      </c>
      <c r="AM37" s="4" t="str">
        <f>IF(ISNUMBER(cash_original!AM37),cash_original!AM37/100000000,cash_original!AM37)</f>
        <v>--</v>
      </c>
      <c r="AN37" s="4" t="str">
        <f>IF(ISNUMBER(cash_original!AN37),cash_original!AN37/100000000,cash_original!AN37)</f>
        <v>--</v>
      </c>
      <c r="AO37" s="4" t="str">
        <f>IF(ISNUMBER(cash_original!AO37),cash_original!AO37/100000000,cash_original!AO37)</f>
        <v>--</v>
      </c>
      <c r="AP37" s="4" t="str">
        <f>IF(ISNUMBER(cash_original!AP37),cash_original!AP37/100000000,cash_original!AP37)</f>
        <v>--</v>
      </c>
      <c r="AQ37" s="4" t="str">
        <f>IF(ISNUMBER(cash_original!AQ37),cash_original!AQ37/100000000,cash_original!AQ37)</f>
        <v>--</v>
      </c>
      <c r="AR37" s="4" t="str">
        <f>IF(ISNUMBER(cash_original!AR37),cash_original!AR37/100000000,cash_original!AR37)</f>
        <v>--</v>
      </c>
      <c r="AS37" s="4" t="str">
        <f>IF(ISNUMBER(cash_original!AS37),cash_original!AS37/100000000,cash_original!AS37)</f>
        <v>--</v>
      </c>
      <c r="AT37" s="4" t="str">
        <f>IF(ISNUMBER(cash_original!AT37),cash_original!AT37/100000000,cash_original!AT37)</f>
        <v>--</v>
      </c>
      <c r="AU37" s="4" t="str">
        <f>IF(ISNUMBER(cash_original!AU37),cash_original!AU37/100000000,cash_original!AU37)</f>
        <v>--</v>
      </c>
      <c r="AV37" s="3" t="s">
        <v>133</v>
      </c>
      <c r="AW37" s="3" t="s">
        <v>133</v>
      </c>
      <c r="AX37" s="3" t="s">
        <v>133</v>
      </c>
      <c r="AY37" s="3" t="s">
        <v>133</v>
      </c>
      <c r="AZ37" s="3" t="s">
        <v>133</v>
      </c>
      <c r="BA37" s="3" t="s">
        <v>133</v>
      </c>
      <c r="BB37" s="3" t="s">
        <v>133</v>
      </c>
      <c r="BC37" s="3" t="s">
        <v>133</v>
      </c>
      <c r="BD37" s="3" t="s">
        <v>133</v>
      </c>
      <c r="BE37" s="3" t="s">
        <v>133</v>
      </c>
      <c r="BF37" s="3" t="s">
        <v>133</v>
      </c>
      <c r="BG37" s="3" t="s">
        <v>133</v>
      </c>
      <c r="BH37" s="3" t="s">
        <v>133</v>
      </c>
      <c r="BI37" s="3" t="s">
        <v>133</v>
      </c>
      <c r="BJ37" s="3" t="s">
        <v>133</v>
      </c>
      <c r="BK37" s="3" t="s">
        <v>133</v>
      </c>
      <c r="BL37" s="3" t="s">
        <v>133</v>
      </c>
      <c r="BM37" s="3" t="s">
        <v>133</v>
      </c>
      <c r="BN37" s="3" t="s">
        <v>133</v>
      </c>
      <c r="BO37" s="3" t="s">
        <v>133</v>
      </c>
      <c r="BP37" s="3" t="s">
        <v>133</v>
      </c>
      <c r="BQ37" s="3" t="s">
        <v>133</v>
      </c>
      <c r="BR37" s="3" t="s">
        <v>133</v>
      </c>
      <c r="BS37" s="3" t="s">
        <v>133</v>
      </c>
      <c r="BT37" s="3" t="s">
        <v>133</v>
      </c>
    </row>
    <row r="38" spans="1:72" x14ac:dyDescent="0.25">
      <c r="A38" s="3" t="s">
        <v>194</v>
      </c>
      <c r="B38" s="4">
        <f>IF(ISNUMBER(cash_original!B38),cash_original!B38/100000000,cash_original!B38)</f>
        <v>120.051424</v>
      </c>
      <c r="C38" s="4">
        <f>IF(ISNUMBER(cash_original!C38),cash_original!C38/100000000,cash_original!C38)</f>
        <v>-135.17680799999999</v>
      </c>
      <c r="D38" s="4">
        <f>IF(ISNUMBER(cash_original!D38),cash_original!D38/100000000,cash_original!D38)</f>
        <v>14.316485</v>
      </c>
      <c r="E38" s="4">
        <f>IF(ISNUMBER(cash_original!E38),cash_original!E38/100000000,cash_original!E38)</f>
        <v>167.736211</v>
      </c>
      <c r="F38" s="4">
        <f>IF(ISNUMBER(cash_original!F38),cash_original!F38/100000000,cash_original!F38)</f>
        <v>20.686536</v>
      </c>
      <c r="G38" s="4">
        <f>IF(ISNUMBER(cash_original!G38),cash_original!G38/100000000,cash_original!G38)</f>
        <v>33.475842</v>
      </c>
      <c r="H38" s="4">
        <f>IF(ISNUMBER(cash_original!H38),cash_original!H38/100000000,cash_original!H38)</f>
        <v>5.7069239999999999</v>
      </c>
      <c r="I38" s="4">
        <f>IF(ISNUMBER(cash_original!I38),cash_original!I38/100000000,cash_original!I38)</f>
        <v>125.52365899999999</v>
      </c>
      <c r="J38" s="4">
        <f>IF(ISNUMBER(cash_original!J38),cash_original!J38/100000000,cash_original!J38)</f>
        <v>76.225290999999999</v>
      </c>
      <c r="K38" s="4">
        <f>IF(ISNUMBER(cash_original!K38),cash_original!K38/100000000,cash_original!K38)</f>
        <v>-12.032686999999999</v>
      </c>
      <c r="L38" s="4">
        <f>IF(ISNUMBER(cash_original!L38),cash_original!L38/100000000,cash_original!L38)</f>
        <v>43.435811999999999</v>
      </c>
      <c r="M38" s="4">
        <f>IF(ISNUMBER(cash_original!M38),cash_original!M38/100000000,cash_original!M38)</f>
        <v>-10.126083</v>
      </c>
      <c r="N38" s="4">
        <f>IF(ISNUMBER(cash_original!N38),cash_original!N38/100000000,cash_original!N38)</f>
        <v>70.451539999999994</v>
      </c>
      <c r="O38" s="4">
        <f>IF(ISNUMBER(cash_original!O38),cash_original!O38/100000000,cash_original!O38)</f>
        <v>2.9209450000000001</v>
      </c>
      <c r="P38" s="4">
        <f>IF(ISNUMBER(cash_original!P38),cash_original!P38/100000000,cash_original!P38)</f>
        <v>58.086457000000003</v>
      </c>
      <c r="Q38" s="4">
        <f>IF(ISNUMBER(cash_original!Q38),cash_original!Q38/100000000,cash_original!Q38)</f>
        <v>45.363976999999998</v>
      </c>
      <c r="R38" s="4">
        <f>IF(ISNUMBER(cash_original!R38),cash_original!R38/100000000,cash_original!R38)</f>
        <v>137.12438</v>
      </c>
      <c r="S38" s="4">
        <f>IF(ISNUMBER(cash_original!S38),cash_original!S38/100000000,cash_original!S38)</f>
        <v>32.591932</v>
      </c>
      <c r="T38" s="4">
        <f>IF(ISNUMBER(cash_original!T38),cash_original!T38/100000000,cash_original!T38)</f>
        <v>65.062798999999998</v>
      </c>
      <c r="U38" s="4">
        <f>IF(ISNUMBER(cash_original!U38),cash_original!U38/100000000,cash_original!U38)</f>
        <v>57.466414</v>
      </c>
      <c r="V38" s="4">
        <f>IF(ISNUMBER(cash_original!V38),cash_original!V38/100000000,cash_original!V38)</f>
        <v>4.7694539999999996</v>
      </c>
      <c r="W38" s="4">
        <f>IF(ISNUMBER(cash_original!W38),cash_original!W38/100000000,cash_original!W38)</f>
        <v>23.532163000000001</v>
      </c>
      <c r="X38" s="4">
        <f>IF(ISNUMBER(cash_original!X38),cash_original!X38/100000000,cash_original!X38)</f>
        <v>12.064536</v>
      </c>
      <c r="Y38" s="4">
        <f>IF(ISNUMBER(cash_original!Y38),cash_original!Y38/100000000,cash_original!Y38)</f>
        <v>43.004013999999998</v>
      </c>
      <c r="Z38" s="4">
        <f>IF(ISNUMBER(cash_original!Z38),cash_original!Z38/100000000,cash_original!Z38)</f>
        <v>25.204892000000001</v>
      </c>
      <c r="AA38" s="4">
        <f>IF(ISNUMBER(cash_original!AA38),cash_original!AA38/100000000,cash_original!AA38)</f>
        <v>-19.045006000000001</v>
      </c>
      <c r="AB38" s="4">
        <f>IF(ISNUMBER(cash_original!AB38),cash_original!AB38/100000000,cash_original!AB38)</f>
        <v>-19.109030000000001</v>
      </c>
      <c r="AC38" s="4">
        <f>IF(ISNUMBER(cash_original!AC38),cash_original!AC38/100000000,cash_original!AC38)</f>
        <v>18.664483000000001</v>
      </c>
      <c r="AD38" s="4">
        <f>IF(ISNUMBER(cash_original!AD38),cash_original!AD38/100000000,cash_original!AD38)</f>
        <v>20.202466999999999</v>
      </c>
      <c r="AE38" s="4">
        <f>IF(ISNUMBER(cash_original!AE38),cash_original!AE38/100000000,cash_original!AE38)</f>
        <v>-36.301875000000003</v>
      </c>
      <c r="AF38" s="4">
        <f>IF(ISNUMBER(cash_original!AF38),cash_original!AF38/100000000,cash_original!AF38)</f>
        <v>-3.267652</v>
      </c>
      <c r="AG38" s="4">
        <f>IF(ISNUMBER(cash_original!AG38),cash_original!AG38/100000000,cash_original!AG38)</f>
        <v>33.719669000000003</v>
      </c>
      <c r="AH38" s="4">
        <f>IF(ISNUMBER(cash_original!AH38),cash_original!AH38/100000000,cash_original!AH38)</f>
        <v>-22.918261000000001</v>
      </c>
      <c r="AI38" s="4">
        <f>IF(ISNUMBER(cash_original!AI38),cash_original!AI38/100000000,cash_original!AI38)</f>
        <v>21.304321000000002</v>
      </c>
      <c r="AJ38" s="4">
        <f>IF(ISNUMBER(cash_original!AJ38),cash_original!AJ38/100000000,cash_original!AJ38)</f>
        <v>5.9673689999999997</v>
      </c>
      <c r="AK38" s="4">
        <f>IF(ISNUMBER(cash_original!AK38),cash_original!AK38/100000000,cash_original!AK38)</f>
        <v>-0.33636100000000002</v>
      </c>
      <c r="AL38" s="4">
        <f>IF(ISNUMBER(cash_original!AL38),cash_original!AL38/100000000,cash_original!AL38)</f>
        <v>9.9663889999999995</v>
      </c>
      <c r="AM38" s="4">
        <f>IF(ISNUMBER(cash_original!AM38),cash_original!AM38/100000000,cash_original!AM38)</f>
        <v>12.931979999999999</v>
      </c>
      <c r="AN38" s="4">
        <f>IF(ISNUMBER(cash_original!AN38),cash_original!AN38/100000000,cash_original!AN38)</f>
        <v>31.100954999999999</v>
      </c>
      <c r="AO38" s="4">
        <f>IF(ISNUMBER(cash_original!AO38),cash_original!AO38/100000000,cash_original!AO38)</f>
        <v>18.617242999999998</v>
      </c>
      <c r="AP38" s="4">
        <f>IF(ISNUMBER(cash_original!AP38),cash_original!AP38/100000000,cash_original!AP38)</f>
        <v>7.5780799999999999</v>
      </c>
      <c r="AQ38" s="4">
        <f>IF(ISNUMBER(cash_original!AQ38),cash_original!AQ38/100000000,cash_original!AQ38)</f>
        <v>2.8842639999999999</v>
      </c>
      <c r="AR38" s="4">
        <f>IF(ISNUMBER(cash_original!AR38),cash_original!AR38/100000000,cash_original!AR38)</f>
        <v>2.37283</v>
      </c>
      <c r="AS38" s="4">
        <f>IF(ISNUMBER(cash_original!AS38),cash_original!AS38/100000000,cash_original!AS38)</f>
        <v>18.478715999999999</v>
      </c>
      <c r="AT38" s="4">
        <f>IF(ISNUMBER(cash_original!AT38),cash_original!AT38/100000000,cash_original!AT38)</f>
        <v>0.994722</v>
      </c>
      <c r="AU38" s="4">
        <f>IF(ISNUMBER(cash_original!AU38),cash_original!AU38/100000000,cash_original!AU38)</f>
        <v>1.3348720000000001</v>
      </c>
      <c r="AV38" s="3">
        <v>-431400800</v>
      </c>
      <c r="AW38" s="3">
        <v>1691706100</v>
      </c>
      <c r="AX38" s="3">
        <v>1336144000</v>
      </c>
      <c r="AY38" s="3">
        <v>-498571500</v>
      </c>
      <c r="AZ38" s="3">
        <v>841737000</v>
      </c>
      <c r="BA38" s="3">
        <v>-30679200</v>
      </c>
      <c r="BB38" s="3">
        <v>-56479500</v>
      </c>
      <c r="BC38" s="3">
        <v>154379600</v>
      </c>
      <c r="BD38" s="3">
        <v>181264300</v>
      </c>
      <c r="BE38" s="3">
        <v>385367900</v>
      </c>
      <c r="BF38" s="3">
        <v>665511700</v>
      </c>
      <c r="BG38" s="3">
        <v>-558833500</v>
      </c>
      <c r="BH38" s="3">
        <v>86439100</v>
      </c>
      <c r="BI38" s="3">
        <v>674982200</v>
      </c>
      <c r="BJ38" s="3">
        <v>151792500</v>
      </c>
      <c r="BK38" s="3">
        <v>40289400</v>
      </c>
      <c r="BL38" s="3">
        <v>126597900</v>
      </c>
      <c r="BM38" s="3">
        <v>479038500</v>
      </c>
      <c r="BN38" s="3">
        <v>246498800</v>
      </c>
      <c r="BO38" s="3">
        <v>81671000</v>
      </c>
      <c r="BP38" s="3">
        <v>-248928200</v>
      </c>
      <c r="BQ38" s="3">
        <v>471254400</v>
      </c>
      <c r="BR38" s="3">
        <v>332543600</v>
      </c>
      <c r="BS38" s="3">
        <v>-148708400</v>
      </c>
      <c r="BT38" s="3">
        <v>-95350000</v>
      </c>
    </row>
    <row r="39" spans="1:72" x14ac:dyDescent="0.25">
      <c r="A39" s="3" t="s">
        <v>195</v>
      </c>
      <c r="B39" s="4" t="str">
        <f>IF(ISNUMBER(cash_original!B39),cash_original!B39/100000000,cash_original!B39)</f>
        <v>--</v>
      </c>
      <c r="C39" s="4" t="str">
        <f>IF(ISNUMBER(cash_original!C39),cash_original!C39/100000000,cash_original!C39)</f>
        <v>--</v>
      </c>
      <c r="D39" s="4">
        <f>IF(ISNUMBER(cash_original!D39),cash_original!D39/100000000,cash_original!D39)</f>
        <v>1210.0383959999999</v>
      </c>
      <c r="E39" s="4" t="str">
        <f>IF(ISNUMBER(cash_original!E39),cash_original!E39/100000000,cash_original!E39)</f>
        <v>--</v>
      </c>
      <c r="F39" s="4" t="str">
        <f>IF(ISNUMBER(cash_original!F39),cash_original!F39/100000000,cash_original!F39)</f>
        <v>--</v>
      </c>
      <c r="G39" s="4" t="str">
        <f>IF(ISNUMBER(cash_original!G39),cash_original!G39/100000000,cash_original!G39)</f>
        <v>--</v>
      </c>
      <c r="H39" s="4">
        <f>IF(ISNUMBER(cash_original!H39),cash_original!H39/100000000,cash_original!H39)</f>
        <v>982.43288299999995</v>
      </c>
      <c r="I39" s="4" t="str">
        <f>IF(ISNUMBER(cash_original!I39),cash_original!I39/100000000,cash_original!I39)</f>
        <v>--</v>
      </c>
      <c r="J39" s="4" t="str">
        <f>IF(ISNUMBER(cash_original!J39),cash_original!J39/100000000,cash_original!J39)</f>
        <v>--</v>
      </c>
      <c r="K39" s="4" t="str">
        <f>IF(ISNUMBER(cash_original!K39),cash_original!K39/100000000,cash_original!K39)</f>
        <v>--</v>
      </c>
      <c r="L39" s="4">
        <f>IF(ISNUMBER(cash_original!L39),cash_original!L39/100000000,cash_original!L39)</f>
        <v>749.28080799999998</v>
      </c>
      <c r="M39" s="4" t="str">
        <f>IF(ISNUMBER(cash_original!M39),cash_original!M39/100000000,cash_original!M39)</f>
        <v>--</v>
      </c>
      <c r="N39" s="4" t="str">
        <f>IF(ISNUMBER(cash_original!N39),cash_original!N39/100000000,cash_original!N39)</f>
        <v>--</v>
      </c>
      <c r="O39" s="4" t="str">
        <f>IF(ISNUMBER(cash_original!O39),cash_original!O39/100000000,cash_original!O39)</f>
        <v>--</v>
      </c>
      <c r="P39" s="4">
        <f>IF(ISNUMBER(cash_original!P39),cash_original!P39/100000000,cash_original!P39)</f>
        <v>627.947948</v>
      </c>
      <c r="Q39" s="4" t="str">
        <f>IF(ISNUMBER(cash_original!Q39),cash_original!Q39/100000000,cash_original!Q39)</f>
        <v>--</v>
      </c>
      <c r="R39" s="4" t="str">
        <f>IF(ISNUMBER(cash_original!R39),cash_original!R39/100000000,cash_original!R39)</f>
        <v>--</v>
      </c>
      <c r="S39" s="4" t="str">
        <f>IF(ISNUMBER(cash_original!S39),cash_original!S39/100000000,cash_original!S39)</f>
        <v>--</v>
      </c>
      <c r="T39" s="4">
        <f>IF(ISNUMBER(cash_original!T39),cash_original!T39/100000000,cash_original!T39)</f>
        <v>347.80485900000002</v>
      </c>
      <c r="U39" s="4" t="str">
        <f>IF(ISNUMBER(cash_original!U39),cash_original!U39/100000000,cash_original!U39)</f>
        <v>--</v>
      </c>
      <c r="V39" s="4" t="str">
        <f>IF(ISNUMBER(cash_original!V39),cash_original!V39/100000000,cash_original!V39)</f>
        <v>--</v>
      </c>
      <c r="W39" s="4" t="str">
        <f>IF(ISNUMBER(cash_original!W39),cash_original!W39/100000000,cash_original!W39)</f>
        <v>--</v>
      </c>
      <c r="X39" s="4">
        <f>IF(ISNUMBER(cash_original!X39),cash_original!X39/100000000,cash_original!X39)</f>
        <v>249.97229200000001</v>
      </c>
      <c r="Y39" s="4" t="str">
        <f>IF(ISNUMBER(cash_original!Y39),cash_original!Y39/100000000,cash_original!Y39)</f>
        <v>--</v>
      </c>
      <c r="Z39" s="4" t="str">
        <f>IF(ISNUMBER(cash_original!Z39),cash_original!Z39/100000000,cash_original!Z39)</f>
        <v>--</v>
      </c>
      <c r="AA39" s="4" t="str">
        <f>IF(ISNUMBER(cash_original!AA39),cash_original!AA39/100000000,cash_original!AA39)</f>
        <v>--</v>
      </c>
      <c r="AB39" s="4">
        <f>IF(ISNUMBER(cash_original!AB39),cash_original!AB39/100000000,cash_original!AB39)</f>
        <v>219.91742199999999</v>
      </c>
      <c r="AC39" s="4" t="str">
        <f>IF(ISNUMBER(cash_original!AC39),cash_original!AC39/100000000,cash_original!AC39)</f>
        <v>--</v>
      </c>
      <c r="AD39" s="4" t="str">
        <f>IF(ISNUMBER(cash_original!AD39),cash_original!AD39/100000000,cash_original!AD39)</f>
        <v>--</v>
      </c>
      <c r="AE39" s="4" t="str">
        <f>IF(ISNUMBER(cash_original!AE39),cash_original!AE39/100000000,cash_original!AE39)</f>
        <v>--</v>
      </c>
      <c r="AF39" s="4">
        <f>IF(ISNUMBER(cash_original!AF39),cash_original!AF39/100000000,cash_original!AF39)</f>
        <v>220.61999900000001</v>
      </c>
      <c r="AG39" s="4" t="str">
        <f>IF(ISNUMBER(cash_original!AG39),cash_original!AG39/100000000,cash_original!AG39)</f>
        <v>--</v>
      </c>
      <c r="AH39" s="4" t="str">
        <f>IF(ISNUMBER(cash_original!AH39),cash_original!AH39/100000000,cash_original!AH39)</f>
        <v>--</v>
      </c>
      <c r="AI39" s="4" t="str">
        <f>IF(ISNUMBER(cash_original!AI39),cash_original!AI39/100000000,cash_original!AI39)</f>
        <v>--</v>
      </c>
      <c r="AJ39" s="4">
        <f>IF(ISNUMBER(cash_original!AJ39),cash_original!AJ39/100000000,cash_original!AJ39)</f>
        <v>182.54690199999999</v>
      </c>
      <c r="AK39" s="4" t="str">
        <f>IF(ISNUMBER(cash_original!AK39),cash_original!AK39/100000000,cash_original!AK39)</f>
        <v>--</v>
      </c>
      <c r="AL39" s="4" t="str">
        <f>IF(ISNUMBER(cash_original!AL39),cash_original!AL39/100000000,cash_original!AL39)</f>
        <v>--</v>
      </c>
      <c r="AM39" s="4" t="str">
        <f>IF(ISNUMBER(cash_original!AM39),cash_original!AM39/100000000,cash_original!AM39)</f>
        <v>--</v>
      </c>
      <c r="AN39" s="4">
        <f>IF(ISNUMBER(cash_original!AN39),cash_original!AN39/100000000,cash_original!AN39)</f>
        <v>128.883939</v>
      </c>
      <c r="AO39" s="4" t="str">
        <f>IF(ISNUMBER(cash_original!AO39),cash_original!AO39/100000000,cash_original!AO39)</f>
        <v>--</v>
      </c>
      <c r="AP39" s="4" t="str">
        <f>IF(ISNUMBER(cash_original!AP39),cash_original!AP39/100000000,cash_original!AP39)</f>
        <v>--</v>
      </c>
      <c r="AQ39" s="4" t="str">
        <f>IF(ISNUMBER(cash_original!AQ39),cash_original!AQ39/100000000,cash_original!AQ39)</f>
        <v>--</v>
      </c>
      <c r="AR39" s="4">
        <f>IF(ISNUMBER(cash_original!AR39),cash_original!AR39/100000000,cash_original!AR39)</f>
        <v>97.431522000000001</v>
      </c>
      <c r="AS39" s="4" t="str">
        <f>IF(ISNUMBER(cash_original!AS39),cash_original!AS39/100000000,cash_original!AS39)</f>
        <v>--</v>
      </c>
      <c r="AT39" s="4" t="str">
        <f>IF(ISNUMBER(cash_original!AT39),cash_original!AT39/100000000,cash_original!AT39)</f>
        <v>--</v>
      </c>
      <c r="AU39" s="4" t="str">
        <f>IF(ISNUMBER(cash_original!AU39),cash_original!AU39/100000000,cash_original!AU39)</f>
        <v>--</v>
      </c>
      <c r="AV39" s="3">
        <v>8093721900</v>
      </c>
      <c r="AW39" s="3" t="s">
        <v>133</v>
      </c>
      <c r="AX39" s="3" t="s">
        <v>133</v>
      </c>
      <c r="AY39" s="3" t="s">
        <v>133</v>
      </c>
      <c r="AZ39" s="3">
        <v>4722706300</v>
      </c>
      <c r="BA39" s="3" t="s">
        <v>133</v>
      </c>
      <c r="BB39" s="3" t="s">
        <v>133</v>
      </c>
      <c r="BC39" s="3" t="s">
        <v>133</v>
      </c>
      <c r="BD39" s="3">
        <v>4474221100</v>
      </c>
      <c r="BE39" s="3">
        <v>-3954200</v>
      </c>
      <c r="BF39" s="3">
        <v>1751400</v>
      </c>
      <c r="BG39" s="3">
        <v>2900530200</v>
      </c>
      <c r="BH39" s="3">
        <v>997408600</v>
      </c>
      <c r="BI39" s="3" t="s">
        <v>133</v>
      </c>
      <c r="BJ39" s="3" t="s">
        <v>133</v>
      </c>
      <c r="BK39" s="3" t="s">
        <v>133</v>
      </c>
      <c r="BL39" s="3" t="s">
        <v>133</v>
      </c>
      <c r="BM39" s="3" t="s">
        <v>133</v>
      </c>
      <c r="BN39" s="3" t="s">
        <v>133</v>
      </c>
      <c r="BO39" s="3" t="s">
        <v>133</v>
      </c>
      <c r="BP39" s="3" t="s">
        <v>133</v>
      </c>
      <c r="BQ39" s="3" t="s">
        <v>133</v>
      </c>
      <c r="BR39" s="3" t="s">
        <v>133</v>
      </c>
      <c r="BS39" s="3" t="s">
        <v>133</v>
      </c>
      <c r="BT39" s="3" t="s">
        <v>133</v>
      </c>
    </row>
    <row r="40" spans="1:72" x14ac:dyDescent="0.25">
      <c r="A40" s="3" t="s">
        <v>196</v>
      </c>
      <c r="B40" s="4">
        <f>IF(ISNUMBER(cash_original!B40),cash_original!B40/100000000,cash_original!B40)</f>
        <v>120.051424</v>
      </c>
      <c r="C40" s="4">
        <f>IF(ISNUMBER(cash_original!C40),cash_original!C40/100000000,cash_original!C40)</f>
        <v>-135.17680799999999</v>
      </c>
      <c r="D40" s="4">
        <f>IF(ISNUMBER(cash_original!D40),cash_original!D40/100000000,cash_original!D40)</f>
        <v>1224.354881</v>
      </c>
      <c r="E40" s="4">
        <f>IF(ISNUMBER(cash_original!E40),cash_original!E40/100000000,cash_original!E40)</f>
        <v>167.736211</v>
      </c>
      <c r="F40" s="4">
        <f>IF(ISNUMBER(cash_original!F40),cash_original!F40/100000000,cash_original!F40)</f>
        <v>20.686536</v>
      </c>
      <c r="G40" s="4">
        <f>IF(ISNUMBER(cash_original!G40),cash_original!G40/100000000,cash_original!G40)</f>
        <v>33.475842</v>
      </c>
      <c r="H40" s="4">
        <f>IF(ISNUMBER(cash_original!H40),cash_original!H40/100000000,cash_original!H40)</f>
        <v>988.13980700000002</v>
      </c>
      <c r="I40" s="4">
        <f>IF(ISNUMBER(cash_original!I40),cash_original!I40/100000000,cash_original!I40)</f>
        <v>125.52365899999999</v>
      </c>
      <c r="J40" s="4">
        <f>IF(ISNUMBER(cash_original!J40),cash_original!J40/100000000,cash_original!J40)</f>
        <v>76.225290999999999</v>
      </c>
      <c r="K40" s="4">
        <f>IF(ISNUMBER(cash_original!K40),cash_original!K40/100000000,cash_original!K40)</f>
        <v>-12.032686999999999</v>
      </c>
      <c r="L40" s="4">
        <f>IF(ISNUMBER(cash_original!L40),cash_original!L40/100000000,cash_original!L40)</f>
        <v>792.71662000000003</v>
      </c>
      <c r="M40" s="4">
        <f>IF(ISNUMBER(cash_original!M40),cash_original!M40/100000000,cash_original!M40)</f>
        <v>-10.126083</v>
      </c>
      <c r="N40" s="4">
        <f>IF(ISNUMBER(cash_original!N40),cash_original!N40/100000000,cash_original!N40)</f>
        <v>70.451539999999994</v>
      </c>
      <c r="O40" s="4">
        <f>IF(ISNUMBER(cash_original!O40),cash_original!O40/100000000,cash_original!O40)</f>
        <v>2.9209450000000001</v>
      </c>
      <c r="P40" s="4">
        <f>IF(ISNUMBER(cash_original!P40),cash_original!P40/100000000,cash_original!P40)</f>
        <v>686.03440499999999</v>
      </c>
      <c r="Q40" s="4">
        <f>IF(ISNUMBER(cash_original!Q40),cash_original!Q40/100000000,cash_original!Q40)</f>
        <v>45.363976999999998</v>
      </c>
      <c r="R40" s="4">
        <f>IF(ISNUMBER(cash_original!R40),cash_original!R40/100000000,cash_original!R40)</f>
        <v>137.12438</v>
      </c>
      <c r="S40" s="4">
        <f>IF(ISNUMBER(cash_original!S40),cash_original!S40/100000000,cash_original!S40)</f>
        <v>32.591932</v>
      </c>
      <c r="T40" s="4">
        <f>IF(ISNUMBER(cash_original!T40),cash_original!T40/100000000,cash_original!T40)</f>
        <v>412.86765800000001</v>
      </c>
      <c r="U40" s="4">
        <f>IF(ISNUMBER(cash_original!U40),cash_original!U40/100000000,cash_original!U40)</f>
        <v>57.466414</v>
      </c>
      <c r="V40" s="4">
        <f>IF(ISNUMBER(cash_original!V40),cash_original!V40/100000000,cash_original!V40)</f>
        <v>4.7694539999999996</v>
      </c>
      <c r="W40" s="4">
        <f>IF(ISNUMBER(cash_original!W40),cash_original!W40/100000000,cash_original!W40)</f>
        <v>23.532163000000001</v>
      </c>
      <c r="X40" s="4">
        <f>IF(ISNUMBER(cash_original!X40),cash_original!X40/100000000,cash_original!X40)</f>
        <v>262.03682800000001</v>
      </c>
      <c r="Y40" s="4">
        <f>IF(ISNUMBER(cash_original!Y40),cash_original!Y40/100000000,cash_original!Y40)</f>
        <v>43.004013999999998</v>
      </c>
      <c r="Z40" s="4">
        <f>IF(ISNUMBER(cash_original!Z40),cash_original!Z40/100000000,cash_original!Z40)</f>
        <v>25.204892000000001</v>
      </c>
      <c r="AA40" s="4">
        <f>IF(ISNUMBER(cash_original!AA40),cash_original!AA40/100000000,cash_original!AA40)</f>
        <v>-19.045006000000001</v>
      </c>
      <c r="AB40" s="4">
        <f>IF(ISNUMBER(cash_original!AB40),cash_original!AB40/100000000,cash_original!AB40)</f>
        <v>200.808392</v>
      </c>
      <c r="AC40" s="4">
        <f>IF(ISNUMBER(cash_original!AC40),cash_original!AC40/100000000,cash_original!AC40)</f>
        <v>18.664483000000001</v>
      </c>
      <c r="AD40" s="4">
        <f>IF(ISNUMBER(cash_original!AD40),cash_original!AD40/100000000,cash_original!AD40)</f>
        <v>20.202466999999999</v>
      </c>
      <c r="AE40" s="4">
        <f>IF(ISNUMBER(cash_original!AE40),cash_original!AE40/100000000,cash_original!AE40)</f>
        <v>-36.301875000000003</v>
      </c>
      <c r="AF40" s="4">
        <f>IF(ISNUMBER(cash_original!AF40),cash_original!AF40/100000000,cash_original!AF40)</f>
        <v>217.35234700000001</v>
      </c>
      <c r="AG40" s="4">
        <f>IF(ISNUMBER(cash_original!AG40),cash_original!AG40/100000000,cash_original!AG40)</f>
        <v>33.719669000000003</v>
      </c>
      <c r="AH40" s="4">
        <f>IF(ISNUMBER(cash_original!AH40),cash_original!AH40/100000000,cash_original!AH40)</f>
        <v>-22.918261000000001</v>
      </c>
      <c r="AI40" s="4">
        <f>IF(ISNUMBER(cash_original!AI40),cash_original!AI40/100000000,cash_original!AI40)</f>
        <v>21.304321000000002</v>
      </c>
      <c r="AJ40" s="4">
        <f>IF(ISNUMBER(cash_original!AJ40),cash_original!AJ40/100000000,cash_original!AJ40)</f>
        <v>188.51427000000001</v>
      </c>
      <c r="AK40" s="4">
        <f>IF(ISNUMBER(cash_original!AK40),cash_original!AK40/100000000,cash_original!AK40)</f>
        <v>-0.33636100000000002</v>
      </c>
      <c r="AL40" s="4">
        <f>IF(ISNUMBER(cash_original!AL40),cash_original!AL40/100000000,cash_original!AL40)</f>
        <v>9.9663889999999995</v>
      </c>
      <c r="AM40" s="4">
        <f>IF(ISNUMBER(cash_original!AM40),cash_original!AM40/100000000,cash_original!AM40)</f>
        <v>12.931979999999999</v>
      </c>
      <c r="AN40" s="4">
        <f>IF(ISNUMBER(cash_original!AN40),cash_original!AN40/100000000,cash_original!AN40)</f>
        <v>159.984894</v>
      </c>
      <c r="AO40" s="4">
        <f>IF(ISNUMBER(cash_original!AO40),cash_original!AO40/100000000,cash_original!AO40)</f>
        <v>18.617242999999998</v>
      </c>
      <c r="AP40" s="4">
        <f>IF(ISNUMBER(cash_original!AP40),cash_original!AP40/100000000,cash_original!AP40)</f>
        <v>7.5780799999999999</v>
      </c>
      <c r="AQ40" s="4">
        <f>IF(ISNUMBER(cash_original!AQ40),cash_original!AQ40/100000000,cash_original!AQ40)</f>
        <v>2.8842639999999999</v>
      </c>
      <c r="AR40" s="4">
        <f>IF(ISNUMBER(cash_original!AR40),cash_original!AR40/100000000,cash_original!AR40)</f>
        <v>99.804351999999994</v>
      </c>
      <c r="AS40" s="4">
        <f>IF(ISNUMBER(cash_original!AS40),cash_original!AS40/100000000,cash_original!AS40)</f>
        <v>18.478715999999999</v>
      </c>
      <c r="AT40" s="4">
        <f>IF(ISNUMBER(cash_original!AT40),cash_original!AT40/100000000,cash_original!AT40)</f>
        <v>0.994722</v>
      </c>
      <c r="AU40" s="4">
        <f>IF(ISNUMBER(cash_original!AU40),cash_original!AU40/100000000,cash_original!AU40)</f>
        <v>1.3348720000000001</v>
      </c>
      <c r="AV40" s="3">
        <v>7662321100</v>
      </c>
      <c r="AW40" s="3">
        <v>1691706100</v>
      </c>
      <c r="AX40" s="3">
        <v>1336144000</v>
      </c>
      <c r="AY40" s="3">
        <v>-498571500</v>
      </c>
      <c r="AZ40" s="3">
        <v>5564443300</v>
      </c>
      <c r="BA40" s="3">
        <v>-30679200</v>
      </c>
      <c r="BB40" s="3">
        <v>-56479500</v>
      </c>
      <c r="BC40" s="3">
        <v>154379600</v>
      </c>
      <c r="BD40" s="3">
        <v>4655485500</v>
      </c>
      <c r="BE40" s="3">
        <v>381413700</v>
      </c>
      <c r="BF40" s="3">
        <v>667263100</v>
      </c>
      <c r="BG40" s="3">
        <v>2341696600</v>
      </c>
      <c r="BH40" s="3">
        <v>1083847700</v>
      </c>
      <c r="BI40" s="3" t="s">
        <v>133</v>
      </c>
      <c r="BJ40" s="3" t="s">
        <v>133</v>
      </c>
      <c r="BK40" s="3" t="s">
        <v>133</v>
      </c>
      <c r="BL40" s="3" t="s">
        <v>133</v>
      </c>
      <c r="BM40" s="3" t="s">
        <v>133</v>
      </c>
      <c r="BN40" s="3" t="s">
        <v>133</v>
      </c>
      <c r="BO40" s="3" t="s">
        <v>133</v>
      </c>
      <c r="BP40" s="3" t="s">
        <v>133</v>
      </c>
      <c r="BQ40" s="3" t="s">
        <v>133</v>
      </c>
      <c r="BR40" s="3" t="s">
        <v>133</v>
      </c>
      <c r="BS40" s="3" t="s">
        <v>133</v>
      </c>
      <c r="BT40" s="3" t="s">
        <v>133</v>
      </c>
    </row>
    <row r="41" spans="1:72" x14ac:dyDescent="0.25">
      <c r="A41" s="3" t="s">
        <v>197</v>
      </c>
      <c r="B41" s="4">
        <f>IF(ISNUMBER(cash_original!B41),cash_original!B41/100000000,cash_original!B41)</f>
        <v>0</v>
      </c>
      <c r="C41" s="4">
        <f>IF(ISNUMBER(cash_original!C41),cash_original!C41/100000000,cash_original!C41)</f>
        <v>0</v>
      </c>
      <c r="D41" s="4">
        <f>IF(ISNUMBER(cash_original!D41),cash_original!D41/100000000,cash_original!D41)</f>
        <v>0</v>
      </c>
      <c r="E41" s="4">
        <f>IF(ISNUMBER(cash_original!E41),cash_original!E41/100000000,cash_original!E41)</f>
        <v>0</v>
      </c>
      <c r="F41" s="4">
        <f>IF(ISNUMBER(cash_original!F41),cash_original!F41/100000000,cash_original!F41)</f>
        <v>0</v>
      </c>
      <c r="G41" s="4">
        <f>IF(ISNUMBER(cash_original!G41),cash_original!G41/100000000,cash_original!G41)</f>
        <v>0</v>
      </c>
      <c r="H41" s="4">
        <f>IF(ISNUMBER(cash_original!H41),cash_original!H41/100000000,cash_original!H41)</f>
        <v>0</v>
      </c>
      <c r="I41" s="4">
        <f>IF(ISNUMBER(cash_original!I41),cash_original!I41/100000000,cash_original!I41)</f>
        <v>0</v>
      </c>
      <c r="J41" s="4">
        <f>IF(ISNUMBER(cash_original!J41),cash_original!J41/100000000,cash_original!J41)</f>
        <v>0</v>
      </c>
      <c r="K41" s="4">
        <f>IF(ISNUMBER(cash_original!K41),cash_original!K41/100000000,cash_original!K41)</f>
        <v>0</v>
      </c>
      <c r="L41" s="4">
        <f>IF(ISNUMBER(cash_original!L41),cash_original!L41/100000000,cash_original!L41)</f>
        <v>0</v>
      </c>
      <c r="M41" s="4">
        <f>IF(ISNUMBER(cash_original!M41),cash_original!M41/100000000,cash_original!M41)</f>
        <v>0</v>
      </c>
      <c r="N41" s="4">
        <f>IF(ISNUMBER(cash_original!N41),cash_original!N41/100000000,cash_original!N41)</f>
        <v>0</v>
      </c>
      <c r="O41" s="4">
        <f>IF(ISNUMBER(cash_original!O41),cash_original!O41/100000000,cash_original!O41)</f>
        <v>0</v>
      </c>
      <c r="P41" s="4">
        <f>IF(ISNUMBER(cash_original!P41),cash_original!P41/100000000,cash_original!P41)</f>
        <v>0</v>
      </c>
      <c r="Q41" s="4">
        <f>IF(ISNUMBER(cash_original!Q41),cash_original!Q41/100000000,cash_original!Q41)</f>
        <v>0</v>
      </c>
      <c r="R41" s="4">
        <f>IF(ISNUMBER(cash_original!R41),cash_original!R41/100000000,cash_original!R41)</f>
        <v>0</v>
      </c>
      <c r="S41" s="4">
        <f>IF(ISNUMBER(cash_original!S41),cash_original!S41/100000000,cash_original!S41)</f>
        <v>0</v>
      </c>
      <c r="T41" s="4">
        <f>IF(ISNUMBER(cash_original!T41),cash_original!T41/100000000,cash_original!T41)</f>
        <v>0</v>
      </c>
      <c r="U41" s="4">
        <f>IF(ISNUMBER(cash_original!U41),cash_original!U41/100000000,cash_original!U41)</f>
        <v>0</v>
      </c>
      <c r="V41" s="4">
        <f>IF(ISNUMBER(cash_original!V41),cash_original!V41/100000000,cash_original!V41)</f>
        <v>0</v>
      </c>
      <c r="W41" s="4">
        <f>IF(ISNUMBER(cash_original!W41),cash_original!W41/100000000,cash_original!W41)</f>
        <v>0</v>
      </c>
      <c r="X41" s="4">
        <f>IF(ISNUMBER(cash_original!X41),cash_original!X41/100000000,cash_original!X41)</f>
        <v>0</v>
      </c>
      <c r="Y41" s="4">
        <f>IF(ISNUMBER(cash_original!Y41),cash_original!Y41/100000000,cash_original!Y41)</f>
        <v>0</v>
      </c>
      <c r="Z41" s="4">
        <f>IF(ISNUMBER(cash_original!Z41),cash_original!Z41/100000000,cash_original!Z41)</f>
        <v>0</v>
      </c>
      <c r="AA41" s="4">
        <f>IF(ISNUMBER(cash_original!AA41),cash_original!AA41/100000000,cash_original!AA41)</f>
        <v>0</v>
      </c>
      <c r="AB41" s="4">
        <f>IF(ISNUMBER(cash_original!AB41),cash_original!AB41/100000000,cash_original!AB41)</f>
        <v>0</v>
      </c>
      <c r="AC41" s="4">
        <f>IF(ISNUMBER(cash_original!AC41),cash_original!AC41/100000000,cash_original!AC41)</f>
        <v>0</v>
      </c>
      <c r="AD41" s="4">
        <f>IF(ISNUMBER(cash_original!AD41),cash_original!AD41/100000000,cash_original!AD41)</f>
        <v>0</v>
      </c>
      <c r="AE41" s="4">
        <f>IF(ISNUMBER(cash_original!AE41),cash_original!AE41/100000000,cash_original!AE41)</f>
        <v>0</v>
      </c>
      <c r="AF41" s="4">
        <f>IF(ISNUMBER(cash_original!AF41),cash_original!AF41/100000000,cash_original!AF41)</f>
        <v>0</v>
      </c>
      <c r="AG41" s="4">
        <f>IF(ISNUMBER(cash_original!AG41),cash_original!AG41/100000000,cash_original!AG41)</f>
        <v>0</v>
      </c>
      <c r="AH41" s="4">
        <f>IF(ISNUMBER(cash_original!AH41),cash_original!AH41/100000000,cash_original!AH41)</f>
        <v>0</v>
      </c>
      <c r="AI41" s="4">
        <f>IF(ISNUMBER(cash_original!AI41),cash_original!AI41/100000000,cash_original!AI41)</f>
        <v>0</v>
      </c>
      <c r="AJ41" s="4">
        <f>IF(ISNUMBER(cash_original!AJ41),cash_original!AJ41/100000000,cash_original!AJ41)</f>
        <v>0</v>
      </c>
      <c r="AK41" s="4">
        <f>IF(ISNUMBER(cash_original!AK41),cash_original!AK41/100000000,cash_original!AK41)</f>
        <v>0</v>
      </c>
      <c r="AL41" s="4">
        <f>IF(ISNUMBER(cash_original!AL41),cash_original!AL41/100000000,cash_original!AL41)</f>
        <v>0</v>
      </c>
      <c r="AM41" s="4">
        <f>IF(ISNUMBER(cash_original!AM41),cash_original!AM41/100000000,cash_original!AM41)</f>
        <v>0</v>
      </c>
      <c r="AN41" s="4">
        <f>IF(ISNUMBER(cash_original!AN41),cash_original!AN41/100000000,cash_original!AN41)</f>
        <v>0</v>
      </c>
      <c r="AO41" s="4">
        <f>IF(ISNUMBER(cash_original!AO41),cash_original!AO41/100000000,cash_original!AO41)</f>
        <v>0</v>
      </c>
      <c r="AP41" s="4">
        <f>IF(ISNUMBER(cash_original!AP41),cash_original!AP41/100000000,cash_original!AP41)</f>
        <v>0</v>
      </c>
      <c r="AQ41" s="4">
        <f>IF(ISNUMBER(cash_original!AQ41),cash_original!AQ41/100000000,cash_original!AQ41)</f>
        <v>0</v>
      </c>
      <c r="AR41" s="4">
        <f>IF(ISNUMBER(cash_original!AR41),cash_original!AR41/100000000,cash_original!AR41)</f>
        <v>0</v>
      </c>
      <c r="AS41" s="4">
        <f>IF(ISNUMBER(cash_original!AS41),cash_original!AS41/100000000,cash_original!AS41)</f>
        <v>0</v>
      </c>
      <c r="AT41" s="4">
        <f>IF(ISNUMBER(cash_original!AT41),cash_original!AT41/100000000,cash_original!AT41)</f>
        <v>0</v>
      </c>
      <c r="AU41" s="4">
        <f>IF(ISNUMBER(cash_original!AU41),cash_original!AU41/100000000,cash_original!AU41)</f>
        <v>0</v>
      </c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</row>
    <row r="42" spans="1:72" x14ac:dyDescent="0.25">
      <c r="A42" s="3" t="s">
        <v>198</v>
      </c>
      <c r="B42" s="4">
        <f>IF(ISNUMBER(cash_original!B42),cash_original!B42/100000000,cash_original!B42)</f>
        <v>0</v>
      </c>
      <c r="C42" s="4">
        <f>IF(ISNUMBER(cash_original!C42),cash_original!C42/100000000,cash_original!C42)</f>
        <v>0</v>
      </c>
      <c r="D42" s="4">
        <f>IF(ISNUMBER(cash_original!D42),cash_original!D42/100000000,cash_original!D42)</f>
        <v>0</v>
      </c>
      <c r="E42" s="4">
        <f>IF(ISNUMBER(cash_original!E42),cash_original!E42/100000000,cash_original!E42)</f>
        <v>0</v>
      </c>
      <c r="F42" s="4">
        <f>IF(ISNUMBER(cash_original!F42),cash_original!F42/100000000,cash_original!F42)</f>
        <v>0</v>
      </c>
      <c r="G42" s="4">
        <f>IF(ISNUMBER(cash_original!G42),cash_original!G42/100000000,cash_original!G42)</f>
        <v>0</v>
      </c>
      <c r="H42" s="4">
        <f>IF(ISNUMBER(cash_original!H42),cash_original!H42/100000000,cash_original!H42)</f>
        <v>0</v>
      </c>
      <c r="I42" s="4">
        <f>IF(ISNUMBER(cash_original!I42),cash_original!I42/100000000,cash_original!I42)</f>
        <v>0</v>
      </c>
      <c r="J42" s="4">
        <f>IF(ISNUMBER(cash_original!J42),cash_original!J42/100000000,cash_original!J42)</f>
        <v>0</v>
      </c>
      <c r="K42" s="4">
        <f>IF(ISNUMBER(cash_original!K42),cash_original!K42/100000000,cash_original!K42)</f>
        <v>0</v>
      </c>
      <c r="L42" s="4">
        <f>IF(ISNUMBER(cash_original!L42),cash_original!L42/100000000,cash_original!L42)</f>
        <v>0</v>
      </c>
      <c r="M42" s="4">
        <f>IF(ISNUMBER(cash_original!M42),cash_original!M42/100000000,cash_original!M42)</f>
        <v>0</v>
      </c>
      <c r="N42" s="4">
        <f>IF(ISNUMBER(cash_original!N42),cash_original!N42/100000000,cash_original!N42)</f>
        <v>0</v>
      </c>
      <c r="O42" s="4">
        <f>IF(ISNUMBER(cash_original!O42),cash_original!O42/100000000,cash_original!O42)</f>
        <v>0</v>
      </c>
      <c r="P42" s="4">
        <f>IF(ISNUMBER(cash_original!P42),cash_original!P42/100000000,cash_original!P42)</f>
        <v>0</v>
      </c>
      <c r="Q42" s="4">
        <f>IF(ISNUMBER(cash_original!Q42),cash_original!Q42/100000000,cash_original!Q42)</f>
        <v>0</v>
      </c>
      <c r="R42" s="4">
        <f>IF(ISNUMBER(cash_original!R42),cash_original!R42/100000000,cash_original!R42)</f>
        <v>0</v>
      </c>
      <c r="S42" s="4">
        <f>IF(ISNUMBER(cash_original!S42),cash_original!S42/100000000,cash_original!S42)</f>
        <v>0</v>
      </c>
      <c r="T42" s="4">
        <f>IF(ISNUMBER(cash_original!T42),cash_original!T42/100000000,cash_original!T42)</f>
        <v>0</v>
      </c>
      <c r="U42" s="4">
        <f>IF(ISNUMBER(cash_original!U42),cash_original!U42/100000000,cash_original!U42)</f>
        <v>0</v>
      </c>
      <c r="V42" s="4">
        <f>IF(ISNUMBER(cash_original!V42),cash_original!V42/100000000,cash_original!V42)</f>
        <v>0</v>
      </c>
      <c r="W42" s="4">
        <f>IF(ISNUMBER(cash_original!W42),cash_original!W42/100000000,cash_original!W42)</f>
        <v>0</v>
      </c>
      <c r="X42" s="4">
        <f>IF(ISNUMBER(cash_original!X42),cash_original!X42/100000000,cash_original!X42)</f>
        <v>0</v>
      </c>
      <c r="Y42" s="4">
        <f>IF(ISNUMBER(cash_original!Y42),cash_original!Y42/100000000,cash_original!Y42)</f>
        <v>0</v>
      </c>
      <c r="Z42" s="4">
        <f>IF(ISNUMBER(cash_original!Z42),cash_original!Z42/100000000,cash_original!Z42)</f>
        <v>0</v>
      </c>
      <c r="AA42" s="4">
        <f>IF(ISNUMBER(cash_original!AA42),cash_original!AA42/100000000,cash_original!AA42)</f>
        <v>0</v>
      </c>
      <c r="AB42" s="4">
        <f>IF(ISNUMBER(cash_original!AB42),cash_original!AB42/100000000,cash_original!AB42)</f>
        <v>0</v>
      </c>
      <c r="AC42" s="4">
        <f>IF(ISNUMBER(cash_original!AC42),cash_original!AC42/100000000,cash_original!AC42)</f>
        <v>0</v>
      </c>
      <c r="AD42" s="4">
        <f>IF(ISNUMBER(cash_original!AD42),cash_original!AD42/100000000,cash_original!AD42)</f>
        <v>0</v>
      </c>
      <c r="AE42" s="4">
        <f>IF(ISNUMBER(cash_original!AE42),cash_original!AE42/100000000,cash_original!AE42)</f>
        <v>0</v>
      </c>
      <c r="AF42" s="4">
        <f>IF(ISNUMBER(cash_original!AF42),cash_original!AF42/100000000,cash_original!AF42)</f>
        <v>0</v>
      </c>
      <c r="AG42" s="4">
        <f>IF(ISNUMBER(cash_original!AG42),cash_original!AG42/100000000,cash_original!AG42)</f>
        <v>0</v>
      </c>
      <c r="AH42" s="4">
        <f>IF(ISNUMBER(cash_original!AH42),cash_original!AH42/100000000,cash_original!AH42)</f>
        <v>0</v>
      </c>
      <c r="AI42" s="4">
        <f>IF(ISNUMBER(cash_original!AI42),cash_original!AI42/100000000,cash_original!AI42)</f>
        <v>0</v>
      </c>
      <c r="AJ42" s="4">
        <f>IF(ISNUMBER(cash_original!AJ42),cash_original!AJ42/100000000,cash_original!AJ42)</f>
        <v>0</v>
      </c>
      <c r="AK42" s="4">
        <f>IF(ISNUMBER(cash_original!AK42),cash_original!AK42/100000000,cash_original!AK42)</f>
        <v>0</v>
      </c>
      <c r="AL42" s="4">
        <f>IF(ISNUMBER(cash_original!AL42),cash_original!AL42/100000000,cash_original!AL42)</f>
        <v>0</v>
      </c>
      <c r="AM42" s="4">
        <f>IF(ISNUMBER(cash_original!AM42),cash_original!AM42/100000000,cash_original!AM42)</f>
        <v>0</v>
      </c>
      <c r="AN42" s="4">
        <f>IF(ISNUMBER(cash_original!AN42),cash_original!AN42/100000000,cash_original!AN42)</f>
        <v>0</v>
      </c>
      <c r="AO42" s="4">
        <f>IF(ISNUMBER(cash_original!AO42),cash_original!AO42/100000000,cash_original!AO42)</f>
        <v>0</v>
      </c>
      <c r="AP42" s="4">
        <f>IF(ISNUMBER(cash_original!AP42),cash_original!AP42/100000000,cash_original!AP42)</f>
        <v>0</v>
      </c>
      <c r="AQ42" s="4">
        <f>IF(ISNUMBER(cash_original!AQ42),cash_original!AQ42/100000000,cash_original!AQ42)</f>
        <v>0</v>
      </c>
      <c r="AR42" s="4">
        <f>IF(ISNUMBER(cash_original!AR42),cash_original!AR42/100000000,cash_original!AR42)</f>
        <v>0</v>
      </c>
      <c r="AS42" s="4">
        <f>IF(ISNUMBER(cash_original!AS42),cash_original!AS42/100000000,cash_original!AS42)</f>
        <v>0</v>
      </c>
      <c r="AT42" s="4">
        <f>IF(ISNUMBER(cash_original!AT42),cash_original!AT42/100000000,cash_original!AT42)</f>
        <v>0</v>
      </c>
      <c r="AU42" s="4">
        <f>IF(ISNUMBER(cash_original!AU42),cash_original!AU42/100000000,cash_original!AU42)</f>
        <v>0</v>
      </c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</row>
    <row r="43" spans="1:72" x14ac:dyDescent="0.25">
      <c r="A43" s="3" t="s">
        <v>22</v>
      </c>
      <c r="B43" s="4" t="str">
        <f>IF(ISNUMBER(cash_original!B43),cash_original!B43/100000000,cash_original!B43)</f>
        <v>--</v>
      </c>
      <c r="C43" s="4" t="str">
        <f>IF(ISNUMBER(cash_original!C43),cash_original!C43/100000000,cash_original!C43)</f>
        <v>--</v>
      </c>
      <c r="D43" s="4" t="str">
        <f>IF(ISNUMBER(cash_original!D43),cash_original!D43/100000000,cash_original!D43)</f>
        <v>--</v>
      </c>
      <c r="E43" s="4" t="str">
        <f>IF(ISNUMBER(cash_original!E43),cash_original!E43/100000000,cash_original!E43)</f>
        <v>--</v>
      </c>
      <c r="F43" s="4" t="str">
        <f>IF(ISNUMBER(cash_original!F43),cash_original!F43/100000000,cash_original!F43)</f>
        <v>--</v>
      </c>
      <c r="G43" s="4" t="str">
        <f>IF(ISNUMBER(cash_original!G43),cash_original!G43/100000000,cash_original!G43)</f>
        <v>--</v>
      </c>
      <c r="H43" s="4" t="str">
        <f>IF(ISNUMBER(cash_original!H43),cash_original!H43/100000000,cash_original!H43)</f>
        <v>--</v>
      </c>
      <c r="I43" s="4" t="str">
        <f>IF(ISNUMBER(cash_original!I43),cash_original!I43/100000000,cash_original!I43)</f>
        <v>--</v>
      </c>
      <c r="J43" s="4" t="str">
        <f>IF(ISNUMBER(cash_original!J43),cash_original!J43/100000000,cash_original!J43)</f>
        <v>--</v>
      </c>
      <c r="K43" s="4" t="str">
        <f>IF(ISNUMBER(cash_original!K43),cash_original!K43/100000000,cash_original!K43)</f>
        <v>--</v>
      </c>
      <c r="L43" s="4" t="str">
        <f>IF(ISNUMBER(cash_original!L43),cash_original!L43/100000000,cash_original!L43)</f>
        <v>--</v>
      </c>
      <c r="M43" s="4" t="str">
        <f>IF(ISNUMBER(cash_original!M43),cash_original!M43/100000000,cash_original!M43)</f>
        <v>--</v>
      </c>
      <c r="N43" s="4" t="str">
        <f>IF(ISNUMBER(cash_original!N43),cash_original!N43/100000000,cash_original!N43)</f>
        <v>--</v>
      </c>
      <c r="O43" s="4" t="str">
        <f>IF(ISNUMBER(cash_original!O43),cash_original!O43/100000000,cash_original!O43)</f>
        <v>--</v>
      </c>
      <c r="P43" s="4" t="str">
        <f>IF(ISNUMBER(cash_original!P43),cash_original!P43/100000000,cash_original!P43)</f>
        <v>--</v>
      </c>
      <c r="Q43" s="4" t="str">
        <f>IF(ISNUMBER(cash_original!Q43),cash_original!Q43/100000000,cash_original!Q43)</f>
        <v>--</v>
      </c>
      <c r="R43" s="4" t="str">
        <f>IF(ISNUMBER(cash_original!R43),cash_original!R43/100000000,cash_original!R43)</f>
        <v>--</v>
      </c>
      <c r="S43" s="4" t="str">
        <f>IF(ISNUMBER(cash_original!S43),cash_original!S43/100000000,cash_original!S43)</f>
        <v>--</v>
      </c>
      <c r="T43" s="4" t="str">
        <f>IF(ISNUMBER(cash_original!T43),cash_original!T43/100000000,cash_original!T43)</f>
        <v>--</v>
      </c>
      <c r="U43" s="4" t="str">
        <f>IF(ISNUMBER(cash_original!U43),cash_original!U43/100000000,cash_original!U43)</f>
        <v>--</v>
      </c>
      <c r="V43" s="4" t="str">
        <f>IF(ISNUMBER(cash_original!V43),cash_original!V43/100000000,cash_original!V43)</f>
        <v>--</v>
      </c>
      <c r="W43" s="4" t="str">
        <f>IF(ISNUMBER(cash_original!W43),cash_original!W43/100000000,cash_original!W43)</f>
        <v>--</v>
      </c>
      <c r="X43" s="4" t="str">
        <f>IF(ISNUMBER(cash_original!X43),cash_original!X43/100000000,cash_original!X43)</f>
        <v>--</v>
      </c>
      <c r="Y43" s="4" t="str">
        <f>IF(ISNUMBER(cash_original!Y43),cash_original!Y43/100000000,cash_original!Y43)</f>
        <v>--</v>
      </c>
      <c r="Z43" s="4" t="str">
        <f>IF(ISNUMBER(cash_original!Z43),cash_original!Z43/100000000,cash_original!Z43)</f>
        <v>--</v>
      </c>
      <c r="AA43" s="4" t="str">
        <f>IF(ISNUMBER(cash_original!AA43),cash_original!AA43/100000000,cash_original!AA43)</f>
        <v>--</v>
      </c>
      <c r="AB43" s="4" t="str">
        <f>IF(ISNUMBER(cash_original!AB43),cash_original!AB43/100000000,cash_original!AB43)</f>
        <v>--</v>
      </c>
      <c r="AC43" s="4" t="str">
        <f>IF(ISNUMBER(cash_original!AC43),cash_original!AC43/100000000,cash_original!AC43)</f>
        <v>--</v>
      </c>
      <c r="AD43" s="4" t="str">
        <f>IF(ISNUMBER(cash_original!AD43),cash_original!AD43/100000000,cash_original!AD43)</f>
        <v>--</v>
      </c>
      <c r="AE43" s="4" t="str">
        <f>IF(ISNUMBER(cash_original!AE43),cash_original!AE43/100000000,cash_original!AE43)</f>
        <v>--</v>
      </c>
      <c r="AF43" s="4" t="str">
        <f>IF(ISNUMBER(cash_original!AF43),cash_original!AF43/100000000,cash_original!AF43)</f>
        <v>--</v>
      </c>
      <c r="AG43" s="4" t="str">
        <f>IF(ISNUMBER(cash_original!AG43),cash_original!AG43/100000000,cash_original!AG43)</f>
        <v>--</v>
      </c>
      <c r="AH43" s="4" t="str">
        <f>IF(ISNUMBER(cash_original!AH43),cash_original!AH43/100000000,cash_original!AH43)</f>
        <v>--</v>
      </c>
      <c r="AI43" s="4" t="str">
        <f>IF(ISNUMBER(cash_original!AI43),cash_original!AI43/100000000,cash_original!AI43)</f>
        <v>--</v>
      </c>
      <c r="AJ43" s="4" t="str">
        <f>IF(ISNUMBER(cash_original!AJ43),cash_original!AJ43/100000000,cash_original!AJ43)</f>
        <v>--</v>
      </c>
      <c r="AK43" s="4" t="str">
        <f>IF(ISNUMBER(cash_original!AK43),cash_original!AK43/100000000,cash_original!AK43)</f>
        <v>--</v>
      </c>
      <c r="AL43" s="4" t="str">
        <f>IF(ISNUMBER(cash_original!AL43),cash_original!AL43/100000000,cash_original!AL43)</f>
        <v>--</v>
      </c>
      <c r="AM43" s="4" t="str">
        <f>IF(ISNUMBER(cash_original!AM43),cash_original!AM43/100000000,cash_original!AM43)</f>
        <v>--</v>
      </c>
      <c r="AN43" s="4" t="str">
        <f>IF(ISNUMBER(cash_original!AN43),cash_original!AN43/100000000,cash_original!AN43)</f>
        <v>--</v>
      </c>
      <c r="AO43" s="4" t="str">
        <f>IF(ISNUMBER(cash_original!AO43),cash_original!AO43/100000000,cash_original!AO43)</f>
        <v>--</v>
      </c>
      <c r="AP43" s="4" t="str">
        <f>IF(ISNUMBER(cash_original!AP43),cash_original!AP43/100000000,cash_original!AP43)</f>
        <v>--</v>
      </c>
      <c r="AQ43" s="4" t="str">
        <f>IF(ISNUMBER(cash_original!AQ43),cash_original!AQ43/100000000,cash_original!AQ43)</f>
        <v>--</v>
      </c>
      <c r="AR43" s="4" t="str">
        <f>IF(ISNUMBER(cash_original!AR43),cash_original!AR43/100000000,cash_original!AR43)</f>
        <v>--</v>
      </c>
      <c r="AS43" s="4" t="str">
        <f>IF(ISNUMBER(cash_original!AS43),cash_original!AS43/100000000,cash_original!AS43)</f>
        <v>--</v>
      </c>
      <c r="AT43" s="4" t="str">
        <f>IF(ISNUMBER(cash_original!AT43),cash_original!AT43/100000000,cash_original!AT43)</f>
        <v>--</v>
      </c>
      <c r="AU43" s="4" t="str">
        <f>IF(ISNUMBER(cash_original!AU43),cash_original!AU43/100000000,cash_original!AU43)</f>
        <v>--</v>
      </c>
      <c r="AV43" s="3" t="s">
        <v>133</v>
      </c>
      <c r="AW43" s="3" t="s">
        <v>133</v>
      </c>
      <c r="AX43" s="3" t="s">
        <v>133</v>
      </c>
      <c r="AY43" s="3" t="s">
        <v>133</v>
      </c>
      <c r="AZ43" s="3" t="s">
        <v>133</v>
      </c>
      <c r="BA43" s="3" t="s">
        <v>133</v>
      </c>
      <c r="BB43" s="3" t="s">
        <v>133</v>
      </c>
      <c r="BC43" s="3" t="s">
        <v>133</v>
      </c>
      <c r="BD43" s="3" t="s">
        <v>133</v>
      </c>
      <c r="BE43" s="3" t="s">
        <v>133</v>
      </c>
      <c r="BF43" s="3" t="s">
        <v>133</v>
      </c>
      <c r="BG43" s="3" t="s">
        <v>133</v>
      </c>
      <c r="BH43" s="3" t="s">
        <v>133</v>
      </c>
      <c r="BI43" s="3">
        <v>434489700</v>
      </c>
      <c r="BJ43" s="3">
        <v>231927400</v>
      </c>
      <c r="BK43" s="3">
        <v>118763600</v>
      </c>
      <c r="BL43" s="3">
        <v>383941400</v>
      </c>
      <c r="BM43" s="3">
        <v>316096700</v>
      </c>
      <c r="BN43" s="3">
        <v>174013400</v>
      </c>
      <c r="BO43" s="3">
        <v>92731300</v>
      </c>
      <c r="BP43" s="3">
        <v>271330800</v>
      </c>
      <c r="BQ43" s="3">
        <v>254253800</v>
      </c>
      <c r="BR43" s="3">
        <v>101978900</v>
      </c>
      <c r="BS43" s="3">
        <v>34911800</v>
      </c>
      <c r="BT43" s="3">
        <v>217609000</v>
      </c>
    </row>
    <row r="44" spans="1:72" x14ac:dyDescent="0.25">
      <c r="A44" s="3" t="s">
        <v>199</v>
      </c>
      <c r="B44" s="4" t="str">
        <f>IF(ISNUMBER(cash_original!B44),cash_original!B44/100000000,cash_original!B44)</f>
        <v>--</v>
      </c>
      <c r="C44" s="4" t="str">
        <f>IF(ISNUMBER(cash_original!C44),cash_original!C44/100000000,cash_original!C44)</f>
        <v>--</v>
      </c>
      <c r="D44" s="4" t="str">
        <f>IF(ISNUMBER(cash_original!D44),cash_original!D44/100000000,cash_original!D44)</f>
        <v>--</v>
      </c>
      <c r="E44" s="4" t="str">
        <f>IF(ISNUMBER(cash_original!E44),cash_original!E44/100000000,cash_original!E44)</f>
        <v>--</v>
      </c>
      <c r="F44" s="4" t="str">
        <f>IF(ISNUMBER(cash_original!F44),cash_original!F44/100000000,cash_original!F44)</f>
        <v>--</v>
      </c>
      <c r="G44" s="4" t="str">
        <f>IF(ISNUMBER(cash_original!G44),cash_original!G44/100000000,cash_original!G44)</f>
        <v>--</v>
      </c>
      <c r="H44" s="4" t="str">
        <f>IF(ISNUMBER(cash_original!H44),cash_original!H44/100000000,cash_original!H44)</f>
        <v>--</v>
      </c>
      <c r="I44" s="4" t="str">
        <f>IF(ISNUMBER(cash_original!I44),cash_original!I44/100000000,cash_original!I44)</f>
        <v>--</v>
      </c>
      <c r="J44" s="4" t="str">
        <f>IF(ISNUMBER(cash_original!J44),cash_original!J44/100000000,cash_original!J44)</f>
        <v>--</v>
      </c>
      <c r="K44" s="4" t="str">
        <f>IF(ISNUMBER(cash_original!K44),cash_original!K44/100000000,cash_original!K44)</f>
        <v>--</v>
      </c>
      <c r="L44" s="4" t="str">
        <f>IF(ISNUMBER(cash_original!L44),cash_original!L44/100000000,cash_original!L44)</f>
        <v>--</v>
      </c>
      <c r="M44" s="4" t="str">
        <f>IF(ISNUMBER(cash_original!M44),cash_original!M44/100000000,cash_original!M44)</f>
        <v>--</v>
      </c>
      <c r="N44" s="4" t="str">
        <f>IF(ISNUMBER(cash_original!N44),cash_original!N44/100000000,cash_original!N44)</f>
        <v>--</v>
      </c>
      <c r="O44" s="4" t="str">
        <f>IF(ISNUMBER(cash_original!O44),cash_original!O44/100000000,cash_original!O44)</f>
        <v>--</v>
      </c>
      <c r="P44" s="4" t="str">
        <f>IF(ISNUMBER(cash_original!P44),cash_original!P44/100000000,cash_original!P44)</f>
        <v>--</v>
      </c>
      <c r="Q44" s="4" t="str">
        <f>IF(ISNUMBER(cash_original!Q44),cash_original!Q44/100000000,cash_original!Q44)</f>
        <v>--</v>
      </c>
      <c r="R44" s="4" t="str">
        <f>IF(ISNUMBER(cash_original!R44),cash_original!R44/100000000,cash_original!R44)</f>
        <v>--</v>
      </c>
      <c r="S44" s="4" t="str">
        <f>IF(ISNUMBER(cash_original!S44),cash_original!S44/100000000,cash_original!S44)</f>
        <v>--</v>
      </c>
      <c r="T44" s="4" t="str">
        <f>IF(ISNUMBER(cash_original!T44),cash_original!T44/100000000,cash_original!T44)</f>
        <v>--</v>
      </c>
      <c r="U44" s="4" t="str">
        <f>IF(ISNUMBER(cash_original!U44),cash_original!U44/100000000,cash_original!U44)</f>
        <v>--</v>
      </c>
      <c r="V44" s="4" t="str">
        <f>IF(ISNUMBER(cash_original!V44),cash_original!V44/100000000,cash_original!V44)</f>
        <v>--</v>
      </c>
      <c r="W44" s="4" t="str">
        <f>IF(ISNUMBER(cash_original!W44),cash_original!W44/100000000,cash_original!W44)</f>
        <v>--</v>
      </c>
      <c r="X44" s="4" t="str">
        <f>IF(ISNUMBER(cash_original!X44),cash_original!X44/100000000,cash_original!X44)</f>
        <v>--</v>
      </c>
      <c r="Y44" s="4" t="str">
        <f>IF(ISNUMBER(cash_original!Y44),cash_original!Y44/100000000,cash_original!Y44)</f>
        <v>--</v>
      </c>
      <c r="Z44" s="4" t="str">
        <f>IF(ISNUMBER(cash_original!Z44),cash_original!Z44/100000000,cash_original!Z44)</f>
        <v>--</v>
      </c>
      <c r="AA44" s="4" t="str">
        <f>IF(ISNUMBER(cash_original!AA44),cash_original!AA44/100000000,cash_original!AA44)</f>
        <v>--</v>
      </c>
      <c r="AB44" s="4" t="str">
        <f>IF(ISNUMBER(cash_original!AB44),cash_original!AB44/100000000,cash_original!AB44)</f>
        <v>--</v>
      </c>
      <c r="AC44" s="4" t="str">
        <f>IF(ISNUMBER(cash_original!AC44),cash_original!AC44/100000000,cash_original!AC44)</f>
        <v>--</v>
      </c>
      <c r="AD44" s="4" t="str">
        <f>IF(ISNUMBER(cash_original!AD44),cash_original!AD44/100000000,cash_original!AD44)</f>
        <v>--</v>
      </c>
      <c r="AE44" s="4" t="str">
        <f>IF(ISNUMBER(cash_original!AE44),cash_original!AE44/100000000,cash_original!AE44)</f>
        <v>--</v>
      </c>
      <c r="AF44" s="4" t="str">
        <f>IF(ISNUMBER(cash_original!AF44),cash_original!AF44/100000000,cash_original!AF44)</f>
        <v>--</v>
      </c>
      <c r="AG44" s="4" t="str">
        <f>IF(ISNUMBER(cash_original!AG44),cash_original!AG44/100000000,cash_original!AG44)</f>
        <v>--</v>
      </c>
      <c r="AH44" s="4" t="str">
        <f>IF(ISNUMBER(cash_original!AH44),cash_original!AH44/100000000,cash_original!AH44)</f>
        <v>--</v>
      </c>
      <c r="AI44" s="4" t="str">
        <f>IF(ISNUMBER(cash_original!AI44),cash_original!AI44/100000000,cash_original!AI44)</f>
        <v>--</v>
      </c>
      <c r="AJ44" s="4" t="str">
        <f>IF(ISNUMBER(cash_original!AJ44),cash_original!AJ44/100000000,cash_original!AJ44)</f>
        <v>--</v>
      </c>
      <c r="AK44" s="4" t="str">
        <f>IF(ISNUMBER(cash_original!AK44),cash_original!AK44/100000000,cash_original!AK44)</f>
        <v>--</v>
      </c>
      <c r="AL44" s="4" t="str">
        <f>IF(ISNUMBER(cash_original!AL44),cash_original!AL44/100000000,cash_original!AL44)</f>
        <v>--</v>
      </c>
      <c r="AM44" s="4" t="str">
        <f>IF(ISNUMBER(cash_original!AM44),cash_original!AM44/100000000,cash_original!AM44)</f>
        <v>--</v>
      </c>
      <c r="AN44" s="4" t="str">
        <f>IF(ISNUMBER(cash_original!AN44),cash_original!AN44/100000000,cash_original!AN44)</f>
        <v>--</v>
      </c>
      <c r="AO44" s="4" t="str">
        <f>IF(ISNUMBER(cash_original!AO44),cash_original!AO44/100000000,cash_original!AO44)</f>
        <v>--</v>
      </c>
      <c r="AP44" s="4" t="str">
        <f>IF(ISNUMBER(cash_original!AP44),cash_original!AP44/100000000,cash_original!AP44)</f>
        <v>--</v>
      </c>
      <c r="AQ44" s="4" t="str">
        <f>IF(ISNUMBER(cash_original!AQ44),cash_original!AQ44/100000000,cash_original!AQ44)</f>
        <v>--</v>
      </c>
      <c r="AR44" s="4" t="str">
        <f>IF(ISNUMBER(cash_original!AR44),cash_original!AR44/100000000,cash_original!AR44)</f>
        <v>--</v>
      </c>
      <c r="AS44" s="4" t="str">
        <f>IF(ISNUMBER(cash_original!AS44),cash_original!AS44/100000000,cash_original!AS44)</f>
        <v>--</v>
      </c>
      <c r="AT44" s="4" t="str">
        <f>IF(ISNUMBER(cash_original!AT44),cash_original!AT44/100000000,cash_original!AT44)</f>
        <v>--</v>
      </c>
      <c r="AU44" s="4" t="str">
        <f>IF(ISNUMBER(cash_original!AU44),cash_original!AU44/100000000,cash_original!AU44)</f>
        <v>--</v>
      </c>
      <c r="AV44" s="3" t="s">
        <v>133</v>
      </c>
      <c r="AW44" s="3" t="s">
        <v>133</v>
      </c>
      <c r="AX44" s="3" t="s">
        <v>133</v>
      </c>
      <c r="AY44" s="3" t="s">
        <v>133</v>
      </c>
      <c r="AZ44" s="3" t="s">
        <v>133</v>
      </c>
      <c r="BA44" s="3" t="s">
        <v>133</v>
      </c>
      <c r="BB44" s="3" t="s">
        <v>133</v>
      </c>
      <c r="BC44" s="3" t="s">
        <v>133</v>
      </c>
      <c r="BD44" s="3" t="s">
        <v>133</v>
      </c>
      <c r="BE44" s="3" t="s">
        <v>133</v>
      </c>
      <c r="BF44" s="3" t="s">
        <v>133</v>
      </c>
      <c r="BG44" s="3" t="s">
        <v>133</v>
      </c>
      <c r="BH44" s="3" t="s">
        <v>133</v>
      </c>
      <c r="BI44" s="3" t="s">
        <v>133</v>
      </c>
      <c r="BJ44" s="3" t="s">
        <v>133</v>
      </c>
      <c r="BK44" s="3" t="s">
        <v>133</v>
      </c>
      <c r="BL44" s="3" t="s">
        <v>133</v>
      </c>
      <c r="BM44" s="3" t="s">
        <v>133</v>
      </c>
      <c r="BN44" s="3" t="s">
        <v>133</v>
      </c>
      <c r="BO44" s="3" t="s">
        <v>133</v>
      </c>
      <c r="BP44" s="3" t="s">
        <v>133</v>
      </c>
      <c r="BQ44" s="3" t="s">
        <v>133</v>
      </c>
      <c r="BR44" s="3" t="s">
        <v>133</v>
      </c>
      <c r="BS44" s="3" t="s">
        <v>133</v>
      </c>
      <c r="BT44" s="3" t="s">
        <v>133</v>
      </c>
    </row>
    <row r="45" spans="1:72" x14ac:dyDescent="0.25">
      <c r="A45" s="3" t="s">
        <v>200</v>
      </c>
      <c r="B45" s="4" t="str">
        <f>IF(ISNUMBER(cash_original!B45),cash_original!B45/100000000,cash_original!B45)</f>
        <v>--</v>
      </c>
      <c r="C45" s="4" t="str">
        <f>IF(ISNUMBER(cash_original!C45),cash_original!C45/100000000,cash_original!C45)</f>
        <v>--</v>
      </c>
      <c r="D45" s="4" t="str">
        <f>IF(ISNUMBER(cash_original!D45),cash_original!D45/100000000,cash_original!D45)</f>
        <v>--</v>
      </c>
      <c r="E45" s="4" t="str">
        <f>IF(ISNUMBER(cash_original!E45),cash_original!E45/100000000,cash_original!E45)</f>
        <v>--</v>
      </c>
      <c r="F45" s="4" t="str">
        <f>IF(ISNUMBER(cash_original!F45),cash_original!F45/100000000,cash_original!F45)</f>
        <v>--</v>
      </c>
      <c r="G45" s="4" t="str">
        <f>IF(ISNUMBER(cash_original!G45),cash_original!G45/100000000,cash_original!G45)</f>
        <v>--</v>
      </c>
      <c r="H45" s="4" t="str">
        <f>IF(ISNUMBER(cash_original!H45),cash_original!H45/100000000,cash_original!H45)</f>
        <v>--</v>
      </c>
      <c r="I45" s="4" t="str">
        <f>IF(ISNUMBER(cash_original!I45),cash_original!I45/100000000,cash_original!I45)</f>
        <v>--</v>
      </c>
      <c r="J45" s="4" t="str">
        <f>IF(ISNUMBER(cash_original!J45),cash_original!J45/100000000,cash_original!J45)</f>
        <v>--</v>
      </c>
      <c r="K45" s="4" t="str">
        <f>IF(ISNUMBER(cash_original!K45),cash_original!K45/100000000,cash_original!K45)</f>
        <v>--</v>
      </c>
      <c r="L45" s="4" t="str">
        <f>IF(ISNUMBER(cash_original!L45),cash_original!L45/100000000,cash_original!L45)</f>
        <v>--</v>
      </c>
      <c r="M45" s="4" t="str">
        <f>IF(ISNUMBER(cash_original!M45),cash_original!M45/100000000,cash_original!M45)</f>
        <v>--</v>
      </c>
      <c r="N45" s="4" t="str">
        <f>IF(ISNUMBER(cash_original!N45),cash_original!N45/100000000,cash_original!N45)</f>
        <v>--</v>
      </c>
      <c r="O45" s="4" t="str">
        <f>IF(ISNUMBER(cash_original!O45),cash_original!O45/100000000,cash_original!O45)</f>
        <v>--</v>
      </c>
      <c r="P45" s="4" t="str">
        <f>IF(ISNUMBER(cash_original!P45),cash_original!P45/100000000,cash_original!P45)</f>
        <v>--</v>
      </c>
      <c r="Q45" s="4" t="str">
        <f>IF(ISNUMBER(cash_original!Q45),cash_original!Q45/100000000,cash_original!Q45)</f>
        <v>--</v>
      </c>
      <c r="R45" s="4" t="str">
        <f>IF(ISNUMBER(cash_original!R45),cash_original!R45/100000000,cash_original!R45)</f>
        <v>--</v>
      </c>
      <c r="S45" s="4" t="str">
        <f>IF(ISNUMBER(cash_original!S45),cash_original!S45/100000000,cash_original!S45)</f>
        <v>--</v>
      </c>
      <c r="T45" s="4" t="str">
        <f>IF(ISNUMBER(cash_original!T45),cash_original!T45/100000000,cash_original!T45)</f>
        <v>--</v>
      </c>
      <c r="U45" s="4" t="str">
        <f>IF(ISNUMBER(cash_original!U45),cash_original!U45/100000000,cash_original!U45)</f>
        <v>--</v>
      </c>
      <c r="V45" s="4" t="str">
        <f>IF(ISNUMBER(cash_original!V45),cash_original!V45/100000000,cash_original!V45)</f>
        <v>--</v>
      </c>
      <c r="W45" s="4" t="str">
        <f>IF(ISNUMBER(cash_original!W45),cash_original!W45/100000000,cash_original!W45)</f>
        <v>--</v>
      </c>
      <c r="X45" s="4" t="str">
        <f>IF(ISNUMBER(cash_original!X45),cash_original!X45/100000000,cash_original!X45)</f>
        <v>--</v>
      </c>
      <c r="Y45" s="4" t="str">
        <f>IF(ISNUMBER(cash_original!Y45),cash_original!Y45/100000000,cash_original!Y45)</f>
        <v>--</v>
      </c>
      <c r="Z45" s="4" t="str">
        <f>IF(ISNUMBER(cash_original!Z45),cash_original!Z45/100000000,cash_original!Z45)</f>
        <v>--</v>
      </c>
      <c r="AA45" s="4" t="str">
        <f>IF(ISNUMBER(cash_original!AA45),cash_original!AA45/100000000,cash_original!AA45)</f>
        <v>--</v>
      </c>
      <c r="AB45" s="4" t="str">
        <f>IF(ISNUMBER(cash_original!AB45),cash_original!AB45/100000000,cash_original!AB45)</f>
        <v>--</v>
      </c>
      <c r="AC45" s="4" t="str">
        <f>IF(ISNUMBER(cash_original!AC45),cash_original!AC45/100000000,cash_original!AC45)</f>
        <v>--</v>
      </c>
      <c r="AD45" s="4" t="str">
        <f>IF(ISNUMBER(cash_original!AD45),cash_original!AD45/100000000,cash_original!AD45)</f>
        <v>--</v>
      </c>
      <c r="AE45" s="4" t="str">
        <f>IF(ISNUMBER(cash_original!AE45),cash_original!AE45/100000000,cash_original!AE45)</f>
        <v>--</v>
      </c>
      <c r="AF45" s="4" t="str">
        <f>IF(ISNUMBER(cash_original!AF45),cash_original!AF45/100000000,cash_original!AF45)</f>
        <v>--</v>
      </c>
      <c r="AG45" s="4" t="str">
        <f>IF(ISNUMBER(cash_original!AG45),cash_original!AG45/100000000,cash_original!AG45)</f>
        <v>--</v>
      </c>
      <c r="AH45" s="4" t="str">
        <f>IF(ISNUMBER(cash_original!AH45),cash_original!AH45/100000000,cash_original!AH45)</f>
        <v>--</v>
      </c>
      <c r="AI45" s="4" t="str">
        <f>IF(ISNUMBER(cash_original!AI45),cash_original!AI45/100000000,cash_original!AI45)</f>
        <v>--</v>
      </c>
      <c r="AJ45" s="4" t="str">
        <f>IF(ISNUMBER(cash_original!AJ45),cash_original!AJ45/100000000,cash_original!AJ45)</f>
        <v>--</v>
      </c>
      <c r="AK45" s="4" t="str">
        <f>IF(ISNUMBER(cash_original!AK45),cash_original!AK45/100000000,cash_original!AK45)</f>
        <v>--</v>
      </c>
      <c r="AL45" s="4" t="str">
        <f>IF(ISNUMBER(cash_original!AL45),cash_original!AL45/100000000,cash_original!AL45)</f>
        <v>--</v>
      </c>
      <c r="AM45" s="4" t="str">
        <f>IF(ISNUMBER(cash_original!AM45),cash_original!AM45/100000000,cash_original!AM45)</f>
        <v>--</v>
      </c>
      <c r="AN45" s="4" t="str">
        <f>IF(ISNUMBER(cash_original!AN45),cash_original!AN45/100000000,cash_original!AN45)</f>
        <v>--</v>
      </c>
      <c r="AO45" s="4" t="str">
        <f>IF(ISNUMBER(cash_original!AO45),cash_original!AO45/100000000,cash_original!AO45)</f>
        <v>--</v>
      </c>
      <c r="AP45" s="4" t="str">
        <f>IF(ISNUMBER(cash_original!AP45),cash_original!AP45/100000000,cash_original!AP45)</f>
        <v>--</v>
      </c>
      <c r="AQ45" s="4" t="str">
        <f>IF(ISNUMBER(cash_original!AQ45),cash_original!AQ45/100000000,cash_original!AQ45)</f>
        <v>--</v>
      </c>
      <c r="AR45" s="4" t="str">
        <f>IF(ISNUMBER(cash_original!AR45),cash_original!AR45/100000000,cash_original!AR45)</f>
        <v>--</v>
      </c>
      <c r="AS45" s="4" t="str">
        <f>IF(ISNUMBER(cash_original!AS45),cash_original!AS45/100000000,cash_original!AS45)</f>
        <v>--</v>
      </c>
      <c r="AT45" s="4" t="str">
        <f>IF(ISNUMBER(cash_original!AT45),cash_original!AT45/100000000,cash_original!AT45)</f>
        <v>--</v>
      </c>
      <c r="AU45" s="4" t="str">
        <f>IF(ISNUMBER(cash_original!AU45),cash_original!AU45/100000000,cash_original!AU45)</f>
        <v>--</v>
      </c>
      <c r="AV45" s="3" t="s">
        <v>133</v>
      </c>
      <c r="AW45" s="3" t="s">
        <v>133</v>
      </c>
      <c r="AX45" s="3" t="s">
        <v>133</v>
      </c>
      <c r="AY45" s="3" t="s">
        <v>133</v>
      </c>
      <c r="AZ45" s="3" t="s">
        <v>133</v>
      </c>
      <c r="BA45" s="3" t="s">
        <v>133</v>
      </c>
      <c r="BB45" s="3" t="s">
        <v>133</v>
      </c>
      <c r="BC45" s="3" t="s">
        <v>133</v>
      </c>
      <c r="BD45" s="3" t="s">
        <v>133</v>
      </c>
      <c r="BE45" s="3" t="s">
        <v>133</v>
      </c>
      <c r="BF45" s="3" t="s">
        <v>133</v>
      </c>
      <c r="BG45" s="3" t="s">
        <v>133</v>
      </c>
      <c r="BH45" s="3" t="s">
        <v>133</v>
      </c>
      <c r="BI45" s="3">
        <v>50276100</v>
      </c>
      <c r="BJ45" s="3">
        <v>-17284900</v>
      </c>
      <c r="BK45" s="3">
        <v>16143200</v>
      </c>
      <c r="BL45" s="3">
        <v>15524700</v>
      </c>
      <c r="BM45" s="3">
        <v>14432700</v>
      </c>
      <c r="BN45" s="3">
        <v>14076300</v>
      </c>
      <c r="BO45" s="3">
        <v>13854200</v>
      </c>
      <c r="BP45" s="3">
        <v>12725400</v>
      </c>
      <c r="BQ45" s="3">
        <v>10638600</v>
      </c>
      <c r="BR45" s="3">
        <v>12183100</v>
      </c>
      <c r="BS45" s="3">
        <v>11704700</v>
      </c>
      <c r="BT45" s="3">
        <v>23864800</v>
      </c>
    </row>
    <row r="46" spans="1:72" x14ac:dyDescent="0.25">
      <c r="A46" s="3" t="s">
        <v>201</v>
      </c>
      <c r="B46" s="4" t="str">
        <f>IF(ISNUMBER(cash_original!B46),cash_original!B46/100000000,cash_original!B46)</f>
        <v>--</v>
      </c>
      <c r="C46" s="4" t="str">
        <f>IF(ISNUMBER(cash_original!C46),cash_original!C46/100000000,cash_original!C46)</f>
        <v>--</v>
      </c>
      <c r="D46" s="4" t="str">
        <f>IF(ISNUMBER(cash_original!D46),cash_original!D46/100000000,cash_original!D46)</f>
        <v>--</v>
      </c>
      <c r="E46" s="4" t="str">
        <f>IF(ISNUMBER(cash_original!E46),cash_original!E46/100000000,cash_original!E46)</f>
        <v>--</v>
      </c>
      <c r="F46" s="4" t="str">
        <f>IF(ISNUMBER(cash_original!F46),cash_original!F46/100000000,cash_original!F46)</f>
        <v>--</v>
      </c>
      <c r="G46" s="4" t="str">
        <f>IF(ISNUMBER(cash_original!G46),cash_original!G46/100000000,cash_original!G46)</f>
        <v>--</v>
      </c>
      <c r="H46" s="4" t="str">
        <f>IF(ISNUMBER(cash_original!H46),cash_original!H46/100000000,cash_original!H46)</f>
        <v>--</v>
      </c>
      <c r="I46" s="4" t="str">
        <f>IF(ISNUMBER(cash_original!I46),cash_original!I46/100000000,cash_original!I46)</f>
        <v>--</v>
      </c>
      <c r="J46" s="4" t="str">
        <f>IF(ISNUMBER(cash_original!J46),cash_original!J46/100000000,cash_original!J46)</f>
        <v>--</v>
      </c>
      <c r="K46" s="4" t="str">
        <f>IF(ISNUMBER(cash_original!K46),cash_original!K46/100000000,cash_original!K46)</f>
        <v>--</v>
      </c>
      <c r="L46" s="4" t="str">
        <f>IF(ISNUMBER(cash_original!L46),cash_original!L46/100000000,cash_original!L46)</f>
        <v>--</v>
      </c>
      <c r="M46" s="4" t="str">
        <f>IF(ISNUMBER(cash_original!M46),cash_original!M46/100000000,cash_original!M46)</f>
        <v>--</v>
      </c>
      <c r="N46" s="4" t="str">
        <f>IF(ISNUMBER(cash_original!N46),cash_original!N46/100000000,cash_original!N46)</f>
        <v>--</v>
      </c>
      <c r="O46" s="4" t="str">
        <f>IF(ISNUMBER(cash_original!O46),cash_original!O46/100000000,cash_original!O46)</f>
        <v>--</v>
      </c>
      <c r="P46" s="4" t="str">
        <f>IF(ISNUMBER(cash_original!P46),cash_original!P46/100000000,cash_original!P46)</f>
        <v>--</v>
      </c>
      <c r="Q46" s="4" t="str">
        <f>IF(ISNUMBER(cash_original!Q46),cash_original!Q46/100000000,cash_original!Q46)</f>
        <v>--</v>
      </c>
      <c r="R46" s="4" t="str">
        <f>IF(ISNUMBER(cash_original!R46),cash_original!R46/100000000,cash_original!R46)</f>
        <v>--</v>
      </c>
      <c r="S46" s="4" t="str">
        <f>IF(ISNUMBER(cash_original!S46),cash_original!S46/100000000,cash_original!S46)</f>
        <v>--</v>
      </c>
      <c r="T46" s="4" t="str">
        <f>IF(ISNUMBER(cash_original!T46),cash_original!T46/100000000,cash_original!T46)</f>
        <v>--</v>
      </c>
      <c r="U46" s="4" t="str">
        <f>IF(ISNUMBER(cash_original!U46),cash_original!U46/100000000,cash_original!U46)</f>
        <v>--</v>
      </c>
      <c r="V46" s="4" t="str">
        <f>IF(ISNUMBER(cash_original!V46),cash_original!V46/100000000,cash_original!V46)</f>
        <v>--</v>
      </c>
      <c r="W46" s="4" t="str">
        <f>IF(ISNUMBER(cash_original!W46),cash_original!W46/100000000,cash_original!W46)</f>
        <v>--</v>
      </c>
      <c r="X46" s="4" t="str">
        <f>IF(ISNUMBER(cash_original!X46),cash_original!X46/100000000,cash_original!X46)</f>
        <v>--</v>
      </c>
      <c r="Y46" s="4" t="str">
        <f>IF(ISNUMBER(cash_original!Y46),cash_original!Y46/100000000,cash_original!Y46)</f>
        <v>--</v>
      </c>
      <c r="Z46" s="4" t="str">
        <f>IF(ISNUMBER(cash_original!Z46),cash_original!Z46/100000000,cash_original!Z46)</f>
        <v>--</v>
      </c>
      <c r="AA46" s="4" t="str">
        <f>IF(ISNUMBER(cash_original!AA46),cash_original!AA46/100000000,cash_original!AA46)</f>
        <v>--</v>
      </c>
      <c r="AB46" s="4" t="str">
        <f>IF(ISNUMBER(cash_original!AB46),cash_original!AB46/100000000,cash_original!AB46)</f>
        <v>--</v>
      </c>
      <c r="AC46" s="4" t="str">
        <f>IF(ISNUMBER(cash_original!AC46),cash_original!AC46/100000000,cash_original!AC46)</f>
        <v>--</v>
      </c>
      <c r="AD46" s="4" t="str">
        <f>IF(ISNUMBER(cash_original!AD46),cash_original!AD46/100000000,cash_original!AD46)</f>
        <v>--</v>
      </c>
      <c r="AE46" s="4" t="str">
        <f>IF(ISNUMBER(cash_original!AE46),cash_original!AE46/100000000,cash_original!AE46)</f>
        <v>--</v>
      </c>
      <c r="AF46" s="4" t="str">
        <f>IF(ISNUMBER(cash_original!AF46),cash_original!AF46/100000000,cash_original!AF46)</f>
        <v>--</v>
      </c>
      <c r="AG46" s="4" t="str">
        <f>IF(ISNUMBER(cash_original!AG46),cash_original!AG46/100000000,cash_original!AG46)</f>
        <v>--</v>
      </c>
      <c r="AH46" s="4" t="str">
        <f>IF(ISNUMBER(cash_original!AH46),cash_original!AH46/100000000,cash_original!AH46)</f>
        <v>--</v>
      </c>
      <c r="AI46" s="4" t="str">
        <f>IF(ISNUMBER(cash_original!AI46),cash_original!AI46/100000000,cash_original!AI46)</f>
        <v>--</v>
      </c>
      <c r="AJ46" s="4" t="str">
        <f>IF(ISNUMBER(cash_original!AJ46),cash_original!AJ46/100000000,cash_original!AJ46)</f>
        <v>--</v>
      </c>
      <c r="AK46" s="4" t="str">
        <f>IF(ISNUMBER(cash_original!AK46),cash_original!AK46/100000000,cash_original!AK46)</f>
        <v>--</v>
      </c>
      <c r="AL46" s="4" t="str">
        <f>IF(ISNUMBER(cash_original!AL46),cash_original!AL46/100000000,cash_original!AL46)</f>
        <v>--</v>
      </c>
      <c r="AM46" s="4" t="str">
        <f>IF(ISNUMBER(cash_original!AM46),cash_original!AM46/100000000,cash_original!AM46)</f>
        <v>--</v>
      </c>
      <c r="AN46" s="4" t="str">
        <f>IF(ISNUMBER(cash_original!AN46),cash_original!AN46/100000000,cash_original!AN46)</f>
        <v>--</v>
      </c>
      <c r="AO46" s="4" t="str">
        <f>IF(ISNUMBER(cash_original!AO46),cash_original!AO46/100000000,cash_original!AO46)</f>
        <v>--</v>
      </c>
      <c r="AP46" s="4" t="str">
        <f>IF(ISNUMBER(cash_original!AP46),cash_original!AP46/100000000,cash_original!AP46)</f>
        <v>--</v>
      </c>
      <c r="AQ46" s="4" t="str">
        <f>IF(ISNUMBER(cash_original!AQ46),cash_original!AQ46/100000000,cash_original!AQ46)</f>
        <v>--</v>
      </c>
      <c r="AR46" s="4" t="str">
        <f>IF(ISNUMBER(cash_original!AR46),cash_original!AR46/100000000,cash_original!AR46)</f>
        <v>--</v>
      </c>
      <c r="AS46" s="4" t="str">
        <f>IF(ISNUMBER(cash_original!AS46),cash_original!AS46/100000000,cash_original!AS46)</f>
        <v>--</v>
      </c>
      <c r="AT46" s="4" t="str">
        <f>IF(ISNUMBER(cash_original!AT46),cash_original!AT46/100000000,cash_original!AT46)</f>
        <v>--</v>
      </c>
      <c r="AU46" s="4" t="str">
        <f>IF(ISNUMBER(cash_original!AU46),cash_original!AU46/100000000,cash_original!AU46)</f>
        <v>--</v>
      </c>
      <c r="AV46" s="3" t="s">
        <v>133</v>
      </c>
      <c r="AW46" s="3" t="s">
        <v>133</v>
      </c>
      <c r="AX46" s="3" t="s">
        <v>133</v>
      </c>
      <c r="AY46" s="3" t="s">
        <v>133</v>
      </c>
      <c r="AZ46" s="3" t="s">
        <v>133</v>
      </c>
      <c r="BA46" s="3" t="s">
        <v>133</v>
      </c>
      <c r="BB46" s="3" t="s">
        <v>133</v>
      </c>
      <c r="BC46" s="3" t="s">
        <v>133</v>
      </c>
      <c r="BD46" s="3" t="s">
        <v>133</v>
      </c>
      <c r="BE46" s="3" t="s">
        <v>133</v>
      </c>
      <c r="BF46" s="3" t="s">
        <v>133</v>
      </c>
      <c r="BG46" s="3" t="s">
        <v>133</v>
      </c>
      <c r="BH46" s="3" t="s">
        <v>133</v>
      </c>
      <c r="BI46" s="3">
        <v>1636200</v>
      </c>
      <c r="BJ46" s="3" t="s">
        <v>133</v>
      </c>
      <c r="BK46" s="3">
        <v>42500</v>
      </c>
      <c r="BL46" s="3">
        <v>42500</v>
      </c>
      <c r="BM46" s="3">
        <v>43700</v>
      </c>
      <c r="BN46" s="3">
        <v>42500</v>
      </c>
      <c r="BO46" s="3">
        <v>42500</v>
      </c>
      <c r="BP46" s="3">
        <v>42500</v>
      </c>
      <c r="BQ46" s="3">
        <v>42500</v>
      </c>
      <c r="BR46" s="3">
        <v>42500</v>
      </c>
      <c r="BS46" s="3">
        <v>42500</v>
      </c>
      <c r="BT46" s="3">
        <v>42500</v>
      </c>
    </row>
    <row r="47" spans="1:72" x14ac:dyDescent="0.25">
      <c r="A47" s="3" t="s">
        <v>202</v>
      </c>
      <c r="B47" s="4" t="str">
        <f>IF(ISNUMBER(cash_original!B47),cash_original!B47/100000000,cash_original!B47)</f>
        <v>--</v>
      </c>
      <c r="C47" s="4" t="str">
        <f>IF(ISNUMBER(cash_original!C47),cash_original!C47/100000000,cash_original!C47)</f>
        <v>--</v>
      </c>
      <c r="D47" s="4" t="str">
        <f>IF(ISNUMBER(cash_original!D47),cash_original!D47/100000000,cash_original!D47)</f>
        <v>--</v>
      </c>
      <c r="E47" s="4" t="str">
        <f>IF(ISNUMBER(cash_original!E47),cash_original!E47/100000000,cash_original!E47)</f>
        <v>--</v>
      </c>
      <c r="F47" s="4" t="str">
        <f>IF(ISNUMBER(cash_original!F47),cash_original!F47/100000000,cash_original!F47)</f>
        <v>--</v>
      </c>
      <c r="G47" s="4" t="str">
        <f>IF(ISNUMBER(cash_original!G47),cash_original!G47/100000000,cash_original!G47)</f>
        <v>--</v>
      </c>
      <c r="H47" s="4" t="str">
        <f>IF(ISNUMBER(cash_original!H47),cash_original!H47/100000000,cash_original!H47)</f>
        <v>--</v>
      </c>
      <c r="I47" s="4" t="str">
        <f>IF(ISNUMBER(cash_original!I47),cash_original!I47/100000000,cash_original!I47)</f>
        <v>--</v>
      </c>
      <c r="J47" s="4" t="str">
        <f>IF(ISNUMBER(cash_original!J47),cash_original!J47/100000000,cash_original!J47)</f>
        <v>--</v>
      </c>
      <c r="K47" s="4" t="str">
        <f>IF(ISNUMBER(cash_original!K47),cash_original!K47/100000000,cash_original!K47)</f>
        <v>--</v>
      </c>
      <c r="L47" s="4" t="str">
        <f>IF(ISNUMBER(cash_original!L47),cash_original!L47/100000000,cash_original!L47)</f>
        <v>--</v>
      </c>
      <c r="M47" s="4" t="str">
        <f>IF(ISNUMBER(cash_original!M47),cash_original!M47/100000000,cash_original!M47)</f>
        <v>--</v>
      </c>
      <c r="N47" s="4" t="str">
        <f>IF(ISNUMBER(cash_original!N47),cash_original!N47/100000000,cash_original!N47)</f>
        <v>--</v>
      </c>
      <c r="O47" s="4" t="str">
        <f>IF(ISNUMBER(cash_original!O47),cash_original!O47/100000000,cash_original!O47)</f>
        <v>--</v>
      </c>
      <c r="P47" s="4" t="str">
        <f>IF(ISNUMBER(cash_original!P47),cash_original!P47/100000000,cash_original!P47)</f>
        <v>--</v>
      </c>
      <c r="Q47" s="4" t="str">
        <f>IF(ISNUMBER(cash_original!Q47),cash_original!Q47/100000000,cash_original!Q47)</f>
        <v>--</v>
      </c>
      <c r="R47" s="4" t="str">
        <f>IF(ISNUMBER(cash_original!R47),cash_original!R47/100000000,cash_original!R47)</f>
        <v>--</v>
      </c>
      <c r="S47" s="4" t="str">
        <f>IF(ISNUMBER(cash_original!S47),cash_original!S47/100000000,cash_original!S47)</f>
        <v>--</v>
      </c>
      <c r="T47" s="4" t="str">
        <f>IF(ISNUMBER(cash_original!T47),cash_original!T47/100000000,cash_original!T47)</f>
        <v>--</v>
      </c>
      <c r="U47" s="4" t="str">
        <f>IF(ISNUMBER(cash_original!U47),cash_original!U47/100000000,cash_original!U47)</f>
        <v>--</v>
      </c>
      <c r="V47" s="4" t="str">
        <f>IF(ISNUMBER(cash_original!V47),cash_original!V47/100000000,cash_original!V47)</f>
        <v>--</v>
      </c>
      <c r="W47" s="4" t="str">
        <f>IF(ISNUMBER(cash_original!W47),cash_original!W47/100000000,cash_original!W47)</f>
        <v>--</v>
      </c>
      <c r="X47" s="4" t="str">
        <f>IF(ISNUMBER(cash_original!X47),cash_original!X47/100000000,cash_original!X47)</f>
        <v>--</v>
      </c>
      <c r="Y47" s="4" t="str">
        <f>IF(ISNUMBER(cash_original!Y47),cash_original!Y47/100000000,cash_original!Y47)</f>
        <v>--</v>
      </c>
      <c r="Z47" s="4" t="str">
        <f>IF(ISNUMBER(cash_original!Z47),cash_original!Z47/100000000,cash_original!Z47)</f>
        <v>--</v>
      </c>
      <c r="AA47" s="4" t="str">
        <f>IF(ISNUMBER(cash_original!AA47),cash_original!AA47/100000000,cash_original!AA47)</f>
        <v>--</v>
      </c>
      <c r="AB47" s="4" t="str">
        <f>IF(ISNUMBER(cash_original!AB47),cash_original!AB47/100000000,cash_original!AB47)</f>
        <v>--</v>
      </c>
      <c r="AC47" s="4" t="str">
        <f>IF(ISNUMBER(cash_original!AC47),cash_original!AC47/100000000,cash_original!AC47)</f>
        <v>--</v>
      </c>
      <c r="AD47" s="4" t="str">
        <f>IF(ISNUMBER(cash_original!AD47),cash_original!AD47/100000000,cash_original!AD47)</f>
        <v>--</v>
      </c>
      <c r="AE47" s="4" t="str">
        <f>IF(ISNUMBER(cash_original!AE47),cash_original!AE47/100000000,cash_original!AE47)</f>
        <v>--</v>
      </c>
      <c r="AF47" s="4" t="str">
        <f>IF(ISNUMBER(cash_original!AF47),cash_original!AF47/100000000,cash_original!AF47)</f>
        <v>--</v>
      </c>
      <c r="AG47" s="4" t="str">
        <f>IF(ISNUMBER(cash_original!AG47),cash_original!AG47/100000000,cash_original!AG47)</f>
        <v>--</v>
      </c>
      <c r="AH47" s="4" t="str">
        <f>IF(ISNUMBER(cash_original!AH47),cash_original!AH47/100000000,cash_original!AH47)</f>
        <v>--</v>
      </c>
      <c r="AI47" s="4" t="str">
        <f>IF(ISNUMBER(cash_original!AI47),cash_original!AI47/100000000,cash_original!AI47)</f>
        <v>--</v>
      </c>
      <c r="AJ47" s="4" t="str">
        <f>IF(ISNUMBER(cash_original!AJ47),cash_original!AJ47/100000000,cash_original!AJ47)</f>
        <v>--</v>
      </c>
      <c r="AK47" s="4" t="str">
        <f>IF(ISNUMBER(cash_original!AK47),cash_original!AK47/100000000,cash_original!AK47)</f>
        <v>--</v>
      </c>
      <c r="AL47" s="4" t="str">
        <f>IF(ISNUMBER(cash_original!AL47),cash_original!AL47/100000000,cash_original!AL47)</f>
        <v>--</v>
      </c>
      <c r="AM47" s="4" t="str">
        <f>IF(ISNUMBER(cash_original!AM47),cash_original!AM47/100000000,cash_original!AM47)</f>
        <v>--</v>
      </c>
      <c r="AN47" s="4" t="str">
        <f>IF(ISNUMBER(cash_original!AN47),cash_original!AN47/100000000,cash_original!AN47)</f>
        <v>--</v>
      </c>
      <c r="AO47" s="4" t="str">
        <f>IF(ISNUMBER(cash_original!AO47),cash_original!AO47/100000000,cash_original!AO47)</f>
        <v>--</v>
      </c>
      <c r="AP47" s="4" t="str">
        <f>IF(ISNUMBER(cash_original!AP47),cash_original!AP47/100000000,cash_original!AP47)</f>
        <v>--</v>
      </c>
      <c r="AQ47" s="4" t="str">
        <f>IF(ISNUMBER(cash_original!AQ47),cash_original!AQ47/100000000,cash_original!AQ47)</f>
        <v>--</v>
      </c>
      <c r="AR47" s="4" t="str">
        <f>IF(ISNUMBER(cash_original!AR47),cash_original!AR47/100000000,cash_original!AR47)</f>
        <v>--</v>
      </c>
      <c r="AS47" s="4" t="str">
        <f>IF(ISNUMBER(cash_original!AS47),cash_original!AS47/100000000,cash_original!AS47)</f>
        <v>--</v>
      </c>
      <c r="AT47" s="4" t="str">
        <f>IF(ISNUMBER(cash_original!AT47),cash_original!AT47/100000000,cash_original!AT47)</f>
        <v>--</v>
      </c>
      <c r="AU47" s="4" t="str">
        <f>IF(ISNUMBER(cash_original!AU47),cash_original!AU47/100000000,cash_original!AU47)</f>
        <v>--</v>
      </c>
      <c r="AV47" s="3" t="s">
        <v>133</v>
      </c>
      <c r="AW47" s="3" t="s">
        <v>133</v>
      </c>
      <c r="AX47" s="3" t="s">
        <v>133</v>
      </c>
      <c r="AY47" s="3" t="s">
        <v>133</v>
      </c>
      <c r="AZ47" s="3" t="s">
        <v>133</v>
      </c>
      <c r="BA47" s="3" t="s">
        <v>133</v>
      </c>
      <c r="BB47" s="3" t="s">
        <v>133</v>
      </c>
      <c r="BC47" s="3" t="s">
        <v>133</v>
      </c>
      <c r="BD47" s="3" t="s">
        <v>133</v>
      </c>
      <c r="BE47" s="3" t="s">
        <v>133</v>
      </c>
      <c r="BF47" s="3" t="s">
        <v>133</v>
      </c>
      <c r="BG47" s="3" t="s">
        <v>133</v>
      </c>
      <c r="BH47" s="3" t="s">
        <v>133</v>
      </c>
      <c r="BI47" s="3">
        <v>9847800</v>
      </c>
      <c r="BJ47" s="3">
        <v>-2419700</v>
      </c>
      <c r="BK47" s="3">
        <v>3655300</v>
      </c>
      <c r="BL47" s="3">
        <v>968000</v>
      </c>
      <c r="BM47" s="3">
        <v>8601100</v>
      </c>
      <c r="BN47" s="3">
        <v>356400</v>
      </c>
      <c r="BO47" s="3">
        <v>778500</v>
      </c>
      <c r="BP47" s="3">
        <v>1638100</v>
      </c>
      <c r="BQ47" s="3">
        <v>2813900</v>
      </c>
      <c r="BR47" s="3">
        <v>845100</v>
      </c>
      <c r="BS47" s="3">
        <v>995500</v>
      </c>
      <c r="BT47" s="3">
        <v>643000</v>
      </c>
    </row>
    <row r="48" spans="1:72" x14ac:dyDescent="0.25">
      <c r="A48" s="3" t="s">
        <v>203</v>
      </c>
      <c r="B48" s="4" t="str">
        <f>IF(ISNUMBER(cash_original!B48),cash_original!B48/100000000,cash_original!B48)</f>
        <v>--</v>
      </c>
      <c r="C48" s="4" t="str">
        <f>IF(ISNUMBER(cash_original!C48),cash_original!C48/100000000,cash_original!C48)</f>
        <v>--</v>
      </c>
      <c r="D48" s="4" t="str">
        <f>IF(ISNUMBER(cash_original!D48),cash_original!D48/100000000,cash_original!D48)</f>
        <v>--</v>
      </c>
      <c r="E48" s="4" t="str">
        <f>IF(ISNUMBER(cash_original!E48),cash_original!E48/100000000,cash_original!E48)</f>
        <v>--</v>
      </c>
      <c r="F48" s="4" t="str">
        <f>IF(ISNUMBER(cash_original!F48),cash_original!F48/100000000,cash_original!F48)</f>
        <v>--</v>
      </c>
      <c r="G48" s="4" t="str">
        <f>IF(ISNUMBER(cash_original!G48),cash_original!G48/100000000,cash_original!G48)</f>
        <v>--</v>
      </c>
      <c r="H48" s="4" t="str">
        <f>IF(ISNUMBER(cash_original!H48),cash_original!H48/100000000,cash_original!H48)</f>
        <v>--</v>
      </c>
      <c r="I48" s="4" t="str">
        <f>IF(ISNUMBER(cash_original!I48),cash_original!I48/100000000,cash_original!I48)</f>
        <v>--</v>
      </c>
      <c r="J48" s="4" t="str">
        <f>IF(ISNUMBER(cash_original!J48),cash_original!J48/100000000,cash_original!J48)</f>
        <v>--</v>
      </c>
      <c r="K48" s="4" t="str">
        <f>IF(ISNUMBER(cash_original!K48),cash_original!K48/100000000,cash_original!K48)</f>
        <v>--</v>
      </c>
      <c r="L48" s="4" t="str">
        <f>IF(ISNUMBER(cash_original!L48),cash_original!L48/100000000,cash_original!L48)</f>
        <v>--</v>
      </c>
      <c r="M48" s="4" t="str">
        <f>IF(ISNUMBER(cash_original!M48),cash_original!M48/100000000,cash_original!M48)</f>
        <v>--</v>
      </c>
      <c r="N48" s="4" t="str">
        <f>IF(ISNUMBER(cash_original!N48),cash_original!N48/100000000,cash_original!N48)</f>
        <v>--</v>
      </c>
      <c r="O48" s="4" t="str">
        <f>IF(ISNUMBER(cash_original!O48),cash_original!O48/100000000,cash_original!O48)</f>
        <v>--</v>
      </c>
      <c r="P48" s="4" t="str">
        <f>IF(ISNUMBER(cash_original!P48),cash_original!P48/100000000,cash_original!P48)</f>
        <v>--</v>
      </c>
      <c r="Q48" s="4" t="str">
        <f>IF(ISNUMBER(cash_original!Q48),cash_original!Q48/100000000,cash_original!Q48)</f>
        <v>--</v>
      </c>
      <c r="R48" s="4" t="str">
        <f>IF(ISNUMBER(cash_original!R48),cash_original!R48/100000000,cash_original!R48)</f>
        <v>--</v>
      </c>
      <c r="S48" s="4" t="str">
        <f>IF(ISNUMBER(cash_original!S48),cash_original!S48/100000000,cash_original!S48)</f>
        <v>--</v>
      </c>
      <c r="T48" s="4" t="str">
        <f>IF(ISNUMBER(cash_original!T48),cash_original!T48/100000000,cash_original!T48)</f>
        <v>--</v>
      </c>
      <c r="U48" s="4" t="str">
        <f>IF(ISNUMBER(cash_original!U48),cash_original!U48/100000000,cash_original!U48)</f>
        <v>--</v>
      </c>
      <c r="V48" s="4" t="str">
        <f>IF(ISNUMBER(cash_original!V48),cash_original!V48/100000000,cash_original!V48)</f>
        <v>--</v>
      </c>
      <c r="W48" s="4" t="str">
        <f>IF(ISNUMBER(cash_original!W48),cash_original!W48/100000000,cash_original!W48)</f>
        <v>--</v>
      </c>
      <c r="X48" s="4" t="str">
        <f>IF(ISNUMBER(cash_original!X48),cash_original!X48/100000000,cash_original!X48)</f>
        <v>--</v>
      </c>
      <c r="Y48" s="4" t="str">
        <f>IF(ISNUMBER(cash_original!Y48),cash_original!Y48/100000000,cash_original!Y48)</f>
        <v>--</v>
      </c>
      <c r="Z48" s="4" t="str">
        <f>IF(ISNUMBER(cash_original!Z48),cash_original!Z48/100000000,cash_original!Z48)</f>
        <v>--</v>
      </c>
      <c r="AA48" s="4" t="str">
        <f>IF(ISNUMBER(cash_original!AA48),cash_original!AA48/100000000,cash_original!AA48)</f>
        <v>--</v>
      </c>
      <c r="AB48" s="4" t="str">
        <f>IF(ISNUMBER(cash_original!AB48),cash_original!AB48/100000000,cash_original!AB48)</f>
        <v>--</v>
      </c>
      <c r="AC48" s="4" t="str">
        <f>IF(ISNUMBER(cash_original!AC48),cash_original!AC48/100000000,cash_original!AC48)</f>
        <v>--</v>
      </c>
      <c r="AD48" s="4" t="str">
        <f>IF(ISNUMBER(cash_original!AD48),cash_original!AD48/100000000,cash_original!AD48)</f>
        <v>--</v>
      </c>
      <c r="AE48" s="4" t="str">
        <f>IF(ISNUMBER(cash_original!AE48),cash_original!AE48/100000000,cash_original!AE48)</f>
        <v>--</v>
      </c>
      <c r="AF48" s="4" t="str">
        <f>IF(ISNUMBER(cash_original!AF48),cash_original!AF48/100000000,cash_original!AF48)</f>
        <v>--</v>
      </c>
      <c r="AG48" s="4" t="str">
        <f>IF(ISNUMBER(cash_original!AG48),cash_original!AG48/100000000,cash_original!AG48)</f>
        <v>--</v>
      </c>
      <c r="AH48" s="4" t="str">
        <f>IF(ISNUMBER(cash_original!AH48),cash_original!AH48/100000000,cash_original!AH48)</f>
        <v>--</v>
      </c>
      <c r="AI48" s="4" t="str">
        <f>IF(ISNUMBER(cash_original!AI48),cash_original!AI48/100000000,cash_original!AI48)</f>
        <v>--</v>
      </c>
      <c r="AJ48" s="4" t="str">
        <f>IF(ISNUMBER(cash_original!AJ48),cash_original!AJ48/100000000,cash_original!AJ48)</f>
        <v>--</v>
      </c>
      <c r="AK48" s="4" t="str">
        <f>IF(ISNUMBER(cash_original!AK48),cash_original!AK48/100000000,cash_original!AK48)</f>
        <v>--</v>
      </c>
      <c r="AL48" s="4" t="str">
        <f>IF(ISNUMBER(cash_original!AL48),cash_original!AL48/100000000,cash_original!AL48)</f>
        <v>--</v>
      </c>
      <c r="AM48" s="4" t="str">
        <f>IF(ISNUMBER(cash_original!AM48),cash_original!AM48/100000000,cash_original!AM48)</f>
        <v>--</v>
      </c>
      <c r="AN48" s="4" t="str">
        <f>IF(ISNUMBER(cash_original!AN48),cash_original!AN48/100000000,cash_original!AN48)</f>
        <v>--</v>
      </c>
      <c r="AO48" s="4" t="str">
        <f>IF(ISNUMBER(cash_original!AO48),cash_original!AO48/100000000,cash_original!AO48)</f>
        <v>--</v>
      </c>
      <c r="AP48" s="4" t="str">
        <f>IF(ISNUMBER(cash_original!AP48),cash_original!AP48/100000000,cash_original!AP48)</f>
        <v>--</v>
      </c>
      <c r="AQ48" s="4" t="str">
        <f>IF(ISNUMBER(cash_original!AQ48),cash_original!AQ48/100000000,cash_original!AQ48)</f>
        <v>--</v>
      </c>
      <c r="AR48" s="4" t="str">
        <f>IF(ISNUMBER(cash_original!AR48),cash_original!AR48/100000000,cash_original!AR48)</f>
        <v>--</v>
      </c>
      <c r="AS48" s="4" t="str">
        <f>IF(ISNUMBER(cash_original!AS48),cash_original!AS48/100000000,cash_original!AS48)</f>
        <v>--</v>
      </c>
      <c r="AT48" s="4" t="str">
        <f>IF(ISNUMBER(cash_original!AT48),cash_original!AT48/100000000,cash_original!AT48)</f>
        <v>--</v>
      </c>
      <c r="AU48" s="4" t="str">
        <f>IF(ISNUMBER(cash_original!AU48),cash_original!AU48/100000000,cash_original!AU48)</f>
        <v>--</v>
      </c>
      <c r="AV48" s="3" t="s">
        <v>133</v>
      </c>
      <c r="AW48" s="3" t="s">
        <v>133</v>
      </c>
      <c r="AX48" s="3" t="s">
        <v>133</v>
      </c>
      <c r="AY48" s="3" t="s">
        <v>133</v>
      </c>
      <c r="AZ48" s="3" t="s">
        <v>133</v>
      </c>
      <c r="BA48" s="3" t="s">
        <v>133</v>
      </c>
      <c r="BB48" s="3" t="s">
        <v>133</v>
      </c>
      <c r="BC48" s="3" t="s">
        <v>133</v>
      </c>
      <c r="BD48" s="3" t="s">
        <v>133</v>
      </c>
      <c r="BE48" s="3" t="s">
        <v>133</v>
      </c>
      <c r="BF48" s="3" t="s">
        <v>133</v>
      </c>
      <c r="BG48" s="3" t="s">
        <v>133</v>
      </c>
      <c r="BH48" s="3" t="s">
        <v>133</v>
      </c>
      <c r="BI48" s="3" t="s">
        <v>133</v>
      </c>
      <c r="BJ48" s="3" t="s">
        <v>133</v>
      </c>
      <c r="BK48" s="3" t="s">
        <v>133</v>
      </c>
      <c r="BL48" s="3" t="s">
        <v>133</v>
      </c>
      <c r="BM48" s="3" t="s">
        <v>133</v>
      </c>
      <c r="BN48" s="3" t="s">
        <v>133</v>
      </c>
      <c r="BO48" s="3" t="s">
        <v>133</v>
      </c>
      <c r="BP48" s="3" t="s">
        <v>133</v>
      </c>
      <c r="BQ48" s="3" t="s">
        <v>133</v>
      </c>
      <c r="BR48" s="3" t="s">
        <v>133</v>
      </c>
      <c r="BS48" s="3" t="s">
        <v>133</v>
      </c>
      <c r="BT48" s="3" t="s">
        <v>133</v>
      </c>
    </row>
    <row r="49" spans="1:72" x14ac:dyDescent="0.25">
      <c r="A49" s="3" t="s">
        <v>204</v>
      </c>
      <c r="B49" s="4" t="str">
        <f>IF(ISNUMBER(cash_original!B49),cash_original!B49/100000000,cash_original!B49)</f>
        <v>--</v>
      </c>
      <c r="C49" s="4" t="str">
        <f>IF(ISNUMBER(cash_original!C49),cash_original!C49/100000000,cash_original!C49)</f>
        <v>--</v>
      </c>
      <c r="D49" s="4" t="str">
        <f>IF(ISNUMBER(cash_original!D49),cash_original!D49/100000000,cash_original!D49)</f>
        <v>--</v>
      </c>
      <c r="E49" s="4" t="str">
        <f>IF(ISNUMBER(cash_original!E49),cash_original!E49/100000000,cash_original!E49)</f>
        <v>--</v>
      </c>
      <c r="F49" s="4" t="str">
        <f>IF(ISNUMBER(cash_original!F49),cash_original!F49/100000000,cash_original!F49)</f>
        <v>--</v>
      </c>
      <c r="G49" s="4" t="str">
        <f>IF(ISNUMBER(cash_original!G49),cash_original!G49/100000000,cash_original!G49)</f>
        <v>--</v>
      </c>
      <c r="H49" s="4" t="str">
        <f>IF(ISNUMBER(cash_original!H49),cash_original!H49/100000000,cash_original!H49)</f>
        <v>--</v>
      </c>
      <c r="I49" s="4" t="str">
        <f>IF(ISNUMBER(cash_original!I49),cash_original!I49/100000000,cash_original!I49)</f>
        <v>--</v>
      </c>
      <c r="J49" s="4" t="str">
        <f>IF(ISNUMBER(cash_original!J49),cash_original!J49/100000000,cash_original!J49)</f>
        <v>--</v>
      </c>
      <c r="K49" s="4" t="str">
        <f>IF(ISNUMBER(cash_original!K49),cash_original!K49/100000000,cash_original!K49)</f>
        <v>--</v>
      </c>
      <c r="L49" s="4" t="str">
        <f>IF(ISNUMBER(cash_original!L49),cash_original!L49/100000000,cash_original!L49)</f>
        <v>--</v>
      </c>
      <c r="M49" s="4" t="str">
        <f>IF(ISNUMBER(cash_original!M49),cash_original!M49/100000000,cash_original!M49)</f>
        <v>--</v>
      </c>
      <c r="N49" s="4" t="str">
        <f>IF(ISNUMBER(cash_original!N49),cash_original!N49/100000000,cash_original!N49)</f>
        <v>--</v>
      </c>
      <c r="O49" s="4" t="str">
        <f>IF(ISNUMBER(cash_original!O49),cash_original!O49/100000000,cash_original!O49)</f>
        <v>--</v>
      </c>
      <c r="P49" s="4" t="str">
        <f>IF(ISNUMBER(cash_original!P49),cash_original!P49/100000000,cash_original!P49)</f>
        <v>--</v>
      </c>
      <c r="Q49" s="4" t="str">
        <f>IF(ISNUMBER(cash_original!Q49),cash_original!Q49/100000000,cash_original!Q49)</f>
        <v>--</v>
      </c>
      <c r="R49" s="4" t="str">
        <f>IF(ISNUMBER(cash_original!R49),cash_original!R49/100000000,cash_original!R49)</f>
        <v>--</v>
      </c>
      <c r="S49" s="4" t="str">
        <f>IF(ISNUMBER(cash_original!S49),cash_original!S49/100000000,cash_original!S49)</f>
        <v>--</v>
      </c>
      <c r="T49" s="4" t="str">
        <f>IF(ISNUMBER(cash_original!T49),cash_original!T49/100000000,cash_original!T49)</f>
        <v>--</v>
      </c>
      <c r="U49" s="4" t="str">
        <f>IF(ISNUMBER(cash_original!U49),cash_original!U49/100000000,cash_original!U49)</f>
        <v>--</v>
      </c>
      <c r="V49" s="4" t="str">
        <f>IF(ISNUMBER(cash_original!V49),cash_original!V49/100000000,cash_original!V49)</f>
        <v>--</v>
      </c>
      <c r="W49" s="4" t="str">
        <f>IF(ISNUMBER(cash_original!W49),cash_original!W49/100000000,cash_original!W49)</f>
        <v>--</v>
      </c>
      <c r="X49" s="4" t="str">
        <f>IF(ISNUMBER(cash_original!X49),cash_original!X49/100000000,cash_original!X49)</f>
        <v>--</v>
      </c>
      <c r="Y49" s="4" t="str">
        <f>IF(ISNUMBER(cash_original!Y49),cash_original!Y49/100000000,cash_original!Y49)</f>
        <v>--</v>
      </c>
      <c r="Z49" s="4" t="str">
        <f>IF(ISNUMBER(cash_original!Z49),cash_original!Z49/100000000,cash_original!Z49)</f>
        <v>--</v>
      </c>
      <c r="AA49" s="4" t="str">
        <f>IF(ISNUMBER(cash_original!AA49),cash_original!AA49/100000000,cash_original!AA49)</f>
        <v>--</v>
      </c>
      <c r="AB49" s="4" t="str">
        <f>IF(ISNUMBER(cash_original!AB49),cash_original!AB49/100000000,cash_original!AB49)</f>
        <v>--</v>
      </c>
      <c r="AC49" s="4" t="str">
        <f>IF(ISNUMBER(cash_original!AC49),cash_original!AC49/100000000,cash_original!AC49)</f>
        <v>--</v>
      </c>
      <c r="AD49" s="4" t="str">
        <f>IF(ISNUMBER(cash_original!AD49),cash_original!AD49/100000000,cash_original!AD49)</f>
        <v>--</v>
      </c>
      <c r="AE49" s="4" t="str">
        <f>IF(ISNUMBER(cash_original!AE49),cash_original!AE49/100000000,cash_original!AE49)</f>
        <v>--</v>
      </c>
      <c r="AF49" s="4" t="str">
        <f>IF(ISNUMBER(cash_original!AF49),cash_original!AF49/100000000,cash_original!AF49)</f>
        <v>--</v>
      </c>
      <c r="AG49" s="4" t="str">
        <f>IF(ISNUMBER(cash_original!AG49),cash_original!AG49/100000000,cash_original!AG49)</f>
        <v>--</v>
      </c>
      <c r="AH49" s="4" t="str">
        <f>IF(ISNUMBER(cash_original!AH49),cash_original!AH49/100000000,cash_original!AH49)</f>
        <v>--</v>
      </c>
      <c r="AI49" s="4" t="str">
        <f>IF(ISNUMBER(cash_original!AI49),cash_original!AI49/100000000,cash_original!AI49)</f>
        <v>--</v>
      </c>
      <c r="AJ49" s="4" t="str">
        <f>IF(ISNUMBER(cash_original!AJ49),cash_original!AJ49/100000000,cash_original!AJ49)</f>
        <v>--</v>
      </c>
      <c r="AK49" s="4" t="str">
        <f>IF(ISNUMBER(cash_original!AK49),cash_original!AK49/100000000,cash_original!AK49)</f>
        <v>--</v>
      </c>
      <c r="AL49" s="4" t="str">
        <f>IF(ISNUMBER(cash_original!AL49),cash_original!AL49/100000000,cash_original!AL49)</f>
        <v>--</v>
      </c>
      <c r="AM49" s="4" t="str">
        <f>IF(ISNUMBER(cash_original!AM49),cash_original!AM49/100000000,cash_original!AM49)</f>
        <v>--</v>
      </c>
      <c r="AN49" s="4" t="str">
        <f>IF(ISNUMBER(cash_original!AN49),cash_original!AN49/100000000,cash_original!AN49)</f>
        <v>--</v>
      </c>
      <c r="AO49" s="4" t="str">
        <f>IF(ISNUMBER(cash_original!AO49),cash_original!AO49/100000000,cash_original!AO49)</f>
        <v>--</v>
      </c>
      <c r="AP49" s="4" t="str">
        <f>IF(ISNUMBER(cash_original!AP49),cash_original!AP49/100000000,cash_original!AP49)</f>
        <v>--</v>
      </c>
      <c r="AQ49" s="4" t="str">
        <f>IF(ISNUMBER(cash_original!AQ49),cash_original!AQ49/100000000,cash_original!AQ49)</f>
        <v>--</v>
      </c>
      <c r="AR49" s="4" t="str">
        <f>IF(ISNUMBER(cash_original!AR49),cash_original!AR49/100000000,cash_original!AR49)</f>
        <v>--</v>
      </c>
      <c r="AS49" s="4" t="str">
        <f>IF(ISNUMBER(cash_original!AS49),cash_original!AS49/100000000,cash_original!AS49)</f>
        <v>--</v>
      </c>
      <c r="AT49" s="4" t="str">
        <f>IF(ISNUMBER(cash_original!AT49),cash_original!AT49/100000000,cash_original!AT49)</f>
        <v>--</v>
      </c>
      <c r="AU49" s="4" t="str">
        <f>IF(ISNUMBER(cash_original!AU49),cash_original!AU49/100000000,cash_original!AU49)</f>
        <v>--</v>
      </c>
      <c r="AV49" s="3" t="s">
        <v>133</v>
      </c>
      <c r="AW49" s="3" t="s">
        <v>133</v>
      </c>
      <c r="AX49" s="3" t="s">
        <v>133</v>
      </c>
      <c r="AY49" s="3" t="s">
        <v>133</v>
      </c>
      <c r="AZ49" s="3" t="s">
        <v>133</v>
      </c>
      <c r="BA49" s="3" t="s">
        <v>133</v>
      </c>
      <c r="BB49" s="3" t="s">
        <v>133</v>
      </c>
      <c r="BC49" s="3" t="s">
        <v>133</v>
      </c>
      <c r="BD49" s="3" t="s">
        <v>133</v>
      </c>
      <c r="BE49" s="3" t="s">
        <v>133</v>
      </c>
      <c r="BF49" s="3" t="s">
        <v>133</v>
      </c>
      <c r="BG49" s="3" t="s">
        <v>133</v>
      </c>
      <c r="BH49" s="3" t="s">
        <v>133</v>
      </c>
      <c r="BI49" s="3" t="s">
        <v>133</v>
      </c>
      <c r="BJ49" s="3" t="s">
        <v>133</v>
      </c>
      <c r="BK49" s="3" t="s">
        <v>133</v>
      </c>
      <c r="BL49" s="3" t="s">
        <v>133</v>
      </c>
      <c r="BM49" s="3">
        <v>-416900</v>
      </c>
      <c r="BN49" s="3" t="s">
        <v>133</v>
      </c>
      <c r="BO49" s="3" t="s">
        <v>133</v>
      </c>
      <c r="BP49" s="3" t="s">
        <v>133</v>
      </c>
      <c r="BQ49" s="3" t="s">
        <v>133</v>
      </c>
      <c r="BR49" s="3" t="s">
        <v>133</v>
      </c>
      <c r="BS49" s="3">
        <v>500</v>
      </c>
      <c r="BT49" s="3">
        <v>7700</v>
      </c>
    </row>
    <row r="50" spans="1:72" x14ac:dyDescent="0.25">
      <c r="A50" s="3" t="s">
        <v>205</v>
      </c>
      <c r="B50" s="4" t="str">
        <f>IF(ISNUMBER(cash_original!B50),cash_original!B50/100000000,cash_original!B50)</f>
        <v>--</v>
      </c>
      <c r="C50" s="4" t="str">
        <f>IF(ISNUMBER(cash_original!C50),cash_original!C50/100000000,cash_original!C50)</f>
        <v>--</v>
      </c>
      <c r="D50" s="4" t="str">
        <f>IF(ISNUMBER(cash_original!D50),cash_original!D50/100000000,cash_original!D50)</f>
        <v>--</v>
      </c>
      <c r="E50" s="4" t="str">
        <f>IF(ISNUMBER(cash_original!E50),cash_original!E50/100000000,cash_original!E50)</f>
        <v>--</v>
      </c>
      <c r="F50" s="4" t="str">
        <f>IF(ISNUMBER(cash_original!F50),cash_original!F50/100000000,cash_original!F50)</f>
        <v>--</v>
      </c>
      <c r="G50" s="4" t="str">
        <f>IF(ISNUMBER(cash_original!G50),cash_original!G50/100000000,cash_original!G50)</f>
        <v>--</v>
      </c>
      <c r="H50" s="4" t="str">
        <f>IF(ISNUMBER(cash_original!H50),cash_original!H50/100000000,cash_original!H50)</f>
        <v>--</v>
      </c>
      <c r="I50" s="4" t="str">
        <f>IF(ISNUMBER(cash_original!I50),cash_original!I50/100000000,cash_original!I50)</f>
        <v>--</v>
      </c>
      <c r="J50" s="4" t="str">
        <f>IF(ISNUMBER(cash_original!J50),cash_original!J50/100000000,cash_original!J50)</f>
        <v>--</v>
      </c>
      <c r="K50" s="4" t="str">
        <f>IF(ISNUMBER(cash_original!K50),cash_original!K50/100000000,cash_original!K50)</f>
        <v>--</v>
      </c>
      <c r="L50" s="4" t="str">
        <f>IF(ISNUMBER(cash_original!L50),cash_original!L50/100000000,cash_original!L50)</f>
        <v>--</v>
      </c>
      <c r="M50" s="4" t="str">
        <f>IF(ISNUMBER(cash_original!M50),cash_original!M50/100000000,cash_original!M50)</f>
        <v>--</v>
      </c>
      <c r="N50" s="4" t="str">
        <f>IF(ISNUMBER(cash_original!N50),cash_original!N50/100000000,cash_original!N50)</f>
        <v>--</v>
      </c>
      <c r="O50" s="4" t="str">
        <f>IF(ISNUMBER(cash_original!O50),cash_original!O50/100000000,cash_original!O50)</f>
        <v>--</v>
      </c>
      <c r="P50" s="4" t="str">
        <f>IF(ISNUMBER(cash_original!P50),cash_original!P50/100000000,cash_original!P50)</f>
        <v>--</v>
      </c>
      <c r="Q50" s="4" t="str">
        <f>IF(ISNUMBER(cash_original!Q50),cash_original!Q50/100000000,cash_original!Q50)</f>
        <v>--</v>
      </c>
      <c r="R50" s="4" t="str">
        <f>IF(ISNUMBER(cash_original!R50),cash_original!R50/100000000,cash_original!R50)</f>
        <v>--</v>
      </c>
      <c r="S50" s="4" t="str">
        <f>IF(ISNUMBER(cash_original!S50),cash_original!S50/100000000,cash_original!S50)</f>
        <v>--</v>
      </c>
      <c r="T50" s="4" t="str">
        <f>IF(ISNUMBER(cash_original!T50),cash_original!T50/100000000,cash_original!T50)</f>
        <v>--</v>
      </c>
      <c r="U50" s="4" t="str">
        <f>IF(ISNUMBER(cash_original!U50),cash_original!U50/100000000,cash_original!U50)</f>
        <v>--</v>
      </c>
      <c r="V50" s="4" t="str">
        <f>IF(ISNUMBER(cash_original!V50),cash_original!V50/100000000,cash_original!V50)</f>
        <v>--</v>
      </c>
      <c r="W50" s="4" t="str">
        <f>IF(ISNUMBER(cash_original!W50),cash_original!W50/100000000,cash_original!W50)</f>
        <v>--</v>
      </c>
      <c r="X50" s="4" t="str">
        <f>IF(ISNUMBER(cash_original!X50),cash_original!X50/100000000,cash_original!X50)</f>
        <v>--</v>
      </c>
      <c r="Y50" s="4" t="str">
        <f>IF(ISNUMBER(cash_original!Y50),cash_original!Y50/100000000,cash_original!Y50)</f>
        <v>--</v>
      </c>
      <c r="Z50" s="4" t="str">
        <f>IF(ISNUMBER(cash_original!Z50),cash_original!Z50/100000000,cash_original!Z50)</f>
        <v>--</v>
      </c>
      <c r="AA50" s="4" t="str">
        <f>IF(ISNUMBER(cash_original!AA50),cash_original!AA50/100000000,cash_original!AA50)</f>
        <v>--</v>
      </c>
      <c r="AB50" s="4" t="str">
        <f>IF(ISNUMBER(cash_original!AB50),cash_original!AB50/100000000,cash_original!AB50)</f>
        <v>--</v>
      </c>
      <c r="AC50" s="4" t="str">
        <f>IF(ISNUMBER(cash_original!AC50),cash_original!AC50/100000000,cash_original!AC50)</f>
        <v>--</v>
      </c>
      <c r="AD50" s="4" t="str">
        <f>IF(ISNUMBER(cash_original!AD50),cash_original!AD50/100000000,cash_original!AD50)</f>
        <v>--</v>
      </c>
      <c r="AE50" s="4" t="str">
        <f>IF(ISNUMBER(cash_original!AE50),cash_original!AE50/100000000,cash_original!AE50)</f>
        <v>--</v>
      </c>
      <c r="AF50" s="4" t="str">
        <f>IF(ISNUMBER(cash_original!AF50),cash_original!AF50/100000000,cash_original!AF50)</f>
        <v>--</v>
      </c>
      <c r="AG50" s="4" t="str">
        <f>IF(ISNUMBER(cash_original!AG50),cash_original!AG50/100000000,cash_original!AG50)</f>
        <v>--</v>
      </c>
      <c r="AH50" s="4" t="str">
        <f>IF(ISNUMBER(cash_original!AH50),cash_original!AH50/100000000,cash_original!AH50)</f>
        <v>--</v>
      </c>
      <c r="AI50" s="4" t="str">
        <f>IF(ISNUMBER(cash_original!AI50),cash_original!AI50/100000000,cash_original!AI50)</f>
        <v>--</v>
      </c>
      <c r="AJ50" s="4" t="str">
        <f>IF(ISNUMBER(cash_original!AJ50),cash_original!AJ50/100000000,cash_original!AJ50)</f>
        <v>--</v>
      </c>
      <c r="AK50" s="4" t="str">
        <f>IF(ISNUMBER(cash_original!AK50),cash_original!AK50/100000000,cash_original!AK50)</f>
        <v>--</v>
      </c>
      <c r="AL50" s="4" t="str">
        <f>IF(ISNUMBER(cash_original!AL50),cash_original!AL50/100000000,cash_original!AL50)</f>
        <v>--</v>
      </c>
      <c r="AM50" s="4" t="str">
        <f>IF(ISNUMBER(cash_original!AM50),cash_original!AM50/100000000,cash_original!AM50)</f>
        <v>--</v>
      </c>
      <c r="AN50" s="4" t="str">
        <f>IF(ISNUMBER(cash_original!AN50),cash_original!AN50/100000000,cash_original!AN50)</f>
        <v>--</v>
      </c>
      <c r="AO50" s="4" t="str">
        <f>IF(ISNUMBER(cash_original!AO50),cash_original!AO50/100000000,cash_original!AO50)</f>
        <v>--</v>
      </c>
      <c r="AP50" s="4" t="str">
        <f>IF(ISNUMBER(cash_original!AP50),cash_original!AP50/100000000,cash_original!AP50)</f>
        <v>--</v>
      </c>
      <c r="AQ50" s="4" t="str">
        <f>IF(ISNUMBER(cash_original!AQ50),cash_original!AQ50/100000000,cash_original!AQ50)</f>
        <v>--</v>
      </c>
      <c r="AR50" s="4" t="str">
        <f>IF(ISNUMBER(cash_original!AR50),cash_original!AR50/100000000,cash_original!AR50)</f>
        <v>--</v>
      </c>
      <c r="AS50" s="4" t="str">
        <f>IF(ISNUMBER(cash_original!AS50),cash_original!AS50/100000000,cash_original!AS50)</f>
        <v>--</v>
      </c>
      <c r="AT50" s="4" t="str">
        <f>IF(ISNUMBER(cash_original!AT50),cash_original!AT50/100000000,cash_original!AT50)</f>
        <v>--</v>
      </c>
      <c r="AU50" s="4" t="str">
        <f>IF(ISNUMBER(cash_original!AU50),cash_original!AU50/100000000,cash_original!AU50)</f>
        <v>--</v>
      </c>
      <c r="AV50" s="3" t="s">
        <v>133</v>
      </c>
      <c r="AW50" s="3" t="s">
        <v>133</v>
      </c>
      <c r="AX50" s="3" t="s">
        <v>133</v>
      </c>
      <c r="AY50" s="3" t="s">
        <v>133</v>
      </c>
      <c r="AZ50" s="3" t="s">
        <v>133</v>
      </c>
      <c r="BA50" s="3" t="s">
        <v>133</v>
      </c>
      <c r="BB50" s="3" t="s">
        <v>133</v>
      </c>
      <c r="BC50" s="3" t="s">
        <v>133</v>
      </c>
      <c r="BD50" s="3" t="s">
        <v>133</v>
      </c>
      <c r="BE50" s="3" t="s">
        <v>133</v>
      </c>
      <c r="BF50" s="3" t="s">
        <v>133</v>
      </c>
      <c r="BG50" s="3" t="s">
        <v>133</v>
      </c>
      <c r="BH50" s="3" t="s">
        <v>133</v>
      </c>
      <c r="BI50" s="3" t="s">
        <v>133</v>
      </c>
      <c r="BJ50" s="3" t="s">
        <v>133</v>
      </c>
      <c r="BK50" s="3" t="s">
        <v>133</v>
      </c>
      <c r="BL50" s="3" t="s">
        <v>133</v>
      </c>
      <c r="BM50" s="3" t="s">
        <v>133</v>
      </c>
      <c r="BN50" s="3" t="s">
        <v>133</v>
      </c>
      <c r="BO50" s="3" t="s">
        <v>133</v>
      </c>
      <c r="BP50" s="3" t="s">
        <v>133</v>
      </c>
      <c r="BQ50" s="3" t="s">
        <v>133</v>
      </c>
      <c r="BR50" s="3" t="s">
        <v>133</v>
      </c>
      <c r="BS50" s="3" t="s">
        <v>133</v>
      </c>
      <c r="BT50" s="3" t="s">
        <v>133</v>
      </c>
    </row>
    <row r="51" spans="1:72" x14ac:dyDescent="0.25">
      <c r="A51" s="3" t="s">
        <v>15</v>
      </c>
      <c r="B51" s="4" t="str">
        <f>IF(ISNUMBER(cash_original!B51),cash_original!B51/100000000,cash_original!B51)</f>
        <v>--</v>
      </c>
      <c r="C51" s="4" t="str">
        <f>IF(ISNUMBER(cash_original!C51),cash_original!C51/100000000,cash_original!C51)</f>
        <v>--</v>
      </c>
      <c r="D51" s="4" t="str">
        <f>IF(ISNUMBER(cash_original!D51),cash_original!D51/100000000,cash_original!D51)</f>
        <v>--</v>
      </c>
      <c r="E51" s="4" t="str">
        <f>IF(ISNUMBER(cash_original!E51),cash_original!E51/100000000,cash_original!E51)</f>
        <v>--</v>
      </c>
      <c r="F51" s="4" t="str">
        <f>IF(ISNUMBER(cash_original!F51),cash_original!F51/100000000,cash_original!F51)</f>
        <v>--</v>
      </c>
      <c r="G51" s="4" t="str">
        <f>IF(ISNUMBER(cash_original!G51),cash_original!G51/100000000,cash_original!G51)</f>
        <v>--</v>
      </c>
      <c r="H51" s="4" t="str">
        <f>IF(ISNUMBER(cash_original!H51),cash_original!H51/100000000,cash_original!H51)</f>
        <v>--</v>
      </c>
      <c r="I51" s="4" t="str">
        <f>IF(ISNUMBER(cash_original!I51),cash_original!I51/100000000,cash_original!I51)</f>
        <v>--</v>
      </c>
      <c r="J51" s="4" t="str">
        <f>IF(ISNUMBER(cash_original!J51),cash_original!J51/100000000,cash_original!J51)</f>
        <v>--</v>
      </c>
      <c r="K51" s="4" t="str">
        <f>IF(ISNUMBER(cash_original!K51),cash_original!K51/100000000,cash_original!K51)</f>
        <v>--</v>
      </c>
      <c r="L51" s="4" t="str">
        <f>IF(ISNUMBER(cash_original!L51),cash_original!L51/100000000,cash_original!L51)</f>
        <v>--</v>
      </c>
      <c r="M51" s="4" t="str">
        <f>IF(ISNUMBER(cash_original!M51),cash_original!M51/100000000,cash_original!M51)</f>
        <v>--</v>
      </c>
      <c r="N51" s="4" t="str">
        <f>IF(ISNUMBER(cash_original!N51),cash_original!N51/100000000,cash_original!N51)</f>
        <v>--</v>
      </c>
      <c r="O51" s="4" t="str">
        <f>IF(ISNUMBER(cash_original!O51),cash_original!O51/100000000,cash_original!O51)</f>
        <v>--</v>
      </c>
      <c r="P51" s="4" t="str">
        <f>IF(ISNUMBER(cash_original!P51),cash_original!P51/100000000,cash_original!P51)</f>
        <v>--</v>
      </c>
      <c r="Q51" s="4" t="str">
        <f>IF(ISNUMBER(cash_original!Q51),cash_original!Q51/100000000,cash_original!Q51)</f>
        <v>--</v>
      </c>
      <c r="R51" s="4" t="str">
        <f>IF(ISNUMBER(cash_original!R51),cash_original!R51/100000000,cash_original!R51)</f>
        <v>--</v>
      </c>
      <c r="S51" s="4" t="str">
        <f>IF(ISNUMBER(cash_original!S51),cash_original!S51/100000000,cash_original!S51)</f>
        <v>--</v>
      </c>
      <c r="T51" s="4" t="str">
        <f>IF(ISNUMBER(cash_original!T51),cash_original!T51/100000000,cash_original!T51)</f>
        <v>--</v>
      </c>
      <c r="U51" s="4" t="str">
        <f>IF(ISNUMBER(cash_original!U51),cash_original!U51/100000000,cash_original!U51)</f>
        <v>--</v>
      </c>
      <c r="V51" s="4" t="str">
        <f>IF(ISNUMBER(cash_original!V51),cash_original!V51/100000000,cash_original!V51)</f>
        <v>--</v>
      </c>
      <c r="W51" s="4" t="str">
        <f>IF(ISNUMBER(cash_original!W51),cash_original!W51/100000000,cash_original!W51)</f>
        <v>--</v>
      </c>
      <c r="X51" s="4" t="str">
        <f>IF(ISNUMBER(cash_original!X51),cash_original!X51/100000000,cash_original!X51)</f>
        <v>--</v>
      </c>
      <c r="Y51" s="4" t="str">
        <f>IF(ISNUMBER(cash_original!Y51),cash_original!Y51/100000000,cash_original!Y51)</f>
        <v>--</v>
      </c>
      <c r="Z51" s="4" t="str">
        <f>IF(ISNUMBER(cash_original!Z51),cash_original!Z51/100000000,cash_original!Z51)</f>
        <v>--</v>
      </c>
      <c r="AA51" s="4" t="str">
        <f>IF(ISNUMBER(cash_original!AA51),cash_original!AA51/100000000,cash_original!AA51)</f>
        <v>--</v>
      </c>
      <c r="AB51" s="4" t="str">
        <f>IF(ISNUMBER(cash_original!AB51),cash_original!AB51/100000000,cash_original!AB51)</f>
        <v>--</v>
      </c>
      <c r="AC51" s="4" t="str">
        <f>IF(ISNUMBER(cash_original!AC51),cash_original!AC51/100000000,cash_original!AC51)</f>
        <v>--</v>
      </c>
      <c r="AD51" s="4" t="str">
        <f>IF(ISNUMBER(cash_original!AD51),cash_original!AD51/100000000,cash_original!AD51)</f>
        <v>--</v>
      </c>
      <c r="AE51" s="4" t="str">
        <f>IF(ISNUMBER(cash_original!AE51),cash_original!AE51/100000000,cash_original!AE51)</f>
        <v>--</v>
      </c>
      <c r="AF51" s="4" t="str">
        <f>IF(ISNUMBER(cash_original!AF51),cash_original!AF51/100000000,cash_original!AF51)</f>
        <v>--</v>
      </c>
      <c r="AG51" s="4" t="str">
        <f>IF(ISNUMBER(cash_original!AG51),cash_original!AG51/100000000,cash_original!AG51)</f>
        <v>--</v>
      </c>
      <c r="AH51" s="4" t="str">
        <f>IF(ISNUMBER(cash_original!AH51),cash_original!AH51/100000000,cash_original!AH51)</f>
        <v>--</v>
      </c>
      <c r="AI51" s="4" t="str">
        <f>IF(ISNUMBER(cash_original!AI51),cash_original!AI51/100000000,cash_original!AI51)</f>
        <v>--</v>
      </c>
      <c r="AJ51" s="4" t="str">
        <f>IF(ISNUMBER(cash_original!AJ51),cash_original!AJ51/100000000,cash_original!AJ51)</f>
        <v>--</v>
      </c>
      <c r="AK51" s="4" t="str">
        <f>IF(ISNUMBER(cash_original!AK51),cash_original!AK51/100000000,cash_original!AK51)</f>
        <v>--</v>
      </c>
      <c r="AL51" s="4" t="str">
        <f>IF(ISNUMBER(cash_original!AL51),cash_original!AL51/100000000,cash_original!AL51)</f>
        <v>--</v>
      </c>
      <c r="AM51" s="4" t="str">
        <f>IF(ISNUMBER(cash_original!AM51),cash_original!AM51/100000000,cash_original!AM51)</f>
        <v>--</v>
      </c>
      <c r="AN51" s="4" t="str">
        <f>IF(ISNUMBER(cash_original!AN51),cash_original!AN51/100000000,cash_original!AN51)</f>
        <v>--</v>
      </c>
      <c r="AO51" s="4" t="str">
        <f>IF(ISNUMBER(cash_original!AO51),cash_original!AO51/100000000,cash_original!AO51)</f>
        <v>--</v>
      </c>
      <c r="AP51" s="4" t="str">
        <f>IF(ISNUMBER(cash_original!AP51),cash_original!AP51/100000000,cash_original!AP51)</f>
        <v>--</v>
      </c>
      <c r="AQ51" s="4" t="str">
        <f>IF(ISNUMBER(cash_original!AQ51),cash_original!AQ51/100000000,cash_original!AQ51)</f>
        <v>--</v>
      </c>
      <c r="AR51" s="4" t="str">
        <f>IF(ISNUMBER(cash_original!AR51),cash_original!AR51/100000000,cash_original!AR51)</f>
        <v>--</v>
      </c>
      <c r="AS51" s="4" t="str">
        <f>IF(ISNUMBER(cash_original!AS51),cash_original!AS51/100000000,cash_original!AS51)</f>
        <v>--</v>
      </c>
      <c r="AT51" s="4" t="str">
        <f>IF(ISNUMBER(cash_original!AT51),cash_original!AT51/100000000,cash_original!AT51)</f>
        <v>--</v>
      </c>
      <c r="AU51" s="4" t="str">
        <f>IF(ISNUMBER(cash_original!AU51),cash_original!AU51/100000000,cash_original!AU51)</f>
        <v>--</v>
      </c>
      <c r="AV51" s="3" t="s">
        <v>133</v>
      </c>
      <c r="AW51" s="3" t="s">
        <v>133</v>
      </c>
      <c r="AX51" s="3" t="s">
        <v>133</v>
      </c>
      <c r="AY51" s="3" t="s">
        <v>133</v>
      </c>
      <c r="AZ51" s="3" t="s">
        <v>133</v>
      </c>
      <c r="BA51" s="3" t="s">
        <v>133</v>
      </c>
      <c r="BB51" s="3" t="s">
        <v>133</v>
      </c>
      <c r="BC51" s="3" t="s">
        <v>133</v>
      </c>
      <c r="BD51" s="3" t="s">
        <v>133</v>
      </c>
      <c r="BE51" s="3" t="s">
        <v>133</v>
      </c>
      <c r="BF51" s="3" t="s">
        <v>133</v>
      </c>
      <c r="BG51" s="3" t="s">
        <v>133</v>
      </c>
      <c r="BH51" s="3" t="s">
        <v>133</v>
      </c>
      <c r="BI51" s="3">
        <v>-18038700</v>
      </c>
      <c r="BJ51" s="3">
        <v>-6118000</v>
      </c>
      <c r="BK51" s="3">
        <v>-4361000</v>
      </c>
      <c r="BL51" s="3">
        <v>-3746900</v>
      </c>
      <c r="BM51" s="3">
        <v>-3041000</v>
      </c>
      <c r="BN51" s="3">
        <v>-12348200</v>
      </c>
      <c r="BO51" s="3">
        <v>-3211400</v>
      </c>
      <c r="BP51" s="3">
        <v>-6747400</v>
      </c>
      <c r="BQ51" s="3">
        <v>-3927200</v>
      </c>
      <c r="BR51" s="3">
        <v>-7752000</v>
      </c>
      <c r="BS51" s="3">
        <v>-2182700</v>
      </c>
      <c r="BT51" s="3">
        <v>-2188400</v>
      </c>
    </row>
    <row r="52" spans="1:72" x14ac:dyDescent="0.25">
      <c r="A52" s="3" t="s">
        <v>206</v>
      </c>
      <c r="B52" s="4" t="str">
        <f>IF(ISNUMBER(cash_original!B52),cash_original!B52/100000000,cash_original!B52)</f>
        <v>--</v>
      </c>
      <c r="C52" s="4" t="str">
        <f>IF(ISNUMBER(cash_original!C52),cash_original!C52/100000000,cash_original!C52)</f>
        <v>--</v>
      </c>
      <c r="D52" s="4" t="str">
        <f>IF(ISNUMBER(cash_original!D52),cash_original!D52/100000000,cash_original!D52)</f>
        <v>--</v>
      </c>
      <c r="E52" s="4" t="str">
        <f>IF(ISNUMBER(cash_original!E52),cash_original!E52/100000000,cash_original!E52)</f>
        <v>--</v>
      </c>
      <c r="F52" s="4" t="str">
        <f>IF(ISNUMBER(cash_original!F52),cash_original!F52/100000000,cash_original!F52)</f>
        <v>--</v>
      </c>
      <c r="G52" s="4" t="str">
        <f>IF(ISNUMBER(cash_original!G52),cash_original!G52/100000000,cash_original!G52)</f>
        <v>--</v>
      </c>
      <c r="H52" s="4" t="str">
        <f>IF(ISNUMBER(cash_original!H52),cash_original!H52/100000000,cash_original!H52)</f>
        <v>--</v>
      </c>
      <c r="I52" s="4" t="str">
        <f>IF(ISNUMBER(cash_original!I52),cash_original!I52/100000000,cash_original!I52)</f>
        <v>--</v>
      </c>
      <c r="J52" s="4" t="str">
        <f>IF(ISNUMBER(cash_original!J52),cash_original!J52/100000000,cash_original!J52)</f>
        <v>--</v>
      </c>
      <c r="K52" s="4" t="str">
        <f>IF(ISNUMBER(cash_original!K52),cash_original!K52/100000000,cash_original!K52)</f>
        <v>--</v>
      </c>
      <c r="L52" s="4" t="str">
        <f>IF(ISNUMBER(cash_original!L52),cash_original!L52/100000000,cash_original!L52)</f>
        <v>--</v>
      </c>
      <c r="M52" s="4" t="str">
        <f>IF(ISNUMBER(cash_original!M52),cash_original!M52/100000000,cash_original!M52)</f>
        <v>--</v>
      </c>
      <c r="N52" s="4" t="str">
        <f>IF(ISNUMBER(cash_original!N52),cash_original!N52/100000000,cash_original!N52)</f>
        <v>--</v>
      </c>
      <c r="O52" s="4" t="str">
        <f>IF(ISNUMBER(cash_original!O52),cash_original!O52/100000000,cash_original!O52)</f>
        <v>--</v>
      </c>
      <c r="P52" s="4" t="str">
        <f>IF(ISNUMBER(cash_original!P52),cash_original!P52/100000000,cash_original!P52)</f>
        <v>--</v>
      </c>
      <c r="Q52" s="4" t="str">
        <f>IF(ISNUMBER(cash_original!Q52),cash_original!Q52/100000000,cash_original!Q52)</f>
        <v>--</v>
      </c>
      <c r="R52" s="4" t="str">
        <f>IF(ISNUMBER(cash_original!R52),cash_original!R52/100000000,cash_original!R52)</f>
        <v>--</v>
      </c>
      <c r="S52" s="4" t="str">
        <f>IF(ISNUMBER(cash_original!S52),cash_original!S52/100000000,cash_original!S52)</f>
        <v>--</v>
      </c>
      <c r="T52" s="4" t="str">
        <f>IF(ISNUMBER(cash_original!T52),cash_original!T52/100000000,cash_original!T52)</f>
        <v>--</v>
      </c>
      <c r="U52" s="4" t="str">
        <f>IF(ISNUMBER(cash_original!U52),cash_original!U52/100000000,cash_original!U52)</f>
        <v>--</v>
      </c>
      <c r="V52" s="4" t="str">
        <f>IF(ISNUMBER(cash_original!V52),cash_original!V52/100000000,cash_original!V52)</f>
        <v>--</v>
      </c>
      <c r="W52" s="4" t="str">
        <f>IF(ISNUMBER(cash_original!W52),cash_original!W52/100000000,cash_original!W52)</f>
        <v>--</v>
      </c>
      <c r="X52" s="4" t="str">
        <f>IF(ISNUMBER(cash_original!X52),cash_original!X52/100000000,cash_original!X52)</f>
        <v>--</v>
      </c>
      <c r="Y52" s="4" t="str">
        <f>IF(ISNUMBER(cash_original!Y52),cash_original!Y52/100000000,cash_original!Y52)</f>
        <v>--</v>
      </c>
      <c r="Z52" s="4" t="str">
        <f>IF(ISNUMBER(cash_original!Z52),cash_original!Z52/100000000,cash_original!Z52)</f>
        <v>--</v>
      </c>
      <c r="AA52" s="4" t="str">
        <f>IF(ISNUMBER(cash_original!AA52),cash_original!AA52/100000000,cash_original!AA52)</f>
        <v>--</v>
      </c>
      <c r="AB52" s="4" t="str">
        <f>IF(ISNUMBER(cash_original!AB52),cash_original!AB52/100000000,cash_original!AB52)</f>
        <v>--</v>
      </c>
      <c r="AC52" s="4" t="str">
        <f>IF(ISNUMBER(cash_original!AC52),cash_original!AC52/100000000,cash_original!AC52)</f>
        <v>--</v>
      </c>
      <c r="AD52" s="4" t="str">
        <f>IF(ISNUMBER(cash_original!AD52),cash_original!AD52/100000000,cash_original!AD52)</f>
        <v>--</v>
      </c>
      <c r="AE52" s="4" t="str">
        <f>IF(ISNUMBER(cash_original!AE52),cash_original!AE52/100000000,cash_original!AE52)</f>
        <v>--</v>
      </c>
      <c r="AF52" s="4" t="str">
        <f>IF(ISNUMBER(cash_original!AF52),cash_original!AF52/100000000,cash_original!AF52)</f>
        <v>--</v>
      </c>
      <c r="AG52" s="4" t="str">
        <f>IF(ISNUMBER(cash_original!AG52),cash_original!AG52/100000000,cash_original!AG52)</f>
        <v>--</v>
      </c>
      <c r="AH52" s="4" t="str">
        <f>IF(ISNUMBER(cash_original!AH52),cash_original!AH52/100000000,cash_original!AH52)</f>
        <v>--</v>
      </c>
      <c r="AI52" s="4" t="str">
        <f>IF(ISNUMBER(cash_original!AI52),cash_original!AI52/100000000,cash_original!AI52)</f>
        <v>--</v>
      </c>
      <c r="AJ52" s="4" t="str">
        <f>IF(ISNUMBER(cash_original!AJ52),cash_original!AJ52/100000000,cash_original!AJ52)</f>
        <v>--</v>
      </c>
      <c r="AK52" s="4" t="str">
        <f>IF(ISNUMBER(cash_original!AK52),cash_original!AK52/100000000,cash_original!AK52)</f>
        <v>--</v>
      </c>
      <c r="AL52" s="4" t="str">
        <f>IF(ISNUMBER(cash_original!AL52),cash_original!AL52/100000000,cash_original!AL52)</f>
        <v>--</v>
      </c>
      <c r="AM52" s="4" t="str">
        <f>IF(ISNUMBER(cash_original!AM52),cash_original!AM52/100000000,cash_original!AM52)</f>
        <v>--</v>
      </c>
      <c r="AN52" s="4" t="str">
        <f>IF(ISNUMBER(cash_original!AN52),cash_original!AN52/100000000,cash_original!AN52)</f>
        <v>--</v>
      </c>
      <c r="AO52" s="4" t="str">
        <f>IF(ISNUMBER(cash_original!AO52),cash_original!AO52/100000000,cash_original!AO52)</f>
        <v>--</v>
      </c>
      <c r="AP52" s="4" t="str">
        <f>IF(ISNUMBER(cash_original!AP52),cash_original!AP52/100000000,cash_original!AP52)</f>
        <v>--</v>
      </c>
      <c r="AQ52" s="4" t="str">
        <f>IF(ISNUMBER(cash_original!AQ52),cash_original!AQ52/100000000,cash_original!AQ52)</f>
        <v>--</v>
      </c>
      <c r="AR52" s="4" t="str">
        <f>IF(ISNUMBER(cash_original!AR52),cash_original!AR52/100000000,cash_original!AR52)</f>
        <v>--</v>
      </c>
      <c r="AS52" s="4" t="str">
        <f>IF(ISNUMBER(cash_original!AS52),cash_original!AS52/100000000,cash_original!AS52)</f>
        <v>--</v>
      </c>
      <c r="AT52" s="4" t="str">
        <f>IF(ISNUMBER(cash_original!AT52),cash_original!AT52/100000000,cash_original!AT52)</f>
        <v>--</v>
      </c>
      <c r="AU52" s="4" t="str">
        <f>IF(ISNUMBER(cash_original!AU52),cash_original!AU52/100000000,cash_original!AU52)</f>
        <v>--</v>
      </c>
      <c r="AV52" s="3" t="s">
        <v>133</v>
      </c>
      <c r="AW52" s="3" t="s">
        <v>133</v>
      </c>
      <c r="AX52" s="3" t="s">
        <v>133</v>
      </c>
      <c r="AY52" s="3" t="s">
        <v>133</v>
      </c>
      <c r="AZ52" s="3" t="s">
        <v>133</v>
      </c>
      <c r="BA52" s="3" t="s">
        <v>133</v>
      </c>
      <c r="BB52" s="3" t="s">
        <v>133</v>
      </c>
      <c r="BC52" s="3" t="s">
        <v>133</v>
      </c>
      <c r="BD52" s="3" t="s">
        <v>133</v>
      </c>
      <c r="BE52" s="3" t="s">
        <v>133</v>
      </c>
      <c r="BF52" s="3" t="s">
        <v>133</v>
      </c>
      <c r="BG52" s="3" t="s">
        <v>133</v>
      </c>
      <c r="BH52" s="3" t="s">
        <v>133</v>
      </c>
      <c r="BI52" s="3">
        <v>-404200</v>
      </c>
      <c r="BJ52" s="3" t="s">
        <v>133</v>
      </c>
      <c r="BK52" s="3">
        <v>-211400</v>
      </c>
      <c r="BL52" s="3">
        <v>187700</v>
      </c>
      <c r="BM52" s="3" t="s">
        <v>133</v>
      </c>
      <c r="BN52" s="3" t="s">
        <v>133</v>
      </c>
      <c r="BO52" s="3" t="s">
        <v>133</v>
      </c>
      <c r="BP52" s="3" t="s">
        <v>133</v>
      </c>
      <c r="BQ52" s="3" t="s">
        <v>133</v>
      </c>
      <c r="BR52" s="3" t="s">
        <v>133</v>
      </c>
      <c r="BS52" s="3" t="s">
        <v>133</v>
      </c>
      <c r="BT52" s="3" t="s">
        <v>133</v>
      </c>
    </row>
    <row r="53" spans="1:72" x14ac:dyDescent="0.25">
      <c r="A53" s="3" t="s">
        <v>207</v>
      </c>
      <c r="B53" s="4" t="str">
        <f>IF(ISNUMBER(cash_original!B53),cash_original!B53/100000000,cash_original!B53)</f>
        <v>--</v>
      </c>
      <c r="C53" s="4" t="str">
        <f>IF(ISNUMBER(cash_original!C53),cash_original!C53/100000000,cash_original!C53)</f>
        <v>--</v>
      </c>
      <c r="D53" s="4" t="str">
        <f>IF(ISNUMBER(cash_original!D53),cash_original!D53/100000000,cash_original!D53)</f>
        <v>--</v>
      </c>
      <c r="E53" s="4" t="str">
        <f>IF(ISNUMBER(cash_original!E53),cash_original!E53/100000000,cash_original!E53)</f>
        <v>--</v>
      </c>
      <c r="F53" s="4" t="str">
        <f>IF(ISNUMBER(cash_original!F53),cash_original!F53/100000000,cash_original!F53)</f>
        <v>--</v>
      </c>
      <c r="G53" s="4" t="str">
        <f>IF(ISNUMBER(cash_original!G53),cash_original!G53/100000000,cash_original!G53)</f>
        <v>--</v>
      </c>
      <c r="H53" s="4" t="str">
        <f>IF(ISNUMBER(cash_original!H53),cash_original!H53/100000000,cash_original!H53)</f>
        <v>--</v>
      </c>
      <c r="I53" s="4" t="str">
        <f>IF(ISNUMBER(cash_original!I53),cash_original!I53/100000000,cash_original!I53)</f>
        <v>--</v>
      </c>
      <c r="J53" s="4" t="str">
        <f>IF(ISNUMBER(cash_original!J53),cash_original!J53/100000000,cash_original!J53)</f>
        <v>--</v>
      </c>
      <c r="K53" s="4" t="str">
        <f>IF(ISNUMBER(cash_original!K53),cash_original!K53/100000000,cash_original!K53)</f>
        <v>--</v>
      </c>
      <c r="L53" s="4" t="str">
        <f>IF(ISNUMBER(cash_original!L53),cash_original!L53/100000000,cash_original!L53)</f>
        <v>--</v>
      </c>
      <c r="M53" s="4" t="str">
        <f>IF(ISNUMBER(cash_original!M53),cash_original!M53/100000000,cash_original!M53)</f>
        <v>--</v>
      </c>
      <c r="N53" s="4" t="str">
        <f>IF(ISNUMBER(cash_original!N53),cash_original!N53/100000000,cash_original!N53)</f>
        <v>--</v>
      </c>
      <c r="O53" s="4" t="str">
        <f>IF(ISNUMBER(cash_original!O53),cash_original!O53/100000000,cash_original!O53)</f>
        <v>--</v>
      </c>
      <c r="P53" s="4" t="str">
        <f>IF(ISNUMBER(cash_original!P53),cash_original!P53/100000000,cash_original!P53)</f>
        <v>--</v>
      </c>
      <c r="Q53" s="4" t="str">
        <f>IF(ISNUMBER(cash_original!Q53),cash_original!Q53/100000000,cash_original!Q53)</f>
        <v>--</v>
      </c>
      <c r="R53" s="4" t="str">
        <f>IF(ISNUMBER(cash_original!R53),cash_original!R53/100000000,cash_original!R53)</f>
        <v>--</v>
      </c>
      <c r="S53" s="4" t="str">
        <f>IF(ISNUMBER(cash_original!S53),cash_original!S53/100000000,cash_original!S53)</f>
        <v>--</v>
      </c>
      <c r="T53" s="4" t="str">
        <f>IF(ISNUMBER(cash_original!T53),cash_original!T53/100000000,cash_original!T53)</f>
        <v>--</v>
      </c>
      <c r="U53" s="4" t="str">
        <f>IF(ISNUMBER(cash_original!U53),cash_original!U53/100000000,cash_original!U53)</f>
        <v>--</v>
      </c>
      <c r="V53" s="4" t="str">
        <f>IF(ISNUMBER(cash_original!V53),cash_original!V53/100000000,cash_original!V53)</f>
        <v>--</v>
      </c>
      <c r="W53" s="4" t="str">
        <f>IF(ISNUMBER(cash_original!W53),cash_original!W53/100000000,cash_original!W53)</f>
        <v>--</v>
      </c>
      <c r="X53" s="4" t="str">
        <f>IF(ISNUMBER(cash_original!X53),cash_original!X53/100000000,cash_original!X53)</f>
        <v>--</v>
      </c>
      <c r="Y53" s="4" t="str">
        <f>IF(ISNUMBER(cash_original!Y53),cash_original!Y53/100000000,cash_original!Y53)</f>
        <v>--</v>
      </c>
      <c r="Z53" s="4" t="str">
        <f>IF(ISNUMBER(cash_original!Z53),cash_original!Z53/100000000,cash_original!Z53)</f>
        <v>--</v>
      </c>
      <c r="AA53" s="4" t="str">
        <f>IF(ISNUMBER(cash_original!AA53),cash_original!AA53/100000000,cash_original!AA53)</f>
        <v>--</v>
      </c>
      <c r="AB53" s="4" t="str">
        <f>IF(ISNUMBER(cash_original!AB53),cash_original!AB53/100000000,cash_original!AB53)</f>
        <v>--</v>
      </c>
      <c r="AC53" s="4" t="str">
        <f>IF(ISNUMBER(cash_original!AC53),cash_original!AC53/100000000,cash_original!AC53)</f>
        <v>--</v>
      </c>
      <c r="AD53" s="4" t="str">
        <f>IF(ISNUMBER(cash_original!AD53),cash_original!AD53/100000000,cash_original!AD53)</f>
        <v>--</v>
      </c>
      <c r="AE53" s="4" t="str">
        <f>IF(ISNUMBER(cash_original!AE53),cash_original!AE53/100000000,cash_original!AE53)</f>
        <v>--</v>
      </c>
      <c r="AF53" s="4" t="str">
        <f>IF(ISNUMBER(cash_original!AF53),cash_original!AF53/100000000,cash_original!AF53)</f>
        <v>--</v>
      </c>
      <c r="AG53" s="4" t="str">
        <f>IF(ISNUMBER(cash_original!AG53),cash_original!AG53/100000000,cash_original!AG53)</f>
        <v>--</v>
      </c>
      <c r="AH53" s="4" t="str">
        <f>IF(ISNUMBER(cash_original!AH53),cash_original!AH53/100000000,cash_original!AH53)</f>
        <v>--</v>
      </c>
      <c r="AI53" s="4" t="str">
        <f>IF(ISNUMBER(cash_original!AI53),cash_original!AI53/100000000,cash_original!AI53)</f>
        <v>--</v>
      </c>
      <c r="AJ53" s="4" t="str">
        <f>IF(ISNUMBER(cash_original!AJ53),cash_original!AJ53/100000000,cash_original!AJ53)</f>
        <v>--</v>
      </c>
      <c r="AK53" s="4" t="str">
        <f>IF(ISNUMBER(cash_original!AK53),cash_original!AK53/100000000,cash_original!AK53)</f>
        <v>--</v>
      </c>
      <c r="AL53" s="4" t="str">
        <f>IF(ISNUMBER(cash_original!AL53),cash_original!AL53/100000000,cash_original!AL53)</f>
        <v>--</v>
      </c>
      <c r="AM53" s="4" t="str">
        <f>IF(ISNUMBER(cash_original!AM53),cash_original!AM53/100000000,cash_original!AM53)</f>
        <v>--</v>
      </c>
      <c r="AN53" s="4" t="str">
        <f>IF(ISNUMBER(cash_original!AN53),cash_original!AN53/100000000,cash_original!AN53)</f>
        <v>--</v>
      </c>
      <c r="AO53" s="4" t="str">
        <f>IF(ISNUMBER(cash_original!AO53),cash_original!AO53/100000000,cash_original!AO53)</f>
        <v>--</v>
      </c>
      <c r="AP53" s="4" t="str">
        <f>IF(ISNUMBER(cash_original!AP53),cash_original!AP53/100000000,cash_original!AP53)</f>
        <v>--</v>
      </c>
      <c r="AQ53" s="4" t="str">
        <f>IF(ISNUMBER(cash_original!AQ53),cash_original!AQ53/100000000,cash_original!AQ53)</f>
        <v>--</v>
      </c>
      <c r="AR53" s="4" t="str">
        <f>IF(ISNUMBER(cash_original!AR53),cash_original!AR53/100000000,cash_original!AR53)</f>
        <v>--</v>
      </c>
      <c r="AS53" s="4" t="str">
        <f>IF(ISNUMBER(cash_original!AS53),cash_original!AS53/100000000,cash_original!AS53)</f>
        <v>--</v>
      </c>
      <c r="AT53" s="4" t="str">
        <f>IF(ISNUMBER(cash_original!AT53),cash_original!AT53/100000000,cash_original!AT53)</f>
        <v>--</v>
      </c>
      <c r="AU53" s="4" t="str">
        <f>IF(ISNUMBER(cash_original!AU53),cash_original!AU53/100000000,cash_original!AU53)</f>
        <v>--</v>
      </c>
      <c r="AV53" s="3" t="s">
        <v>133</v>
      </c>
      <c r="AW53" s="3" t="s">
        <v>133</v>
      </c>
      <c r="AX53" s="3" t="s">
        <v>133</v>
      </c>
      <c r="AY53" s="3" t="s">
        <v>133</v>
      </c>
      <c r="AZ53" s="3" t="s">
        <v>133</v>
      </c>
      <c r="BA53" s="3" t="s">
        <v>133</v>
      </c>
      <c r="BB53" s="3" t="s">
        <v>133</v>
      </c>
      <c r="BC53" s="3" t="s">
        <v>133</v>
      </c>
      <c r="BD53" s="3" t="s">
        <v>133</v>
      </c>
      <c r="BE53" s="3" t="s">
        <v>133</v>
      </c>
      <c r="BF53" s="3" t="s">
        <v>133</v>
      </c>
      <c r="BG53" s="3" t="s">
        <v>133</v>
      </c>
      <c r="BH53" s="3" t="s">
        <v>133</v>
      </c>
      <c r="BI53" s="3" t="s">
        <v>133</v>
      </c>
      <c r="BJ53" s="3" t="s">
        <v>133</v>
      </c>
      <c r="BK53" s="3" t="s">
        <v>133</v>
      </c>
      <c r="BL53" s="3" t="s">
        <v>133</v>
      </c>
      <c r="BM53" s="3" t="s">
        <v>133</v>
      </c>
      <c r="BN53" s="3" t="s">
        <v>133</v>
      </c>
      <c r="BO53" s="3" t="s">
        <v>133</v>
      </c>
      <c r="BP53" s="3" t="s">
        <v>133</v>
      </c>
      <c r="BQ53" s="3" t="s">
        <v>133</v>
      </c>
      <c r="BR53" s="3" t="s">
        <v>133</v>
      </c>
      <c r="BS53" s="3" t="s">
        <v>133</v>
      </c>
      <c r="BT53" s="3" t="s">
        <v>133</v>
      </c>
    </row>
    <row r="54" spans="1:72" x14ac:dyDescent="0.25">
      <c r="A54" s="3" t="s">
        <v>208</v>
      </c>
      <c r="B54" s="4" t="str">
        <f>IF(ISNUMBER(cash_original!B54),cash_original!B54/100000000,cash_original!B54)</f>
        <v>--</v>
      </c>
      <c r="C54" s="4" t="str">
        <f>IF(ISNUMBER(cash_original!C54),cash_original!C54/100000000,cash_original!C54)</f>
        <v>--</v>
      </c>
      <c r="D54" s="4" t="str">
        <f>IF(ISNUMBER(cash_original!D54),cash_original!D54/100000000,cash_original!D54)</f>
        <v>--</v>
      </c>
      <c r="E54" s="4" t="str">
        <f>IF(ISNUMBER(cash_original!E54),cash_original!E54/100000000,cash_original!E54)</f>
        <v>--</v>
      </c>
      <c r="F54" s="4" t="str">
        <f>IF(ISNUMBER(cash_original!F54),cash_original!F54/100000000,cash_original!F54)</f>
        <v>--</v>
      </c>
      <c r="G54" s="4" t="str">
        <f>IF(ISNUMBER(cash_original!G54),cash_original!G54/100000000,cash_original!G54)</f>
        <v>--</v>
      </c>
      <c r="H54" s="4" t="str">
        <f>IF(ISNUMBER(cash_original!H54),cash_original!H54/100000000,cash_original!H54)</f>
        <v>--</v>
      </c>
      <c r="I54" s="4" t="str">
        <f>IF(ISNUMBER(cash_original!I54),cash_original!I54/100000000,cash_original!I54)</f>
        <v>--</v>
      </c>
      <c r="J54" s="4" t="str">
        <f>IF(ISNUMBER(cash_original!J54),cash_original!J54/100000000,cash_original!J54)</f>
        <v>--</v>
      </c>
      <c r="K54" s="4" t="str">
        <f>IF(ISNUMBER(cash_original!K54),cash_original!K54/100000000,cash_original!K54)</f>
        <v>--</v>
      </c>
      <c r="L54" s="4" t="str">
        <f>IF(ISNUMBER(cash_original!L54),cash_original!L54/100000000,cash_original!L54)</f>
        <v>--</v>
      </c>
      <c r="M54" s="4" t="str">
        <f>IF(ISNUMBER(cash_original!M54),cash_original!M54/100000000,cash_original!M54)</f>
        <v>--</v>
      </c>
      <c r="N54" s="4" t="str">
        <f>IF(ISNUMBER(cash_original!N54),cash_original!N54/100000000,cash_original!N54)</f>
        <v>--</v>
      </c>
      <c r="O54" s="4" t="str">
        <f>IF(ISNUMBER(cash_original!O54),cash_original!O54/100000000,cash_original!O54)</f>
        <v>--</v>
      </c>
      <c r="P54" s="4" t="str">
        <f>IF(ISNUMBER(cash_original!P54),cash_original!P54/100000000,cash_original!P54)</f>
        <v>--</v>
      </c>
      <c r="Q54" s="4" t="str">
        <f>IF(ISNUMBER(cash_original!Q54),cash_original!Q54/100000000,cash_original!Q54)</f>
        <v>--</v>
      </c>
      <c r="R54" s="4" t="str">
        <f>IF(ISNUMBER(cash_original!R54),cash_original!R54/100000000,cash_original!R54)</f>
        <v>--</v>
      </c>
      <c r="S54" s="4" t="str">
        <f>IF(ISNUMBER(cash_original!S54),cash_original!S54/100000000,cash_original!S54)</f>
        <v>--</v>
      </c>
      <c r="T54" s="4" t="str">
        <f>IF(ISNUMBER(cash_original!T54),cash_original!T54/100000000,cash_original!T54)</f>
        <v>--</v>
      </c>
      <c r="U54" s="4" t="str">
        <f>IF(ISNUMBER(cash_original!U54),cash_original!U54/100000000,cash_original!U54)</f>
        <v>--</v>
      </c>
      <c r="V54" s="4" t="str">
        <f>IF(ISNUMBER(cash_original!V54),cash_original!V54/100000000,cash_original!V54)</f>
        <v>--</v>
      </c>
      <c r="W54" s="4" t="str">
        <f>IF(ISNUMBER(cash_original!W54),cash_original!W54/100000000,cash_original!W54)</f>
        <v>--</v>
      </c>
      <c r="X54" s="4" t="str">
        <f>IF(ISNUMBER(cash_original!X54),cash_original!X54/100000000,cash_original!X54)</f>
        <v>--</v>
      </c>
      <c r="Y54" s="4" t="str">
        <f>IF(ISNUMBER(cash_original!Y54),cash_original!Y54/100000000,cash_original!Y54)</f>
        <v>--</v>
      </c>
      <c r="Z54" s="4" t="str">
        <f>IF(ISNUMBER(cash_original!Z54),cash_original!Z54/100000000,cash_original!Z54)</f>
        <v>--</v>
      </c>
      <c r="AA54" s="4" t="str">
        <f>IF(ISNUMBER(cash_original!AA54),cash_original!AA54/100000000,cash_original!AA54)</f>
        <v>--</v>
      </c>
      <c r="AB54" s="4" t="str">
        <f>IF(ISNUMBER(cash_original!AB54),cash_original!AB54/100000000,cash_original!AB54)</f>
        <v>--</v>
      </c>
      <c r="AC54" s="4" t="str">
        <f>IF(ISNUMBER(cash_original!AC54),cash_original!AC54/100000000,cash_original!AC54)</f>
        <v>--</v>
      </c>
      <c r="AD54" s="4" t="str">
        <f>IF(ISNUMBER(cash_original!AD54),cash_original!AD54/100000000,cash_original!AD54)</f>
        <v>--</v>
      </c>
      <c r="AE54" s="4" t="str">
        <f>IF(ISNUMBER(cash_original!AE54),cash_original!AE54/100000000,cash_original!AE54)</f>
        <v>--</v>
      </c>
      <c r="AF54" s="4" t="str">
        <f>IF(ISNUMBER(cash_original!AF54),cash_original!AF54/100000000,cash_original!AF54)</f>
        <v>--</v>
      </c>
      <c r="AG54" s="4" t="str">
        <f>IF(ISNUMBER(cash_original!AG54),cash_original!AG54/100000000,cash_original!AG54)</f>
        <v>--</v>
      </c>
      <c r="AH54" s="4" t="str">
        <f>IF(ISNUMBER(cash_original!AH54),cash_original!AH54/100000000,cash_original!AH54)</f>
        <v>--</v>
      </c>
      <c r="AI54" s="4" t="str">
        <f>IF(ISNUMBER(cash_original!AI54),cash_original!AI54/100000000,cash_original!AI54)</f>
        <v>--</v>
      </c>
      <c r="AJ54" s="4" t="str">
        <f>IF(ISNUMBER(cash_original!AJ54),cash_original!AJ54/100000000,cash_original!AJ54)</f>
        <v>--</v>
      </c>
      <c r="AK54" s="4" t="str">
        <f>IF(ISNUMBER(cash_original!AK54),cash_original!AK54/100000000,cash_original!AK54)</f>
        <v>--</v>
      </c>
      <c r="AL54" s="4" t="str">
        <f>IF(ISNUMBER(cash_original!AL54),cash_original!AL54/100000000,cash_original!AL54)</f>
        <v>--</v>
      </c>
      <c r="AM54" s="4" t="str">
        <f>IF(ISNUMBER(cash_original!AM54),cash_original!AM54/100000000,cash_original!AM54)</f>
        <v>--</v>
      </c>
      <c r="AN54" s="4" t="str">
        <f>IF(ISNUMBER(cash_original!AN54),cash_original!AN54/100000000,cash_original!AN54)</f>
        <v>--</v>
      </c>
      <c r="AO54" s="4" t="str">
        <f>IF(ISNUMBER(cash_original!AO54),cash_original!AO54/100000000,cash_original!AO54)</f>
        <v>--</v>
      </c>
      <c r="AP54" s="4" t="str">
        <f>IF(ISNUMBER(cash_original!AP54),cash_original!AP54/100000000,cash_original!AP54)</f>
        <v>--</v>
      </c>
      <c r="AQ54" s="4" t="str">
        <f>IF(ISNUMBER(cash_original!AQ54),cash_original!AQ54/100000000,cash_original!AQ54)</f>
        <v>--</v>
      </c>
      <c r="AR54" s="4" t="str">
        <f>IF(ISNUMBER(cash_original!AR54),cash_original!AR54/100000000,cash_original!AR54)</f>
        <v>--</v>
      </c>
      <c r="AS54" s="4" t="str">
        <f>IF(ISNUMBER(cash_original!AS54),cash_original!AS54/100000000,cash_original!AS54)</f>
        <v>--</v>
      </c>
      <c r="AT54" s="4" t="str">
        <f>IF(ISNUMBER(cash_original!AT54),cash_original!AT54/100000000,cash_original!AT54)</f>
        <v>--</v>
      </c>
      <c r="AU54" s="4" t="str">
        <f>IF(ISNUMBER(cash_original!AU54),cash_original!AU54/100000000,cash_original!AU54)</f>
        <v>--</v>
      </c>
      <c r="AV54" s="3" t="s">
        <v>133</v>
      </c>
      <c r="AW54" s="3" t="s">
        <v>133</v>
      </c>
      <c r="AX54" s="3" t="s">
        <v>133</v>
      </c>
      <c r="AY54" s="3" t="s">
        <v>133</v>
      </c>
      <c r="AZ54" s="3" t="s">
        <v>133</v>
      </c>
      <c r="BA54" s="3" t="s">
        <v>133</v>
      </c>
      <c r="BB54" s="3" t="s">
        <v>133</v>
      </c>
      <c r="BC54" s="3" t="s">
        <v>133</v>
      </c>
      <c r="BD54" s="3" t="s">
        <v>133</v>
      </c>
      <c r="BE54" s="3" t="s">
        <v>133</v>
      </c>
      <c r="BF54" s="3" t="s">
        <v>133</v>
      </c>
      <c r="BG54" s="3" t="s">
        <v>133</v>
      </c>
      <c r="BH54" s="3" t="s">
        <v>133</v>
      </c>
      <c r="BI54" s="3" t="s">
        <v>133</v>
      </c>
      <c r="BJ54" s="3" t="s">
        <v>133</v>
      </c>
      <c r="BK54" s="3" t="s">
        <v>133</v>
      </c>
      <c r="BL54" s="3" t="s">
        <v>133</v>
      </c>
      <c r="BM54" s="3" t="s">
        <v>133</v>
      </c>
      <c r="BN54" s="3" t="s">
        <v>133</v>
      </c>
      <c r="BO54" s="3" t="s">
        <v>133</v>
      </c>
      <c r="BP54" s="3" t="s">
        <v>133</v>
      </c>
      <c r="BQ54" s="3" t="s">
        <v>133</v>
      </c>
      <c r="BR54" s="3" t="s">
        <v>133</v>
      </c>
      <c r="BS54" s="3" t="s">
        <v>133</v>
      </c>
      <c r="BT54" s="3" t="s">
        <v>133</v>
      </c>
    </row>
    <row r="55" spans="1:72" x14ac:dyDescent="0.25">
      <c r="A55" s="3" t="s">
        <v>209</v>
      </c>
      <c r="B55" s="4" t="str">
        <f>IF(ISNUMBER(cash_original!B55),cash_original!B55/100000000,cash_original!B55)</f>
        <v>--</v>
      </c>
      <c r="C55" s="4" t="str">
        <f>IF(ISNUMBER(cash_original!C55),cash_original!C55/100000000,cash_original!C55)</f>
        <v>--</v>
      </c>
      <c r="D55" s="4" t="str">
        <f>IF(ISNUMBER(cash_original!D55),cash_original!D55/100000000,cash_original!D55)</f>
        <v>--</v>
      </c>
      <c r="E55" s="4" t="str">
        <f>IF(ISNUMBER(cash_original!E55),cash_original!E55/100000000,cash_original!E55)</f>
        <v>--</v>
      </c>
      <c r="F55" s="4" t="str">
        <f>IF(ISNUMBER(cash_original!F55),cash_original!F55/100000000,cash_original!F55)</f>
        <v>--</v>
      </c>
      <c r="G55" s="4" t="str">
        <f>IF(ISNUMBER(cash_original!G55),cash_original!G55/100000000,cash_original!G55)</f>
        <v>--</v>
      </c>
      <c r="H55" s="4" t="str">
        <f>IF(ISNUMBER(cash_original!H55),cash_original!H55/100000000,cash_original!H55)</f>
        <v>--</v>
      </c>
      <c r="I55" s="4" t="str">
        <f>IF(ISNUMBER(cash_original!I55),cash_original!I55/100000000,cash_original!I55)</f>
        <v>--</v>
      </c>
      <c r="J55" s="4" t="str">
        <f>IF(ISNUMBER(cash_original!J55),cash_original!J55/100000000,cash_original!J55)</f>
        <v>--</v>
      </c>
      <c r="K55" s="4" t="str">
        <f>IF(ISNUMBER(cash_original!K55),cash_original!K55/100000000,cash_original!K55)</f>
        <v>--</v>
      </c>
      <c r="L55" s="4" t="str">
        <f>IF(ISNUMBER(cash_original!L55),cash_original!L55/100000000,cash_original!L55)</f>
        <v>--</v>
      </c>
      <c r="M55" s="4" t="str">
        <f>IF(ISNUMBER(cash_original!M55),cash_original!M55/100000000,cash_original!M55)</f>
        <v>--</v>
      </c>
      <c r="N55" s="4" t="str">
        <f>IF(ISNUMBER(cash_original!N55),cash_original!N55/100000000,cash_original!N55)</f>
        <v>--</v>
      </c>
      <c r="O55" s="4" t="str">
        <f>IF(ISNUMBER(cash_original!O55),cash_original!O55/100000000,cash_original!O55)</f>
        <v>--</v>
      </c>
      <c r="P55" s="4" t="str">
        <f>IF(ISNUMBER(cash_original!P55),cash_original!P55/100000000,cash_original!P55)</f>
        <v>--</v>
      </c>
      <c r="Q55" s="4" t="str">
        <f>IF(ISNUMBER(cash_original!Q55),cash_original!Q55/100000000,cash_original!Q55)</f>
        <v>--</v>
      </c>
      <c r="R55" s="4" t="str">
        <f>IF(ISNUMBER(cash_original!R55),cash_original!R55/100000000,cash_original!R55)</f>
        <v>--</v>
      </c>
      <c r="S55" s="4" t="str">
        <f>IF(ISNUMBER(cash_original!S55),cash_original!S55/100000000,cash_original!S55)</f>
        <v>--</v>
      </c>
      <c r="T55" s="4" t="str">
        <f>IF(ISNUMBER(cash_original!T55),cash_original!T55/100000000,cash_original!T55)</f>
        <v>--</v>
      </c>
      <c r="U55" s="4" t="str">
        <f>IF(ISNUMBER(cash_original!U55),cash_original!U55/100000000,cash_original!U55)</f>
        <v>--</v>
      </c>
      <c r="V55" s="4" t="str">
        <f>IF(ISNUMBER(cash_original!V55),cash_original!V55/100000000,cash_original!V55)</f>
        <v>--</v>
      </c>
      <c r="W55" s="4" t="str">
        <f>IF(ISNUMBER(cash_original!W55),cash_original!W55/100000000,cash_original!W55)</f>
        <v>--</v>
      </c>
      <c r="X55" s="4" t="str">
        <f>IF(ISNUMBER(cash_original!X55),cash_original!X55/100000000,cash_original!X55)</f>
        <v>--</v>
      </c>
      <c r="Y55" s="4" t="str">
        <f>IF(ISNUMBER(cash_original!Y55),cash_original!Y55/100000000,cash_original!Y55)</f>
        <v>--</v>
      </c>
      <c r="Z55" s="4" t="str">
        <f>IF(ISNUMBER(cash_original!Z55),cash_original!Z55/100000000,cash_original!Z55)</f>
        <v>--</v>
      </c>
      <c r="AA55" s="4" t="str">
        <f>IF(ISNUMBER(cash_original!AA55),cash_original!AA55/100000000,cash_original!AA55)</f>
        <v>--</v>
      </c>
      <c r="AB55" s="4" t="str">
        <f>IF(ISNUMBER(cash_original!AB55),cash_original!AB55/100000000,cash_original!AB55)</f>
        <v>--</v>
      </c>
      <c r="AC55" s="4" t="str">
        <f>IF(ISNUMBER(cash_original!AC55),cash_original!AC55/100000000,cash_original!AC55)</f>
        <v>--</v>
      </c>
      <c r="AD55" s="4" t="str">
        <f>IF(ISNUMBER(cash_original!AD55),cash_original!AD55/100000000,cash_original!AD55)</f>
        <v>--</v>
      </c>
      <c r="AE55" s="4" t="str">
        <f>IF(ISNUMBER(cash_original!AE55),cash_original!AE55/100000000,cash_original!AE55)</f>
        <v>--</v>
      </c>
      <c r="AF55" s="4" t="str">
        <f>IF(ISNUMBER(cash_original!AF55),cash_original!AF55/100000000,cash_original!AF55)</f>
        <v>--</v>
      </c>
      <c r="AG55" s="4" t="str">
        <f>IF(ISNUMBER(cash_original!AG55),cash_original!AG55/100000000,cash_original!AG55)</f>
        <v>--</v>
      </c>
      <c r="AH55" s="4" t="str">
        <f>IF(ISNUMBER(cash_original!AH55),cash_original!AH55/100000000,cash_original!AH55)</f>
        <v>--</v>
      </c>
      <c r="AI55" s="4" t="str">
        <f>IF(ISNUMBER(cash_original!AI55),cash_original!AI55/100000000,cash_original!AI55)</f>
        <v>--</v>
      </c>
      <c r="AJ55" s="4" t="str">
        <f>IF(ISNUMBER(cash_original!AJ55),cash_original!AJ55/100000000,cash_original!AJ55)</f>
        <v>--</v>
      </c>
      <c r="AK55" s="4" t="str">
        <f>IF(ISNUMBER(cash_original!AK55),cash_original!AK55/100000000,cash_original!AK55)</f>
        <v>--</v>
      </c>
      <c r="AL55" s="4" t="str">
        <f>IF(ISNUMBER(cash_original!AL55),cash_original!AL55/100000000,cash_original!AL55)</f>
        <v>--</v>
      </c>
      <c r="AM55" s="4" t="str">
        <f>IF(ISNUMBER(cash_original!AM55),cash_original!AM55/100000000,cash_original!AM55)</f>
        <v>--</v>
      </c>
      <c r="AN55" s="4" t="str">
        <f>IF(ISNUMBER(cash_original!AN55),cash_original!AN55/100000000,cash_original!AN55)</f>
        <v>--</v>
      </c>
      <c r="AO55" s="4" t="str">
        <f>IF(ISNUMBER(cash_original!AO55),cash_original!AO55/100000000,cash_original!AO55)</f>
        <v>--</v>
      </c>
      <c r="AP55" s="4" t="str">
        <f>IF(ISNUMBER(cash_original!AP55),cash_original!AP55/100000000,cash_original!AP55)</f>
        <v>--</v>
      </c>
      <c r="AQ55" s="4" t="str">
        <f>IF(ISNUMBER(cash_original!AQ55),cash_original!AQ55/100000000,cash_original!AQ55)</f>
        <v>--</v>
      </c>
      <c r="AR55" s="4" t="str">
        <f>IF(ISNUMBER(cash_original!AR55),cash_original!AR55/100000000,cash_original!AR55)</f>
        <v>--</v>
      </c>
      <c r="AS55" s="4" t="str">
        <f>IF(ISNUMBER(cash_original!AS55),cash_original!AS55/100000000,cash_original!AS55)</f>
        <v>--</v>
      </c>
      <c r="AT55" s="4" t="str">
        <f>IF(ISNUMBER(cash_original!AT55),cash_original!AT55/100000000,cash_original!AT55)</f>
        <v>--</v>
      </c>
      <c r="AU55" s="4" t="str">
        <f>IF(ISNUMBER(cash_original!AU55),cash_original!AU55/100000000,cash_original!AU55)</f>
        <v>--</v>
      </c>
      <c r="AV55" s="3" t="s">
        <v>133</v>
      </c>
      <c r="AW55" s="3" t="s">
        <v>133</v>
      </c>
      <c r="AX55" s="3" t="s">
        <v>133</v>
      </c>
      <c r="AY55" s="3" t="s">
        <v>133</v>
      </c>
      <c r="AZ55" s="3" t="s">
        <v>133</v>
      </c>
      <c r="BA55" s="3" t="s">
        <v>133</v>
      </c>
      <c r="BB55" s="3" t="s">
        <v>133</v>
      </c>
      <c r="BC55" s="3" t="s">
        <v>133</v>
      </c>
      <c r="BD55" s="3" t="s">
        <v>133</v>
      </c>
      <c r="BE55" s="3" t="s">
        <v>133</v>
      </c>
      <c r="BF55" s="3" t="s">
        <v>133</v>
      </c>
      <c r="BG55" s="3" t="s">
        <v>133</v>
      </c>
      <c r="BH55" s="3" t="s">
        <v>133</v>
      </c>
      <c r="BI55" s="3">
        <v>-176557300</v>
      </c>
      <c r="BJ55" s="3">
        <v>-15810900</v>
      </c>
      <c r="BK55" s="3">
        <v>-27769100</v>
      </c>
      <c r="BL55" s="3">
        <v>53328800</v>
      </c>
      <c r="BM55" s="3">
        <v>-177243400</v>
      </c>
      <c r="BN55" s="3">
        <v>-197941900</v>
      </c>
      <c r="BO55" s="3">
        <v>-39235900</v>
      </c>
      <c r="BP55" s="3">
        <v>-64313400</v>
      </c>
      <c r="BQ55" s="3">
        <v>-12650500</v>
      </c>
      <c r="BR55" s="3">
        <v>-13444500</v>
      </c>
      <c r="BS55" s="3">
        <v>-158930100</v>
      </c>
      <c r="BT55" s="3">
        <v>46631000</v>
      </c>
    </row>
    <row r="56" spans="1:72" x14ac:dyDescent="0.25">
      <c r="A56" s="3" t="s">
        <v>210</v>
      </c>
      <c r="B56" s="4" t="str">
        <f>IF(ISNUMBER(cash_original!B56),cash_original!B56/100000000,cash_original!B56)</f>
        <v>--</v>
      </c>
      <c r="C56" s="4" t="str">
        <f>IF(ISNUMBER(cash_original!C56),cash_original!C56/100000000,cash_original!C56)</f>
        <v>--</v>
      </c>
      <c r="D56" s="4" t="str">
        <f>IF(ISNUMBER(cash_original!D56),cash_original!D56/100000000,cash_original!D56)</f>
        <v>--</v>
      </c>
      <c r="E56" s="4" t="str">
        <f>IF(ISNUMBER(cash_original!E56),cash_original!E56/100000000,cash_original!E56)</f>
        <v>--</v>
      </c>
      <c r="F56" s="4" t="str">
        <f>IF(ISNUMBER(cash_original!F56),cash_original!F56/100000000,cash_original!F56)</f>
        <v>--</v>
      </c>
      <c r="G56" s="4" t="str">
        <f>IF(ISNUMBER(cash_original!G56),cash_original!G56/100000000,cash_original!G56)</f>
        <v>--</v>
      </c>
      <c r="H56" s="4" t="str">
        <f>IF(ISNUMBER(cash_original!H56),cash_original!H56/100000000,cash_original!H56)</f>
        <v>--</v>
      </c>
      <c r="I56" s="4" t="str">
        <f>IF(ISNUMBER(cash_original!I56),cash_original!I56/100000000,cash_original!I56)</f>
        <v>--</v>
      </c>
      <c r="J56" s="4" t="str">
        <f>IF(ISNUMBER(cash_original!J56),cash_original!J56/100000000,cash_original!J56)</f>
        <v>--</v>
      </c>
      <c r="K56" s="4" t="str">
        <f>IF(ISNUMBER(cash_original!K56),cash_original!K56/100000000,cash_original!K56)</f>
        <v>--</v>
      </c>
      <c r="L56" s="4" t="str">
        <f>IF(ISNUMBER(cash_original!L56),cash_original!L56/100000000,cash_original!L56)</f>
        <v>--</v>
      </c>
      <c r="M56" s="4" t="str">
        <f>IF(ISNUMBER(cash_original!M56),cash_original!M56/100000000,cash_original!M56)</f>
        <v>--</v>
      </c>
      <c r="N56" s="4" t="str">
        <f>IF(ISNUMBER(cash_original!N56),cash_original!N56/100000000,cash_original!N56)</f>
        <v>--</v>
      </c>
      <c r="O56" s="4" t="str">
        <f>IF(ISNUMBER(cash_original!O56),cash_original!O56/100000000,cash_original!O56)</f>
        <v>--</v>
      </c>
      <c r="P56" s="4" t="str">
        <f>IF(ISNUMBER(cash_original!P56),cash_original!P56/100000000,cash_original!P56)</f>
        <v>--</v>
      </c>
      <c r="Q56" s="4" t="str">
        <f>IF(ISNUMBER(cash_original!Q56),cash_original!Q56/100000000,cash_original!Q56)</f>
        <v>--</v>
      </c>
      <c r="R56" s="4" t="str">
        <f>IF(ISNUMBER(cash_original!R56),cash_original!R56/100000000,cash_original!R56)</f>
        <v>--</v>
      </c>
      <c r="S56" s="4" t="str">
        <f>IF(ISNUMBER(cash_original!S56),cash_original!S56/100000000,cash_original!S56)</f>
        <v>--</v>
      </c>
      <c r="T56" s="4" t="str">
        <f>IF(ISNUMBER(cash_original!T56),cash_original!T56/100000000,cash_original!T56)</f>
        <v>--</v>
      </c>
      <c r="U56" s="4" t="str">
        <f>IF(ISNUMBER(cash_original!U56),cash_original!U56/100000000,cash_original!U56)</f>
        <v>--</v>
      </c>
      <c r="V56" s="4" t="str">
        <f>IF(ISNUMBER(cash_original!V56),cash_original!V56/100000000,cash_original!V56)</f>
        <v>--</v>
      </c>
      <c r="W56" s="4" t="str">
        <f>IF(ISNUMBER(cash_original!W56),cash_original!W56/100000000,cash_original!W56)</f>
        <v>--</v>
      </c>
      <c r="X56" s="4" t="str">
        <f>IF(ISNUMBER(cash_original!X56),cash_original!X56/100000000,cash_original!X56)</f>
        <v>--</v>
      </c>
      <c r="Y56" s="4" t="str">
        <f>IF(ISNUMBER(cash_original!Y56),cash_original!Y56/100000000,cash_original!Y56)</f>
        <v>--</v>
      </c>
      <c r="Z56" s="4" t="str">
        <f>IF(ISNUMBER(cash_original!Z56),cash_original!Z56/100000000,cash_original!Z56)</f>
        <v>--</v>
      </c>
      <c r="AA56" s="4" t="str">
        <f>IF(ISNUMBER(cash_original!AA56),cash_original!AA56/100000000,cash_original!AA56)</f>
        <v>--</v>
      </c>
      <c r="AB56" s="4" t="str">
        <f>IF(ISNUMBER(cash_original!AB56),cash_original!AB56/100000000,cash_original!AB56)</f>
        <v>--</v>
      </c>
      <c r="AC56" s="4" t="str">
        <f>IF(ISNUMBER(cash_original!AC56),cash_original!AC56/100000000,cash_original!AC56)</f>
        <v>--</v>
      </c>
      <c r="AD56" s="4" t="str">
        <f>IF(ISNUMBER(cash_original!AD56),cash_original!AD56/100000000,cash_original!AD56)</f>
        <v>--</v>
      </c>
      <c r="AE56" s="4" t="str">
        <f>IF(ISNUMBER(cash_original!AE56),cash_original!AE56/100000000,cash_original!AE56)</f>
        <v>--</v>
      </c>
      <c r="AF56" s="4" t="str">
        <f>IF(ISNUMBER(cash_original!AF56),cash_original!AF56/100000000,cash_original!AF56)</f>
        <v>--</v>
      </c>
      <c r="AG56" s="4" t="str">
        <f>IF(ISNUMBER(cash_original!AG56),cash_original!AG56/100000000,cash_original!AG56)</f>
        <v>--</v>
      </c>
      <c r="AH56" s="4" t="str">
        <f>IF(ISNUMBER(cash_original!AH56),cash_original!AH56/100000000,cash_original!AH56)</f>
        <v>--</v>
      </c>
      <c r="AI56" s="4" t="str">
        <f>IF(ISNUMBER(cash_original!AI56),cash_original!AI56/100000000,cash_original!AI56)</f>
        <v>--</v>
      </c>
      <c r="AJ56" s="4" t="str">
        <f>IF(ISNUMBER(cash_original!AJ56),cash_original!AJ56/100000000,cash_original!AJ56)</f>
        <v>--</v>
      </c>
      <c r="AK56" s="4" t="str">
        <f>IF(ISNUMBER(cash_original!AK56),cash_original!AK56/100000000,cash_original!AK56)</f>
        <v>--</v>
      </c>
      <c r="AL56" s="4" t="str">
        <f>IF(ISNUMBER(cash_original!AL56),cash_original!AL56/100000000,cash_original!AL56)</f>
        <v>--</v>
      </c>
      <c r="AM56" s="4" t="str">
        <f>IF(ISNUMBER(cash_original!AM56),cash_original!AM56/100000000,cash_original!AM56)</f>
        <v>--</v>
      </c>
      <c r="AN56" s="4" t="str">
        <f>IF(ISNUMBER(cash_original!AN56),cash_original!AN56/100000000,cash_original!AN56)</f>
        <v>--</v>
      </c>
      <c r="AO56" s="4" t="str">
        <f>IF(ISNUMBER(cash_original!AO56),cash_original!AO56/100000000,cash_original!AO56)</f>
        <v>--</v>
      </c>
      <c r="AP56" s="4" t="str">
        <f>IF(ISNUMBER(cash_original!AP56),cash_original!AP56/100000000,cash_original!AP56)</f>
        <v>--</v>
      </c>
      <c r="AQ56" s="4" t="str">
        <f>IF(ISNUMBER(cash_original!AQ56),cash_original!AQ56/100000000,cash_original!AQ56)</f>
        <v>--</v>
      </c>
      <c r="AR56" s="4" t="str">
        <f>IF(ISNUMBER(cash_original!AR56),cash_original!AR56/100000000,cash_original!AR56)</f>
        <v>--</v>
      </c>
      <c r="AS56" s="4" t="str">
        <f>IF(ISNUMBER(cash_original!AS56),cash_original!AS56/100000000,cash_original!AS56)</f>
        <v>--</v>
      </c>
      <c r="AT56" s="4" t="str">
        <f>IF(ISNUMBER(cash_original!AT56),cash_original!AT56/100000000,cash_original!AT56)</f>
        <v>--</v>
      </c>
      <c r="AU56" s="4" t="str">
        <f>IF(ISNUMBER(cash_original!AU56),cash_original!AU56/100000000,cash_original!AU56)</f>
        <v>--</v>
      </c>
      <c r="AV56" s="3" t="s">
        <v>133</v>
      </c>
      <c r="AW56" s="3" t="s">
        <v>133</v>
      </c>
      <c r="AX56" s="3" t="s">
        <v>133</v>
      </c>
      <c r="AY56" s="3" t="s">
        <v>133</v>
      </c>
      <c r="AZ56" s="3" t="s">
        <v>133</v>
      </c>
      <c r="BA56" s="3" t="s">
        <v>133</v>
      </c>
      <c r="BB56" s="3" t="s">
        <v>133</v>
      </c>
      <c r="BC56" s="3" t="s">
        <v>133</v>
      </c>
      <c r="BD56" s="3" t="s">
        <v>133</v>
      </c>
      <c r="BE56" s="3" t="s">
        <v>133</v>
      </c>
      <c r="BF56" s="3" t="s">
        <v>133</v>
      </c>
      <c r="BG56" s="3" t="s">
        <v>133</v>
      </c>
      <c r="BH56" s="3" t="s">
        <v>133</v>
      </c>
      <c r="BI56" s="3">
        <v>-3580200</v>
      </c>
      <c r="BJ56" s="3">
        <v>-52440600</v>
      </c>
      <c r="BK56" s="3">
        <v>6648700</v>
      </c>
      <c r="BL56" s="3">
        <v>-37039200</v>
      </c>
      <c r="BM56" s="3">
        <v>37050200</v>
      </c>
      <c r="BN56" s="3">
        <v>-55953900</v>
      </c>
      <c r="BO56" s="3">
        <v>-43330400</v>
      </c>
      <c r="BP56" s="3">
        <v>6273600</v>
      </c>
      <c r="BQ56" s="3">
        <v>-10700000</v>
      </c>
      <c r="BR56" s="3">
        <v>-135961600</v>
      </c>
      <c r="BS56" s="3">
        <v>64533700</v>
      </c>
      <c r="BT56" s="3">
        <v>16140300</v>
      </c>
    </row>
    <row r="57" spans="1:72" x14ac:dyDescent="0.25">
      <c r="A57" s="3" t="s">
        <v>211</v>
      </c>
      <c r="B57" s="4" t="str">
        <f>IF(ISNUMBER(cash_original!B57),cash_original!B57/100000000,cash_original!B57)</f>
        <v>--</v>
      </c>
      <c r="C57" s="4" t="str">
        <f>IF(ISNUMBER(cash_original!C57),cash_original!C57/100000000,cash_original!C57)</f>
        <v>--</v>
      </c>
      <c r="D57" s="4" t="str">
        <f>IF(ISNUMBER(cash_original!D57),cash_original!D57/100000000,cash_original!D57)</f>
        <v>--</v>
      </c>
      <c r="E57" s="4" t="str">
        <f>IF(ISNUMBER(cash_original!E57),cash_original!E57/100000000,cash_original!E57)</f>
        <v>--</v>
      </c>
      <c r="F57" s="4" t="str">
        <f>IF(ISNUMBER(cash_original!F57),cash_original!F57/100000000,cash_original!F57)</f>
        <v>--</v>
      </c>
      <c r="G57" s="4" t="str">
        <f>IF(ISNUMBER(cash_original!G57),cash_original!G57/100000000,cash_original!G57)</f>
        <v>--</v>
      </c>
      <c r="H57" s="4" t="str">
        <f>IF(ISNUMBER(cash_original!H57),cash_original!H57/100000000,cash_original!H57)</f>
        <v>--</v>
      </c>
      <c r="I57" s="4" t="str">
        <f>IF(ISNUMBER(cash_original!I57),cash_original!I57/100000000,cash_original!I57)</f>
        <v>--</v>
      </c>
      <c r="J57" s="4" t="str">
        <f>IF(ISNUMBER(cash_original!J57),cash_original!J57/100000000,cash_original!J57)</f>
        <v>--</v>
      </c>
      <c r="K57" s="4" t="str">
        <f>IF(ISNUMBER(cash_original!K57),cash_original!K57/100000000,cash_original!K57)</f>
        <v>--</v>
      </c>
      <c r="L57" s="4" t="str">
        <f>IF(ISNUMBER(cash_original!L57),cash_original!L57/100000000,cash_original!L57)</f>
        <v>--</v>
      </c>
      <c r="M57" s="4" t="str">
        <f>IF(ISNUMBER(cash_original!M57),cash_original!M57/100000000,cash_original!M57)</f>
        <v>--</v>
      </c>
      <c r="N57" s="4" t="str">
        <f>IF(ISNUMBER(cash_original!N57),cash_original!N57/100000000,cash_original!N57)</f>
        <v>--</v>
      </c>
      <c r="O57" s="4" t="str">
        <f>IF(ISNUMBER(cash_original!O57),cash_original!O57/100000000,cash_original!O57)</f>
        <v>--</v>
      </c>
      <c r="P57" s="4" t="str">
        <f>IF(ISNUMBER(cash_original!P57),cash_original!P57/100000000,cash_original!P57)</f>
        <v>--</v>
      </c>
      <c r="Q57" s="4" t="str">
        <f>IF(ISNUMBER(cash_original!Q57),cash_original!Q57/100000000,cash_original!Q57)</f>
        <v>--</v>
      </c>
      <c r="R57" s="4" t="str">
        <f>IF(ISNUMBER(cash_original!R57),cash_original!R57/100000000,cash_original!R57)</f>
        <v>--</v>
      </c>
      <c r="S57" s="4" t="str">
        <f>IF(ISNUMBER(cash_original!S57),cash_original!S57/100000000,cash_original!S57)</f>
        <v>--</v>
      </c>
      <c r="T57" s="4" t="str">
        <f>IF(ISNUMBER(cash_original!T57),cash_original!T57/100000000,cash_original!T57)</f>
        <v>--</v>
      </c>
      <c r="U57" s="4" t="str">
        <f>IF(ISNUMBER(cash_original!U57),cash_original!U57/100000000,cash_original!U57)</f>
        <v>--</v>
      </c>
      <c r="V57" s="4" t="str">
        <f>IF(ISNUMBER(cash_original!V57),cash_original!V57/100000000,cash_original!V57)</f>
        <v>--</v>
      </c>
      <c r="W57" s="4" t="str">
        <f>IF(ISNUMBER(cash_original!W57),cash_original!W57/100000000,cash_original!W57)</f>
        <v>--</v>
      </c>
      <c r="X57" s="4" t="str">
        <f>IF(ISNUMBER(cash_original!X57),cash_original!X57/100000000,cash_original!X57)</f>
        <v>--</v>
      </c>
      <c r="Y57" s="4" t="str">
        <f>IF(ISNUMBER(cash_original!Y57),cash_original!Y57/100000000,cash_original!Y57)</f>
        <v>--</v>
      </c>
      <c r="Z57" s="4" t="str">
        <f>IF(ISNUMBER(cash_original!Z57),cash_original!Z57/100000000,cash_original!Z57)</f>
        <v>--</v>
      </c>
      <c r="AA57" s="4" t="str">
        <f>IF(ISNUMBER(cash_original!AA57),cash_original!AA57/100000000,cash_original!AA57)</f>
        <v>--</v>
      </c>
      <c r="AB57" s="4" t="str">
        <f>IF(ISNUMBER(cash_original!AB57),cash_original!AB57/100000000,cash_original!AB57)</f>
        <v>--</v>
      </c>
      <c r="AC57" s="4" t="str">
        <f>IF(ISNUMBER(cash_original!AC57),cash_original!AC57/100000000,cash_original!AC57)</f>
        <v>--</v>
      </c>
      <c r="AD57" s="4" t="str">
        <f>IF(ISNUMBER(cash_original!AD57),cash_original!AD57/100000000,cash_original!AD57)</f>
        <v>--</v>
      </c>
      <c r="AE57" s="4" t="str">
        <f>IF(ISNUMBER(cash_original!AE57),cash_original!AE57/100000000,cash_original!AE57)</f>
        <v>--</v>
      </c>
      <c r="AF57" s="4" t="str">
        <f>IF(ISNUMBER(cash_original!AF57),cash_original!AF57/100000000,cash_original!AF57)</f>
        <v>--</v>
      </c>
      <c r="AG57" s="4" t="str">
        <f>IF(ISNUMBER(cash_original!AG57),cash_original!AG57/100000000,cash_original!AG57)</f>
        <v>--</v>
      </c>
      <c r="AH57" s="4" t="str">
        <f>IF(ISNUMBER(cash_original!AH57),cash_original!AH57/100000000,cash_original!AH57)</f>
        <v>--</v>
      </c>
      <c r="AI57" s="4" t="str">
        <f>IF(ISNUMBER(cash_original!AI57),cash_original!AI57/100000000,cash_original!AI57)</f>
        <v>--</v>
      </c>
      <c r="AJ57" s="4" t="str">
        <f>IF(ISNUMBER(cash_original!AJ57),cash_original!AJ57/100000000,cash_original!AJ57)</f>
        <v>--</v>
      </c>
      <c r="AK57" s="4" t="str">
        <f>IF(ISNUMBER(cash_original!AK57),cash_original!AK57/100000000,cash_original!AK57)</f>
        <v>--</v>
      </c>
      <c r="AL57" s="4" t="str">
        <f>IF(ISNUMBER(cash_original!AL57),cash_original!AL57/100000000,cash_original!AL57)</f>
        <v>--</v>
      </c>
      <c r="AM57" s="4" t="str">
        <f>IF(ISNUMBER(cash_original!AM57),cash_original!AM57/100000000,cash_original!AM57)</f>
        <v>--</v>
      </c>
      <c r="AN57" s="4" t="str">
        <f>IF(ISNUMBER(cash_original!AN57),cash_original!AN57/100000000,cash_original!AN57)</f>
        <v>--</v>
      </c>
      <c r="AO57" s="4" t="str">
        <f>IF(ISNUMBER(cash_original!AO57),cash_original!AO57/100000000,cash_original!AO57)</f>
        <v>--</v>
      </c>
      <c r="AP57" s="4" t="str">
        <f>IF(ISNUMBER(cash_original!AP57),cash_original!AP57/100000000,cash_original!AP57)</f>
        <v>--</v>
      </c>
      <c r="AQ57" s="4" t="str">
        <f>IF(ISNUMBER(cash_original!AQ57),cash_original!AQ57/100000000,cash_original!AQ57)</f>
        <v>--</v>
      </c>
      <c r="AR57" s="4" t="str">
        <f>IF(ISNUMBER(cash_original!AR57),cash_original!AR57/100000000,cash_original!AR57)</f>
        <v>--</v>
      </c>
      <c r="AS57" s="4" t="str">
        <f>IF(ISNUMBER(cash_original!AS57),cash_original!AS57/100000000,cash_original!AS57)</f>
        <v>--</v>
      </c>
      <c r="AT57" s="4" t="str">
        <f>IF(ISNUMBER(cash_original!AT57),cash_original!AT57/100000000,cash_original!AT57)</f>
        <v>--</v>
      </c>
      <c r="AU57" s="4" t="str">
        <f>IF(ISNUMBER(cash_original!AU57),cash_original!AU57/100000000,cash_original!AU57)</f>
        <v>--</v>
      </c>
      <c r="AV57" s="3" t="s">
        <v>133</v>
      </c>
      <c r="AW57" s="3" t="s">
        <v>133</v>
      </c>
      <c r="AX57" s="3" t="s">
        <v>133</v>
      </c>
      <c r="AY57" s="3" t="s">
        <v>133</v>
      </c>
      <c r="AZ57" s="3" t="s">
        <v>133</v>
      </c>
      <c r="BA57" s="3" t="s">
        <v>133</v>
      </c>
      <c r="BB57" s="3" t="s">
        <v>133</v>
      </c>
      <c r="BC57" s="3" t="s">
        <v>133</v>
      </c>
      <c r="BD57" s="3" t="s">
        <v>133</v>
      </c>
      <c r="BE57" s="3" t="s">
        <v>133</v>
      </c>
      <c r="BF57" s="3" t="s">
        <v>133</v>
      </c>
      <c r="BG57" s="3" t="s">
        <v>133</v>
      </c>
      <c r="BH57" s="3" t="s">
        <v>133</v>
      </c>
      <c r="BI57" s="3">
        <v>558755500</v>
      </c>
      <c r="BJ57" s="3">
        <v>300361500</v>
      </c>
      <c r="BK57" s="3">
        <v>103392400</v>
      </c>
      <c r="BL57" s="3">
        <v>-222974200</v>
      </c>
      <c r="BM57" s="3">
        <v>502884600</v>
      </c>
      <c r="BN57" s="3">
        <v>435297600</v>
      </c>
      <c r="BO57" s="3">
        <v>117131600</v>
      </c>
      <c r="BP57" s="3">
        <v>-443826400</v>
      </c>
      <c r="BQ57" s="3">
        <v>340808600</v>
      </c>
      <c r="BR57" s="3">
        <v>478068000</v>
      </c>
      <c r="BS57" s="3">
        <v>-24083200</v>
      </c>
      <c r="BT57" s="3">
        <v>-308344700</v>
      </c>
    </row>
    <row r="58" spans="1:72" x14ac:dyDescent="0.25">
      <c r="A58" s="3" t="s">
        <v>212</v>
      </c>
      <c r="B58" s="4" t="str">
        <f>IF(ISNUMBER(cash_original!B58),cash_original!B58/100000000,cash_original!B58)</f>
        <v>--</v>
      </c>
      <c r="C58" s="4" t="str">
        <f>IF(ISNUMBER(cash_original!C58),cash_original!C58/100000000,cash_original!C58)</f>
        <v>--</v>
      </c>
      <c r="D58" s="4" t="str">
        <f>IF(ISNUMBER(cash_original!D58),cash_original!D58/100000000,cash_original!D58)</f>
        <v>--</v>
      </c>
      <c r="E58" s="4" t="str">
        <f>IF(ISNUMBER(cash_original!E58),cash_original!E58/100000000,cash_original!E58)</f>
        <v>--</v>
      </c>
      <c r="F58" s="4" t="str">
        <f>IF(ISNUMBER(cash_original!F58),cash_original!F58/100000000,cash_original!F58)</f>
        <v>--</v>
      </c>
      <c r="G58" s="4" t="str">
        <f>IF(ISNUMBER(cash_original!G58),cash_original!G58/100000000,cash_original!G58)</f>
        <v>--</v>
      </c>
      <c r="H58" s="4" t="str">
        <f>IF(ISNUMBER(cash_original!H58),cash_original!H58/100000000,cash_original!H58)</f>
        <v>--</v>
      </c>
      <c r="I58" s="4" t="str">
        <f>IF(ISNUMBER(cash_original!I58),cash_original!I58/100000000,cash_original!I58)</f>
        <v>--</v>
      </c>
      <c r="J58" s="4" t="str">
        <f>IF(ISNUMBER(cash_original!J58),cash_original!J58/100000000,cash_original!J58)</f>
        <v>--</v>
      </c>
      <c r="K58" s="4" t="str">
        <f>IF(ISNUMBER(cash_original!K58),cash_original!K58/100000000,cash_original!K58)</f>
        <v>--</v>
      </c>
      <c r="L58" s="4" t="str">
        <f>IF(ISNUMBER(cash_original!L58),cash_original!L58/100000000,cash_original!L58)</f>
        <v>--</v>
      </c>
      <c r="M58" s="4" t="str">
        <f>IF(ISNUMBER(cash_original!M58),cash_original!M58/100000000,cash_original!M58)</f>
        <v>--</v>
      </c>
      <c r="N58" s="4" t="str">
        <f>IF(ISNUMBER(cash_original!N58),cash_original!N58/100000000,cash_original!N58)</f>
        <v>--</v>
      </c>
      <c r="O58" s="4" t="str">
        <f>IF(ISNUMBER(cash_original!O58),cash_original!O58/100000000,cash_original!O58)</f>
        <v>--</v>
      </c>
      <c r="P58" s="4" t="str">
        <f>IF(ISNUMBER(cash_original!P58),cash_original!P58/100000000,cash_original!P58)</f>
        <v>--</v>
      </c>
      <c r="Q58" s="4" t="str">
        <f>IF(ISNUMBER(cash_original!Q58),cash_original!Q58/100000000,cash_original!Q58)</f>
        <v>--</v>
      </c>
      <c r="R58" s="4" t="str">
        <f>IF(ISNUMBER(cash_original!R58),cash_original!R58/100000000,cash_original!R58)</f>
        <v>--</v>
      </c>
      <c r="S58" s="4" t="str">
        <f>IF(ISNUMBER(cash_original!S58),cash_original!S58/100000000,cash_original!S58)</f>
        <v>--</v>
      </c>
      <c r="T58" s="4" t="str">
        <f>IF(ISNUMBER(cash_original!T58),cash_original!T58/100000000,cash_original!T58)</f>
        <v>--</v>
      </c>
      <c r="U58" s="4" t="str">
        <f>IF(ISNUMBER(cash_original!U58),cash_original!U58/100000000,cash_original!U58)</f>
        <v>--</v>
      </c>
      <c r="V58" s="4" t="str">
        <f>IF(ISNUMBER(cash_original!V58),cash_original!V58/100000000,cash_original!V58)</f>
        <v>--</v>
      </c>
      <c r="W58" s="4" t="str">
        <f>IF(ISNUMBER(cash_original!W58),cash_original!W58/100000000,cash_original!W58)</f>
        <v>--</v>
      </c>
      <c r="X58" s="4" t="str">
        <f>IF(ISNUMBER(cash_original!X58),cash_original!X58/100000000,cash_original!X58)</f>
        <v>--</v>
      </c>
      <c r="Y58" s="4" t="str">
        <f>IF(ISNUMBER(cash_original!Y58),cash_original!Y58/100000000,cash_original!Y58)</f>
        <v>--</v>
      </c>
      <c r="Z58" s="4" t="str">
        <f>IF(ISNUMBER(cash_original!Z58),cash_original!Z58/100000000,cash_original!Z58)</f>
        <v>--</v>
      </c>
      <c r="AA58" s="4" t="str">
        <f>IF(ISNUMBER(cash_original!AA58),cash_original!AA58/100000000,cash_original!AA58)</f>
        <v>--</v>
      </c>
      <c r="AB58" s="4" t="str">
        <f>IF(ISNUMBER(cash_original!AB58),cash_original!AB58/100000000,cash_original!AB58)</f>
        <v>--</v>
      </c>
      <c r="AC58" s="4" t="str">
        <f>IF(ISNUMBER(cash_original!AC58),cash_original!AC58/100000000,cash_original!AC58)</f>
        <v>--</v>
      </c>
      <c r="AD58" s="4" t="str">
        <f>IF(ISNUMBER(cash_original!AD58),cash_original!AD58/100000000,cash_original!AD58)</f>
        <v>--</v>
      </c>
      <c r="AE58" s="4" t="str">
        <f>IF(ISNUMBER(cash_original!AE58),cash_original!AE58/100000000,cash_original!AE58)</f>
        <v>--</v>
      </c>
      <c r="AF58" s="4" t="str">
        <f>IF(ISNUMBER(cash_original!AF58),cash_original!AF58/100000000,cash_original!AF58)</f>
        <v>--</v>
      </c>
      <c r="AG58" s="4" t="str">
        <f>IF(ISNUMBER(cash_original!AG58),cash_original!AG58/100000000,cash_original!AG58)</f>
        <v>--</v>
      </c>
      <c r="AH58" s="4" t="str">
        <f>IF(ISNUMBER(cash_original!AH58),cash_original!AH58/100000000,cash_original!AH58)</f>
        <v>--</v>
      </c>
      <c r="AI58" s="4" t="str">
        <f>IF(ISNUMBER(cash_original!AI58),cash_original!AI58/100000000,cash_original!AI58)</f>
        <v>--</v>
      </c>
      <c r="AJ58" s="4" t="str">
        <f>IF(ISNUMBER(cash_original!AJ58),cash_original!AJ58/100000000,cash_original!AJ58)</f>
        <v>--</v>
      </c>
      <c r="AK58" s="4" t="str">
        <f>IF(ISNUMBER(cash_original!AK58),cash_original!AK58/100000000,cash_original!AK58)</f>
        <v>--</v>
      </c>
      <c r="AL58" s="4" t="str">
        <f>IF(ISNUMBER(cash_original!AL58),cash_original!AL58/100000000,cash_original!AL58)</f>
        <v>--</v>
      </c>
      <c r="AM58" s="4" t="str">
        <f>IF(ISNUMBER(cash_original!AM58),cash_original!AM58/100000000,cash_original!AM58)</f>
        <v>--</v>
      </c>
      <c r="AN58" s="4" t="str">
        <f>IF(ISNUMBER(cash_original!AN58),cash_original!AN58/100000000,cash_original!AN58)</f>
        <v>--</v>
      </c>
      <c r="AO58" s="4" t="str">
        <f>IF(ISNUMBER(cash_original!AO58),cash_original!AO58/100000000,cash_original!AO58)</f>
        <v>--</v>
      </c>
      <c r="AP58" s="4" t="str">
        <f>IF(ISNUMBER(cash_original!AP58),cash_original!AP58/100000000,cash_original!AP58)</f>
        <v>--</v>
      </c>
      <c r="AQ58" s="4" t="str">
        <f>IF(ISNUMBER(cash_original!AQ58),cash_original!AQ58/100000000,cash_original!AQ58)</f>
        <v>--</v>
      </c>
      <c r="AR58" s="4" t="str">
        <f>IF(ISNUMBER(cash_original!AR58),cash_original!AR58/100000000,cash_original!AR58)</f>
        <v>--</v>
      </c>
      <c r="AS58" s="4" t="str">
        <f>IF(ISNUMBER(cash_original!AS58),cash_original!AS58/100000000,cash_original!AS58)</f>
        <v>--</v>
      </c>
      <c r="AT58" s="4" t="str">
        <f>IF(ISNUMBER(cash_original!AT58),cash_original!AT58/100000000,cash_original!AT58)</f>
        <v>--</v>
      </c>
      <c r="AU58" s="4" t="str">
        <f>IF(ISNUMBER(cash_original!AU58),cash_original!AU58/100000000,cash_original!AU58)</f>
        <v>--</v>
      </c>
      <c r="AV58" s="3" t="s">
        <v>133</v>
      </c>
      <c r="AW58" s="3" t="s">
        <v>133</v>
      </c>
      <c r="AX58" s="3" t="s">
        <v>133</v>
      </c>
      <c r="AY58" s="3" t="s">
        <v>133</v>
      </c>
      <c r="AZ58" s="3" t="s">
        <v>133</v>
      </c>
      <c r="BA58" s="3" t="s">
        <v>133</v>
      </c>
      <c r="BB58" s="3" t="s">
        <v>133</v>
      </c>
      <c r="BC58" s="3" t="s">
        <v>133</v>
      </c>
      <c r="BD58" s="3" t="s">
        <v>133</v>
      </c>
      <c r="BE58" s="3" t="s">
        <v>133</v>
      </c>
      <c r="BF58" s="3" t="s">
        <v>133</v>
      </c>
      <c r="BG58" s="3" t="s">
        <v>133</v>
      </c>
      <c r="BH58" s="3" t="s">
        <v>133</v>
      </c>
      <c r="BI58" s="3" t="s">
        <v>133</v>
      </c>
      <c r="BJ58" s="3" t="s">
        <v>133</v>
      </c>
      <c r="BK58" s="3" t="s">
        <v>133</v>
      </c>
      <c r="BL58" s="3" t="s">
        <v>133</v>
      </c>
      <c r="BM58" s="3" t="s">
        <v>133</v>
      </c>
      <c r="BN58" s="3" t="s">
        <v>133</v>
      </c>
      <c r="BO58" s="3" t="s">
        <v>133</v>
      </c>
      <c r="BP58" s="3" t="s">
        <v>133</v>
      </c>
      <c r="BQ58" s="3" t="s">
        <v>133</v>
      </c>
      <c r="BR58" s="3">
        <v>5346700</v>
      </c>
      <c r="BS58" s="3">
        <v>2450600</v>
      </c>
      <c r="BT58" s="3">
        <v>7514700</v>
      </c>
    </row>
    <row r="59" spans="1:72" x14ac:dyDescent="0.25">
      <c r="A59" s="3" t="s">
        <v>213</v>
      </c>
      <c r="B59" s="4" t="str">
        <f>IF(ISNUMBER(cash_original!B59),cash_original!B59/100000000,cash_original!B59)</f>
        <v>--</v>
      </c>
      <c r="C59" s="4" t="str">
        <f>IF(ISNUMBER(cash_original!C59),cash_original!C59/100000000,cash_original!C59)</f>
        <v>--</v>
      </c>
      <c r="D59" s="4" t="str">
        <f>IF(ISNUMBER(cash_original!D59),cash_original!D59/100000000,cash_original!D59)</f>
        <v>--</v>
      </c>
      <c r="E59" s="4" t="str">
        <f>IF(ISNUMBER(cash_original!E59),cash_original!E59/100000000,cash_original!E59)</f>
        <v>--</v>
      </c>
      <c r="F59" s="4" t="str">
        <f>IF(ISNUMBER(cash_original!F59),cash_original!F59/100000000,cash_original!F59)</f>
        <v>--</v>
      </c>
      <c r="G59" s="4" t="str">
        <f>IF(ISNUMBER(cash_original!G59),cash_original!G59/100000000,cash_original!G59)</f>
        <v>--</v>
      </c>
      <c r="H59" s="4" t="str">
        <f>IF(ISNUMBER(cash_original!H59),cash_original!H59/100000000,cash_original!H59)</f>
        <v>--</v>
      </c>
      <c r="I59" s="4" t="str">
        <f>IF(ISNUMBER(cash_original!I59),cash_original!I59/100000000,cash_original!I59)</f>
        <v>--</v>
      </c>
      <c r="J59" s="4" t="str">
        <f>IF(ISNUMBER(cash_original!J59),cash_original!J59/100000000,cash_original!J59)</f>
        <v>--</v>
      </c>
      <c r="K59" s="4" t="str">
        <f>IF(ISNUMBER(cash_original!K59),cash_original!K59/100000000,cash_original!K59)</f>
        <v>--</v>
      </c>
      <c r="L59" s="4" t="str">
        <f>IF(ISNUMBER(cash_original!L59),cash_original!L59/100000000,cash_original!L59)</f>
        <v>--</v>
      </c>
      <c r="M59" s="4" t="str">
        <f>IF(ISNUMBER(cash_original!M59),cash_original!M59/100000000,cash_original!M59)</f>
        <v>--</v>
      </c>
      <c r="N59" s="4" t="str">
        <f>IF(ISNUMBER(cash_original!N59),cash_original!N59/100000000,cash_original!N59)</f>
        <v>--</v>
      </c>
      <c r="O59" s="4" t="str">
        <f>IF(ISNUMBER(cash_original!O59),cash_original!O59/100000000,cash_original!O59)</f>
        <v>--</v>
      </c>
      <c r="P59" s="4" t="str">
        <f>IF(ISNUMBER(cash_original!P59),cash_original!P59/100000000,cash_original!P59)</f>
        <v>--</v>
      </c>
      <c r="Q59" s="4" t="str">
        <f>IF(ISNUMBER(cash_original!Q59),cash_original!Q59/100000000,cash_original!Q59)</f>
        <v>--</v>
      </c>
      <c r="R59" s="4" t="str">
        <f>IF(ISNUMBER(cash_original!R59),cash_original!R59/100000000,cash_original!R59)</f>
        <v>--</v>
      </c>
      <c r="S59" s="4" t="str">
        <f>IF(ISNUMBER(cash_original!S59),cash_original!S59/100000000,cash_original!S59)</f>
        <v>--</v>
      </c>
      <c r="T59" s="4" t="str">
        <f>IF(ISNUMBER(cash_original!T59),cash_original!T59/100000000,cash_original!T59)</f>
        <v>--</v>
      </c>
      <c r="U59" s="4" t="str">
        <f>IF(ISNUMBER(cash_original!U59),cash_original!U59/100000000,cash_original!U59)</f>
        <v>--</v>
      </c>
      <c r="V59" s="4" t="str">
        <f>IF(ISNUMBER(cash_original!V59),cash_original!V59/100000000,cash_original!V59)</f>
        <v>--</v>
      </c>
      <c r="W59" s="4" t="str">
        <f>IF(ISNUMBER(cash_original!W59),cash_original!W59/100000000,cash_original!W59)</f>
        <v>--</v>
      </c>
      <c r="X59" s="4" t="str">
        <f>IF(ISNUMBER(cash_original!X59),cash_original!X59/100000000,cash_original!X59)</f>
        <v>--</v>
      </c>
      <c r="Y59" s="4" t="str">
        <f>IF(ISNUMBER(cash_original!Y59),cash_original!Y59/100000000,cash_original!Y59)</f>
        <v>--</v>
      </c>
      <c r="Z59" s="4" t="str">
        <f>IF(ISNUMBER(cash_original!Z59),cash_original!Z59/100000000,cash_original!Z59)</f>
        <v>--</v>
      </c>
      <c r="AA59" s="4" t="str">
        <f>IF(ISNUMBER(cash_original!AA59),cash_original!AA59/100000000,cash_original!AA59)</f>
        <v>--</v>
      </c>
      <c r="AB59" s="4" t="str">
        <f>IF(ISNUMBER(cash_original!AB59),cash_original!AB59/100000000,cash_original!AB59)</f>
        <v>--</v>
      </c>
      <c r="AC59" s="4" t="str">
        <f>IF(ISNUMBER(cash_original!AC59),cash_original!AC59/100000000,cash_original!AC59)</f>
        <v>--</v>
      </c>
      <c r="AD59" s="4" t="str">
        <f>IF(ISNUMBER(cash_original!AD59),cash_original!AD59/100000000,cash_original!AD59)</f>
        <v>--</v>
      </c>
      <c r="AE59" s="4" t="str">
        <f>IF(ISNUMBER(cash_original!AE59),cash_original!AE59/100000000,cash_original!AE59)</f>
        <v>--</v>
      </c>
      <c r="AF59" s="4" t="str">
        <f>IF(ISNUMBER(cash_original!AF59),cash_original!AF59/100000000,cash_original!AF59)</f>
        <v>--</v>
      </c>
      <c r="AG59" s="4" t="str">
        <f>IF(ISNUMBER(cash_original!AG59),cash_original!AG59/100000000,cash_original!AG59)</f>
        <v>--</v>
      </c>
      <c r="AH59" s="4" t="str">
        <f>IF(ISNUMBER(cash_original!AH59),cash_original!AH59/100000000,cash_original!AH59)</f>
        <v>--</v>
      </c>
      <c r="AI59" s="4" t="str">
        <f>IF(ISNUMBER(cash_original!AI59),cash_original!AI59/100000000,cash_original!AI59)</f>
        <v>--</v>
      </c>
      <c r="AJ59" s="4" t="str">
        <f>IF(ISNUMBER(cash_original!AJ59),cash_original!AJ59/100000000,cash_original!AJ59)</f>
        <v>--</v>
      </c>
      <c r="AK59" s="4" t="str">
        <f>IF(ISNUMBER(cash_original!AK59),cash_original!AK59/100000000,cash_original!AK59)</f>
        <v>--</v>
      </c>
      <c r="AL59" s="4" t="str">
        <f>IF(ISNUMBER(cash_original!AL59),cash_original!AL59/100000000,cash_original!AL59)</f>
        <v>--</v>
      </c>
      <c r="AM59" s="4" t="str">
        <f>IF(ISNUMBER(cash_original!AM59),cash_original!AM59/100000000,cash_original!AM59)</f>
        <v>--</v>
      </c>
      <c r="AN59" s="4" t="str">
        <f>IF(ISNUMBER(cash_original!AN59),cash_original!AN59/100000000,cash_original!AN59)</f>
        <v>--</v>
      </c>
      <c r="AO59" s="4" t="str">
        <f>IF(ISNUMBER(cash_original!AO59),cash_original!AO59/100000000,cash_original!AO59)</f>
        <v>--</v>
      </c>
      <c r="AP59" s="4" t="str">
        <f>IF(ISNUMBER(cash_original!AP59),cash_original!AP59/100000000,cash_original!AP59)</f>
        <v>--</v>
      </c>
      <c r="AQ59" s="4" t="str">
        <f>IF(ISNUMBER(cash_original!AQ59),cash_original!AQ59/100000000,cash_original!AQ59)</f>
        <v>--</v>
      </c>
      <c r="AR59" s="4" t="str">
        <f>IF(ISNUMBER(cash_original!AR59),cash_original!AR59/100000000,cash_original!AR59)</f>
        <v>--</v>
      </c>
      <c r="AS59" s="4" t="str">
        <f>IF(ISNUMBER(cash_original!AS59),cash_original!AS59/100000000,cash_original!AS59)</f>
        <v>--</v>
      </c>
      <c r="AT59" s="4" t="str">
        <f>IF(ISNUMBER(cash_original!AT59),cash_original!AT59/100000000,cash_original!AT59)</f>
        <v>--</v>
      </c>
      <c r="AU59" s="4" t="str">
        <f>IF(ISNUMBER(cash_original!AU59),cash_original!AU59/100000000,cash_original!AU59)</f>
        <v>--</v>
      </c>
      <c r="AV59" s="3" t="s">
        <v>133</v>
      </c>
      <c r="AW59" s="3" t="s">
        <v>133</v>
      </c>
      <c r="AX59" s="3" t="s">
        <v>133</v>
      </c>
      <c r="AY59" s="3" t="s">
        <v>133</v>
      </c>
      <c r="AZ59" s="3" t="s">
        <v>133</v>
      </c>
      <c r="BA59" s="3" t="s">
        <v>133</v>
      </c>
      <c r="BB59" s="3" t="s">
        <v>133</v>
      </c>
      <c r="BC59" s="3" t="s">
        <v>133</v>
      </c>
      <c r="BD59" s="3" t="s">
        <v>133</v>
      </c>
      <c r="BE59" s="3" t="s">
        <v>133</v>
      </c>
      <c r="BF59" s="3" t="s">
        <v>133</v>
      </c>
      <c r="BG59" s="3" t="s">
        <v>133</v>
      </c>
      <c r="BH59" s="3" t="s">
        <v>133</v>
      </c>
      <c r="BI59" s="3">
        <v>809987400</v>
      </c>
      <c r="BJ59" s="3">
        <v>447115600</v>
      </c>
      <c r="BK59" s="3">
        <v>194323500</v>
      </c>
      <c r="BL59" s="3">
        <v>242281100</v>
      </c>
      <c r="BM59" s="3">
        <v>603109300</v>
      </c>
      <c r="BN59" s="3">
        <v>410659700</v>
      </c>
      <c r="BO59" s="3">
        <v>143398800</v>
      </c>
      <c r="BP59" s="3">
        <v>-181383400</v>
      </c>
      <c r="BQ59" s="3">
        <v>502327600</v>
      </c>
      <c r="BR59" s="3">
        <v>473344600</v>
      </c>
      <c r="BS59" s="3">
        <v>-43078100</v>
      </c>
      <c r="BT59" s="3">
        <v>9112200</v>
      </c>
    </row>
    <row r="60" spans="1:72" x14ac:dyDescent="0.25">
      <c r="A60" s="3" t="s">
        <v>214</v>
      </c>
      <c r="B60" s="4">
        <f>IF(ISNUMBER(cash_original!B60),cash_original!B60/100000000,cash_original!B60)</f>
        <v>0</v>
      </c>
      <c r="C60" s="4">
        <f>IF(ISNUMBER(cash_original!C60),cash_original!C60/100000000,cash_original!C60)</f>
        <v>0</v>
      </c>
      <c r="D60" s="4">
        <f>IF(ISNUMBER(cash_original!D60),cash_original!D60/100000000,cash_original!D60)</f>
        <v>0</v>
      </c>
      <c r="E60" s="4">
        <f>IF(ISNUMBER(cash_original!E60),cash_original!E60/100000000,cash_original!E60)</f>
        <v>0</v>
      </c>
      <c r="F60" s="4">
        <f>IF(ISNUMBER(cash_original!F60),cash_original!F60/100000000,cash_original!F60)</f>
        <v>0</v>
      </c>
      <c r="G60" s="4">
        <f>IF(ISNUMBER(cash_original!G60),cash_original!G60/100000000,cash_original!G60)</f>
        <v>0</v>
      </c>
      <c r="H60" s="4">
        <f>IF(ISNUMBER(cash_original!H60),cash_original!H60/100000000,cash_original!H60)</f>
        <v>0</v>
      </c>
      <c r="I60" s="4">
        <f>IF(ISNUMBER(cash_original!I60),cash_original!I60/100000000,cash_original!I60)</f>
        <v>0</v>
      </c>
      <c r="J60" s="4">
        <f>IF(ISNUMBER(cash_original!J60),cash_original!J60/100000000,cash_original!J60)</f>
        <v>0</v>
      </c>
      <c r="K60" s="4">
        <f>IF(ISNUMBER(cash_original!K60),cash_original!K60/100000000,cash_original!K60)</f>
        <v>0</v>
      </c>
      <c r="L60" s="4">
        <f>IF(ISNUMBER(cash_original!L60),cash_original!L60/100000000,cash_original!L60)</f>
        <v>0</v>
      </c>
      <c r="M60" s="4">
        <f>IF(ISNUMBER(cash_original!M60),cash_original!M60/100000000,cash_original!M60)</f>
        <v>0</v>
      </c>
      <c r="N60" s="4">
        <f>IF(ISNUMBER(cash_original!N60),cash_original!N60/100000000,cash_original!N60)</f>
        <v>0</v>
      </c>
      <c r="O60" s="4">
        <f>IF(ISNUMBER(cash_original!O60),cash_original!O60/100000000,cash_original!O60)</f>
        <v>0</v>
      </c>
      <c r="P60" s="4">
        <f>IF(ISNUMBER(cash_original!P60),cash_original!P60/100000000,cash_original!P60)</f>
        <v>0</v>
      </c>
      <c r="Q60" s="4">
        <f>IF(ISNUMBER(cash_original!Q60),cash_original!Q60/100000000,cash_original!Q60)</f>
        <v>0</v>
      </c>
      <c r="R60" s="4">
        <f>IF(ISNUMBER(cash_original!R60),cash_original!R60/100000000,cash_original!R60)</f>
        <v>0</v>
      </c>
      <c r="S60" s="4">
        <f>IF(ISNUMBER(cash_original!S60),cash_original!S60/100000000,cash_original!S60)</f>
        <v>0</v>
      </c>
      <c r="T60" s="4">
        <f>IF(ISNUMBER(cash_original!T60),cash_original!T60/100000000,cash_original!T60)</f>
        <v>0</v>
      </c>
      <c r="U60" s="4">
        <f>IF(ISNUMBER(cash_original!U60),cash_original!U60/100000000,cash_original!U60)</f>
        <v>0</v>
      </c>
      <c r="V60" s="4">
        <f>IF(ISNUMBER(cash_original!V60),cash_original!V60/100000000,cash_original!V60)</f>
        <v>0</v>
      </c>
      <c r="W60" s="4">
        <f>IF(ISNUMBER(cash_original!W60),cash_original!W60/100000000,cash_original!W60)</f>
        <v>0</v>
      </c>
      <c r="X60" s="4">
        <f>IF(ISNUMBER(cash_original!X60),cash_original!X60/100000000,cash_original!X60)</f>
        <v>0</v>
      </c>
      <c r="Y60" s="4">
        <f>IF(ISNUMBER(cash_original!Y60),cash_original!Y60/100000000,cash_original!Y60)</f>
        <v>0</v>
      </c>
      <c r="Z60" s="4">
        <f>IF(ISNUMBER(cash_original!Z60),cash_original!Z60/100000000,cash_original!Z60)</f>
        <v>0</v>
      </c>
      <c r="AA60" s="4">
        <f>IF(ISNUMBER(cash_original!AA60),cash_original!AA60/100000000,cash_original!AA60)</f>
        <v>0</v>
      </c>
      <c r="AB60" s="4">
        <f>IF(ISNUMBER(cash_original!AB60),cash_original!AB60/100000000,cash_original!AB60)</f>
        <v>0</v>
      </c>
      <c r="AC60" s="4">
        <f>IF(ISNUMBER(cash_original!AC60),cash_original!AC60/100000000,cash_original!AC60)</f>
        <v>0</v>
      </c>
      <c r="AD60" s="4">
        <f>IF(ISNUMBER(cash_original!AD60),cash_original!AD60/100000000,cash_original!AD60)</f>
        <v>0</v>
      </c>
      <c r="AE60" s="4">
        <f>IF(ISNUMBER(cash_original!AE60),cash_original!AE60/100000000,cash_original!AE60)</f>
        <v>0</v>
      </c>
      <c r="AF60" s="4">
        <f>IF(ISNUMBER(cash_original!AF60),cash_original!AF60/100000000,cash_original!AF60)</f>
        <v>0</v>
      </c>
      <c r="AG60" s="4">
        <f>IF(ISNUMBER(cash_original!AG60),cash_original!AG60/100000000,cash_original!AG60)</f>
        <v>0</v>
      </c>
      <c r="AH60" s="4">
        <f>IF(ISNUMBER(cash_original!AH60),cash_original!AH60/100000000,cash_original!AH60)</f>
        <v>0</v>
      </c>
      <c r="AI60" s="4">
        <f>IF(ISNUMBER(cash_original!AI60),cash_original!AI60/100000000,cash_original!AI60)</f>
        <v>0</v>
      </c>
      <c r="AJ60" s="4">
        <f>IF(ISNUMBER(cash_original!AJ60),cash_original!AJ60/100000000,cash_original!AJ60)</f>
        <v>0</v>
      </c>
      <c r="AK60" s="4">
        <f>IF(ISNUMBER(cash_original!AK60),cash_original!AK60/100000000,cash_original!AK60)</f>
        <v>0</v>
      </c>
      <c r="AL60" s="4">
        <f>IF(ISNUMBER(cash_original!AL60),cash_original!AL60/100000000,cash_original!AL60)</f>
        <v>0</v>
      </c>
      <c r="AM60" s="4">
        <f>IF(ISNUMBER(cash_original!AM60),cash_original!AM60/100000000,cash_original!AM60)</f>
        <v>0</v>
      </c>
      <c r="AN60" s="4">
        <f>IF(ISNUMBER(cash_original!AN60),cash_original!AN60/100000000,cash_original!AN60)</f>
        <v>0</v>
      </c>
      <c r="AO60" s="4">
        <f>IF(ISNUMBER(cash_original!AO60),cash_original!AO60/100000000,cash_original!AO60)</f>
        <v>0</v>
      </c>
      <c r="AP60" s="4">
        <f>IF(ISNUMBER(cash_original!AP60),cash_original!AP60/100000000,cash_original!AP60)</f>
        <v>0</v>
      </c>
      <c r="AQ60" s="4">
        <f>IF(ISNUMBER(cash_original!AQ60),cash_original!AQ60/100000000,cash_original!AQ60)</f>
        <v>0</v>
      </c>
      <c r="AR60" s="4">
        <f>IF(ISNUMBER(cash_original!AR60),cash_original!AR60/100000000,cash_original!AR60)</f>
        <v>0</v>
      </c>
      <c r="AS60" s="4">
        <f>IF(ISNUMBER(cash_original!AS60),cash_original!AS60/100000000,cash_original!AS60)</f>
        <v>0</v>
      </c>
      <c r="AT60" s="4">
        <f>IF(ISNUMBER(cash_original!AT60),cash_original!AT60/100000000,cash_original!AT60)</f>
        <v>0</v>
      </c>
      <c r="AU60" s="4">
        <f>IF(ISNUMBER(cash_original!AU60),cash_original!AU60/100000000,cash_original!AU60)</f>
        <v>0</v>
      </c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</row>
    <row r="61" spans="1:72" x14ac:dyDescent="0.25">
      <c r="A61" s="3" t="s">
        <v>215</v>
      </c>
      <c r="B61" s="4">
        <f>IF(ISNUMBER(cash_original!B61),cash_original!B61/100000000,cash_original!B61)</f>
        <v>0</v>
      </c>
      <c r="C61" s="4">
        <f>IF(ISNUMBER(cash_original!C61),cash_original!C61/100000000,cash_original!C61)</f>
        <v>0</v>
      </c>
      <c r="D61" s="4">
        <f>IF(ISNUMBER(cash_original!D61),cash_original!D61/100000000,cash_original!D61)</f>
        <v>0</v>
      </c>
      <c r="E61" s="4">
        <f>IF(ISNUMBER(cash_original!E61),cash_original!E61/100000000,cash_original!E61)</f>
        <v>0</v>
      </c>
      <c r="F61" s="4">
        <f>IF(ISNUMBER(cash_original!F61),cash_original!F61/100000000,cash_original!F61)</f>
        <v>0</v>
      </c>
      <c r="G61" s="4">
        <f>IF(ISNUMBER(cash_original!G61),cash_original!G61/100000000,cash_original!G61)</f>
        <v>0</v>
      </c>
      <c r="H61" s="4">
        <f>IF(ISNUMBER(cash_original!H61),cash_original!H61/100000000,cash_original!H61)</f>
        <v>0</v>
      </c>
      <c r="I61" s="4">
        <f>IF(ISNUMBER(cash_original!I61),cash_original!I61/100000000,cash_original!I61)</f>
        <v>0</v>
      </c>
      <c r="J61" s="4">
        <f>IF(ISNUMBER(cash_original!J61),cash_original!J61/100000000,cash_original!J61)</f>
        <v>0</v>
      </c>
      <c r="K61" s="4">
        <f>IF(ISNUMBER(cash_original!K61),cash_original!K61/100000000,cash_original!K61)</f>
        <v>0</v>
      </c>
      <c r="L61" s="4">
        <f>IF(ISNUMBER(cash_original!L61),cash_original!L61/100000000,cash_original!L61)</f>
        <v>0</v>
      </c>
      <c r="M61" s="4">
        <f>IF(ISNUMBER(cash_original!M61),cash_original!M61/100000000,cash_original!M61)</f>
        <v>0</v>
      </c>
      <c r="N61" s="4">
        <f>IF(ISNUMBER(cash_original!N61),cash_original!N61/100000000,cash_original!N61)</f>
        <v>0</v>
      </c>
      <c r="O61" s="4">
        <f>IF(ISNUMBER(cash_original!O61),cash_original!O61/100000000,cash_original!O61)</f>
        <v>0</v>
      </c>
      <c r="P61" s="4">
        <f>IF(ISNUMBER(cash_original!P61),cash_original!P61/100000000,cash_original!P61)</f>
        <v>0</v>
      </c>
      <c r="Q61" s="4">
        <f>IF(ISNUMBER(cash_original!Q61),cash_original!Q61/100000000,cash_original!Q61)</f>
        <v>0</v>
      </c>
      <c r="R61" s="4">
        <f>IF(ISNUMBER(cash_original!R61),cash_original!R61/100000000,cash_original!R61)</f>
        <v>0</v>
      </c>
      <c r="S61" s="4">
        <f>IF(ISNUMBER(cash_original!S61),cash_original!S61/100000000,cash_original!S61)</f>
        <v>0</v>
      </c>
      <c r="T61" s="4">
        <f>IF(ISNUMBER(cash_original!T61),cash_original!T61/100000000,cash_original!T61)</f>
        <v>0</v>
      </c>
      <c r="U61" s="4">
        <f>IF(ISNUMBER(cash_original!U61),cash_original!U61/100000000,cash_original!U61)</f>
        <v>0</v>
      </c>
      <c r="V61" s="4">
        <f>IF(ISNUMBER(cash_original!V61),cash_original!V61/100000000,cash_original!V61)</f>
        <v>0</v>
      </c>
      <c r="W61" s="4">
        <f>IF(ISNUMBER(cash_original!W61),cash_original!W61/100000000,cash_original!W61)</f>
        <v>0</v>
      </c>
      <c r="X61" s="4">
        <f>IF(ISNUMBER(cash_original!X61),cash_original!X61/100000000,cash_original!X61)</f>
        <v>0</v>
      </c>
      <c r="Y61" s="4">
        <f>IF(ISNUMBER(cash_original!Y61),cash_original!Y61/100000000,cash_original!Y61)</f>
        <v>0</v>
      </c>
      <c r="Z61" s="4">
        <f>IF(ISNUMBER(cash_original!Z61),cash_original!Z61/100000000,cash_original!Z61)</f>
        <v>0</v>
      </c>
      <c r="AA61" s="4">
        <f>IF(ISNUMBER(cash_original!AA61),cash_original!AA61/100000000,cash_original!AA61)</f>
        <v>0</v>
      </c>
      <c r="AB61" s="4">
        <f>IF(ISNUMBER(cash_original!AB61),cash_original!AB61/100000000,cash_original!AB61)</f>
        <v>0</v>
      </c>
      <c r="AC61" s="4">
        <f>IF(ISNUMBER(cash_original!AC61),cash_original!AC61/100000000,cash_original!AC61)</f>
        <v>0</v>
      </c>
      <c r="AD61" s="4">
        <f>IF(ISNUMBER(cash_original!AD61),cash_original!AD61/100000000,cash_original!AD61)</f>
        <v>0</v>
      </c>
      <c r="AE61" s="4">
        <f>IF(ISNUMBER(cash_original!AE61),cash_original!AE61/100000000,cash_original!AE61)</f>
        <v>0</v>
      </c>
      <c r="AF61" s="4">
        <f>IF(ISNUMBER(cash_original!AF61),cash_original!AF61/100000000,cash_original!AF61)</f>
        <v>0</v>
      </c>
      <c r="AG61" s="4">
        <f>IF(ISNUMBER(cash_original!AG61),cash_original!AG61/100000000,cash_original!AG61)</f>
        <v>0</v>
      </c>
      <c r="AH61" s="4">
        <f>IF(ISNUMBER(cash_original!AH61),cash_original!AH61/100000000,cash_original!AH61)</f>
        <v>0</v>
      </c>
      <c r="AI61" s="4">
        <f>IF(ISNUMBER(cash_original!AI61),cash_original!AI61/100000000,cash_original!AI61)</f>
        <v>0</v>
      </c>
      <c r="AJ61" s="4">
        <f>IF(ISNUMBER(cash_original!AJ61),cash_original!AJ61/100000000,cash_original!AJ61)</f>
        <v>0</v>
      </c>
      <c r="AK61" s="4">
        <f>IF(ISNUMBER(cash_original!AK61),cash_original!AK61/100000000,cash_original!AK61)</f>
        <v>0</v>
      </c>
      <c r="AL61" s="4">
        <f>IF(ISNUMBER(cash_original!AL61),cash_original!AL61/100000000,cash_original!AL61)</f>
        <v>0</v>
      </c>
      <c r="AM61" s="4">
        <f>IF(ISNUMBER(cash_original!AM61),cash_original!AM61/100000000,cash_original!AM61)</f>
        <v>0</v>
      </c>
      <c r="AN61" s="4">
        <f>IF(ISNUMBER(cash_original!AN61),cash_original!AN61/100000000,cash_original!AN61)</f>
        <v>0</v>
      </c>
      <c r="AO61" s="4">
        <f>IF(ISNUMBER(cash_original!AO61),cash_original!AO61/100000000,cash_original!AO61)</f>
        <v>0</v>
      </c>
      <c r="AP61" s="4">
        <f>IF(ISNUMBER(cash_original!AP61),cash_original!AP61/100000000,cash_original!AP61)</f>
        <v>0</v>
      </c>
      <c r="AQ61" s="4">
        <f>IF(ISNUMBER(cash_original!AQ61),cash_original!AQ61/100000000,cash_original!AQ61)</f>
        <v>0</v>
      </c>
      <c r="AR61" s="4">
        <f>IF(ISNUMBER(cash_original!AR61),cash_original!AR61/100000000,cash_original!AR61)</f>
        <v>0</v>
      </c>
      <c r="AS61" s="4">
        <f>IF(ISNUMBER(cash_original!AS61),cash_original!AS61/100000000,cash_original!AS61)</f>
        <v>0</v>
      </c>
      <c r="AT61" s="4">
        <f>IF(ISNUMBER(cash_original!AT61),cash_original!AT61/100000000,cash_original!AT61)</f>
        <v>0</v>
      </c>
      <c r="AU61" s="4">
        <f>IF(ISNUMBER(cash_original!AU61),cash_original!AU61/100000000,cash_original!AU61)</f>
        <v>0</v>
      </c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</row>
    <row r="62" spans="1:72" x14ac:dyDescent="0.25">
      <c r="A62" s="3" t="s">
        <v>216</v>
      </c>
      <c r="B62" s="4" t="str">
        <f>IF(ISNUMBER(cash_original!B62),cash_original!B62/100000000,cash_original!B62)</f>
        <v>--</v>
      </c>
      <c r="C62" s="4" t="str">
        <f>IF(ISNUMBER(cash_original!C62),cash_original!C62/100000000,cash_original!C62)</f>
        <v>--</v>
      </c>
      <c r="D62" s="4" t="str">
        <f>IF(ISNUMBER(cash_original!D62),cash_original!D62/100000000,cash_original!D62)</f>
        <v>--</v>
      </c>
      <c r="E62" s="4" t="str">
        <f>IF(ISNUMBER(cash_original!E62),cash_original!E62/100000000,cash_original!E62)</f>
        <v>--</v>
      </c>
      <c r="F62" s="4" t="str">
        <f>IF(ISNUMBER(cash_original!F62),cash_original!F62/100000000,cash_original!F62)</f>
        <v>--</v>
      </c>
      <c r="G62" s="4" t="str">
        <f>IF(ISNUMBER(cash_original!G62),cash_original!G62/100000000,cash_original!G62)</f>
        <v>--</v>
      </c>
      <c r="H62" s="4" t="str">
        <f>IF(ISNUMBER(cash_original!H62),cash_original!H62/100000000,cash_original!H62)</f>
        <v>--</v>
      </c>
      <c r="I62" s="4" t="str">
        <f>IF(ISNUMBER(cash_original!I62),cash_original!I62/100000000,cash_original!I62)</f>
        <v>--</v>
      </c>
      <c r="J62" s="4" t="str">
        <f>IF(ISNUMBER(cash_original!J62),cash_original!J62/100000000,cash_original!J62)</f>
        <v>--</v>
      </c>
      <c r="K62" s="4" t="str">
        <f>IF(ISNUMBER(cash_original!K62),cash_original!K62/100000000,cash_original!K62)</f>
        <v>--</v>
      </c>
      <c r="L62" s="4" t="str">
        <f>IF(ISNUMBER(cash_original!L62),cash_original!L62/100000000,cash_original!L62)</f>
        <v>--</v>
      </c>
      <c r="M62" s="4" t="str">
        <f>IF(ISNUMBER(cash_original!M62),cash_original!M62/100000000,cash_original!M62)</f>
        <v>--</v>
      </c>
      <c r="N62" s="4" t="str">
        <f>IF(ISNUMBER(cash_original!N62),cash_original!N62/100000000,cash_original!N62)</f>
        <v>--</v>
      </c>
      <c r="O62" s="4" t="str">
        <f>IF(ISNUMBER(cash_original!O62),cash_original!O62/100000000,cash_original!O62)</f>
        <v>--</v>
      </c>
      <c r="P62" s="4" t="str">
        <f>IF(ISNUMBER(cash_original!P62),cash_original!P62/100000000,cash_original!P62)</f>
        <v>--</v>
      </c>
      <c r="Q62" s="4" t="str">
        <f>IF(ISNUMBER(cash_original!Q62),cash_original!Q62/100000000,cash_original!Q62)</f>
        <v>--</v>
      </c>
      <c r="R62" s="4" t="str">
        <f>IF(ISNUMBER(cash_original!R62),cash_original!R62/100000000,cash_original!R62)</f>
        <v>--</v>
      </c>
      <c r="S62" s="4" t="str">
        <f>IF(ISNUMBER(cash_original!S62),cash_original!S62/100000000,cash_original!S62)</f>
        <v>--</v>
      </c>
      <c r="T62" s="4" t="str">
        <f>IF(ISNUMBER(cash_original!T62),cash_original!T62/100000000,cash_original!T62)</f>
        <v>--</v>
      </c>
      <c r="U62" s="4" t="str">
        <f>IF(ISNUMBER(cash_original!U62),cash_original!U62/100000000,cash_original!U62)</f>
        <v>--</v>
      </c>
      <c r="V62" s="4" t="str">
        <f>IF(ISNUMBER(cash_original!V62),cash_original!V62/100000000,cash_original!V62)</f>
        <v>--</v>
      </c>
      <c r="W62" s="4" t="str">
        <f>IF(ISNUMBER(cash_original!W62),cash_original!W62/100000000,cash_original!W62)</f>
        <v>--</v>
      </c>
      <c r="X62" s="4" t="str">
        <f>IF(ISNUMBER(cash_original!X62),cash_original!X62/100000000,cash_original!X62)</f>
        <v>--</v>
      </c>
      <c r="Y62" s="4" t="str">
        <f>IF(ISNUMBER(cash_original!Y62),cash_original!Y62/100000000,cash_original!Y62)</f>
        <v>--</v>
      </c>
      <c r="Z62" s="4" t="str">
        <f>IF(ISNUMBER(cash_original!Z62),cash_original!Z62/100000000,cash_original!Z62)</f>
        <v>--</v>
      </c>
      <c r="AA62" s="4" t="str">
        <f>IF(ISNUMBER(cash_original!AA62),cash_original!AA62/100000000,cash_original!AA62)</f>
        <v>--</v>
      </c>
      <c r="AB62" s="4" t="str">
        <f>IF(ISNUMBER(cash_original!AB62),cash_original!AB62/100000000,cash_original!AB62)</f>
        <v>--</v>
      </c>
      <c r="AC62" s="4" t="str">
        <f>IF(ISNUMBER(cash_original!AC62),cash_original!AC62/100000000,cash_original!AC62)</f>
        <v>--</v>
      </c>
      <c r="AD62" s="4" t="str">
        <f>IF(ISNUMBER(cash_original!AD62),cash_original!AD62/100000000,cash_original!AD62)</f>
        <v>--</v>
      </c>
      <c r="AE62" s="4" t="str">
        <f>IF(ISNUMBER(cash_original!AE62),cash_original!AE62/100000000,cash_original!AE62)</f>
        <v>--</v>
      </c>
      <c r="AF62" s="4" t="str">
        <f>IF(ISNUMBER(cash_original!AF62),cash_original!AF62/100000000,cash_original!AF62)</f>
        <v>--</v>
      </c>
      <c r="AG62" s="4" t="str">
        <f>IF(ISNUMBER(cash_original!AG62),cash_original!AG62/100000000,cash_original!AG62)</f>
        <v>--</v>
      </c>
      <c r="AH62" s="4" t="str">
        <f>IF(ISNUMBER(cash_original!AH62),cash_original!AH62/100000000,cash_original!AH62)</f>
        <v>--</v>
      </c>
      <c r="AI62" s="4" t="str">
        <f>IF(ISNUMBER(cash_original!AI62),cash_original!AI62/100000000,cash_original!AI62)</f>
        <v>--</v>
      </c>
      <c r="AJ62" s="4" t="str">
        <f>IF(ISNUMBER(cash_original!AJ62),cash_original!AJ62/100000000,cash_original!AJ62)</f>
        <v>--</v>
      </c>
      <c r="AK62" s="4" t="str">
        <f>IF(ISNUMBER(cash_original!AK62),cash_original!AK62/100000000,cash_original!AK62)</f>
        <v>--</v>
      </c>
      <c r="AL62" s="4" t="str">
        <f>IF(ISNUMBER(cash_original!AL62),cash_original!AL62/100000000,cash_original!AL62)</f>
        <v>--</v>
      </c>
      <c r="AM62" s="4" t="str">
        <f>IF(ISNUMBER(cash_original!AM62),cash_original!AM62/100000000,cash_original!AM62)</f>
        <v>--</v>
      </c>
      <c r="AN62" s="4" t="str">
        <f>IF(ISNUMBER(cash_original!AN62),cash_original!AN62/100000000,cash_original!AN62)</f>
        <v>--</v>
      </c>
      <c r="AO62" s="4" t="str">
        <f>IF(ISNUMBER(cash_original!AO62),cash_original!AO62/100000000,cash_original!AO62)</f>
        <v>--</v>
      </c>
      <c r="AP62" s="4" t="str">
        <f>IF(ISNUMBER(cash_original!AP62),cash_original!AP62/100000000,cash_original!AP62)</f>
        <v>--</v>
      </c>
      <c r="AQ62" s="4" t="str">
        <f>IF(ISNUMBER(cash_original!AQ62),cash_original!AQ62/100000000,cash_original!AQ62)</f>
        <v>--</v>
      </c>
      <c r="AR62" s="4" t="str">
        <f>IF(ISNUMBER(cash_original!AR62),cash_original!AR62/100000000,cash_original!AR62)</f>
        <v>--</v>
      </c>
      <c r="AS62" s="4" t="str">
        <f>IF(ISNUMBER(cash_original!AS62),cash_original!AS62/100000000,cash_original!AS62)</f>
        <v>--</v>
      </c>
      <c r="AT62" s="4" t="str">
        <f>IF(ISNUMBER(cash_original!AT62),cash_original!AT62/100000000,cash_original!AT62)</f>
        <v>--</v>
      </c>
      <c r="AU62" s="4" t="str">
        <f>IF(ISNUMBER(cash_original!AU62),cash_original!AU62/100000000,cash_original!AU62)</f>
        <v>--</v>
      </c>
      <c r="AV62" s="3" t="s">
        <v>133</v>
      </c>
      <c r="AW62" s="3" t="s">
        <v>133</v>
      </c>
      <c r="AX62" s="3" t="s">
        <v>133</v>
      </c>
      <c r="AY62" s="3" t="s">
        <v>133</v>
      </c>
      <c r="AZ62" s="3" t="s">
        <v>133</v>
      </c>
      <c r="BA62" s="3" t="s">
        <v>133</v>
      </c>
      <c r="BB62" s="3" t="s">
        <v>133</v>
      </c>
      <c r="BC62" s="3" t="s">
        <v>133</v>
      </c>
      <c r="BD62" s="3" t="s">
        <v>133</v>
      </c>
      <c r="BE62" s="3" t="s">
        <v>133</v>
      </c>
      <c r="BF62" s="3" t="s">
        <v>133</v>
      </c>
      <c r="BG62" s="3" t="s">
        <v>133</v>
      </c>
      <c r="BH62" s="3" t="s">
        <v>133</v>
      </c>
      <c r="BI62" s="3">
        <v>674982200</v>
      </c>
      <c r="BJ62" s="3">
        <v>151792500</v>
      </c>
      <c r="BK62" s="3">
        <v>40289400</v>
      </c>
      <c r="BL62" s="3">
        <v>3024925300</v>
      </c>
      <c r="BM62" s="3">
        <v>479038500</v>
      </c>
      <c r="BN62" s="3">
        <v>246498800</v>
      </c>
      <c r="BO62" s="3">
        <v>81459600</v>
      </c>
      <c r="BP62" s="3">
        <v>2091330600</v>
      </c>
      <c r="BQ62" s="3">
        <v>471252400</v>
      </c>
      <c r="BR62" s="3">
        <v>332543600</v>
      </c>
      <c r="BS62" s="3">
        <v>-148708400</v>
      </c>
      <c r="BT62" s="3">
        <v>1684957700</v>
      </c>
    </row>
    <row r="63" spans="1:72" x14ac:dyDescent="0.25">
      <c r="A63" s="3" t="s">
        <v>217</v>
      </c>
      <c r="B63" s="4" t="str">
        <f>IF(ISNUMBER(cash_original!B63),cash_original!B63/100000000,cash_original!B63)</f>
        <v>--</v>
      </c>
      <c r="C63" s="4" t="str">
        <f>IF(ISNUMBER(cash_original!C63),cash_original!C63/100000000,cash_original!C63)</f>
        <v>--</v>
      </c>
      <c r="D63" s="4" t="str">
        <f>IF(ISNUMBER(cash_original!D63),cash_original!D63/100000000,cash_original!D63)</f>
        <v>--</v>
      </c>
      <c r="E63" s="4" t="str">
        <f>IF(ISNUMBER(cash_original!E63),cash_original!E63/100000000,cash_original!E63)</f>
        <v>--</v>
      </c>
      <c r="F63" s="4" t="str">
        <f>IF(ISNUMBER(cash_original!F63),cash_original!F63/100000000,cash_original!F63)</f>
        <v>--</v>
      </c>
      <c r="G63" s="4" t="str">
        <f>IF(ISNUMBER(cash_original!G63),cash_original!G63/100000000,cash_original!G63)</f>
        <v>--</v>
      </c>
      <c r="H63" s="4" t="str">
        <f>IF(ISNUMBER(cash_original!H63),cash_original!H63/100000000,cash_original!H63)</f>
        <v>--</v>
      </c>
      <c r="I63" s="4" t="str">
        <f>IF(ISNUMBER(cash_original!I63),cash_original!I63/100000000,cash_original!I63)</f>
        <v>--</v>
      </c>
      <c r="J63" s="4" t="str">
        <f>IF(ISNUMBER(cash_original!J63),cash_original!J63/100000000,cash_original!J63)</f>
        <v>--</v>
      </c>
      <c r="K63" s="4" t="str">
        <f>IF(ISNUMBER(cash_original!K63),cash_original!K63/100000000,cash_original!K63)</f>
        <v>--</v>
      </c>
      <c r="L63" s="4" t="str">
        <f>IF(ISNUMBER(cash_original!L63),cash_original!L63/100000000,cash_original!L63)</f>
        <v>--</v>
      </c>
      <c r="M63" s="4" t="str">
        <f>IF(ISNUMBER(cash_original!M63),cash_original!M63/100000000,cash_original!M63)</f>
        <v>--</v>
      </c>
      <c r="N63" s="4" t="str">
        <f>IF(ISNUMBER(cash_original!N63),cash_original!N63/100000000,cash_original!N63)</f>
        <v>--</v>
      </c>
      <c r="O63" s="4" t="str">
        <f>IF(ISNUMBER(cash_original!O63),cash_original!O63/100000000,cash_original!O63)</f>
        <v>--</v>
      </c>
      <c r="P63" s="4" t="str">
        <f>IF(ISNUMBER(cash_original!P63),cash_original!P63/100000000,cash_original!P63)</f>
        <v>--</v>
      </c>
      <c r="Q63" s="4" t="str">
        <f>IF(ISNUMBER(cash_original!Q63),cash_original!Q63/100000000,cash_original!Q63)</f>
        <v>--</v>
      </c>
      <c r="R63" s="4" t="str">
        <f>IF(ISNUMBER(cash_original!R63),cash_original!R63/100000000,cash_original!R63)</f>
        <v>--</v>
      </c>
      <c r="S63" s="4" t="str">
        <f>IF(ISNUMBER(cash_original!S63),cash_original!S63/100000000,cash_original!S63)</f>
        <v>--</v>
      </c>
      <c r="T63" s="4" t="str">
        <f>IF(ISNUMBER(cash_original!T63),cash_original!T63/100000000,cash_original!T63)</f>
        <v>--</v>
      </c>
      <c r="U63" s="4" t="str">
        <f>IF(ISNUMBER(cash_original!U63),cash_original!U63/100000000,cash_original!U63)</f>
        <v>--</v>
      </c>
      <c r="V63" s="4" t="str">
        <f>IF(ISNUMBER(cash_original!V63),cash_original!V63/100000000,cash_original!V63)</f>
        <v>--</v>
      </c>
      <c r="W63" s="4" t="str">
        <f>IF(ISNUMBER(cash_original!W63),cash_original!W63/100000000,cash_original!W63)</f>
        <v>--</v>
      </c>
      <c r="X63" s="4" t="str">
        <f>IF(ISNUMBER(cash_original!X63),cash_original!X63/100000000,cash_original!X63)</f>
        <v>--</v>
      </c>
      <c r="Y63" s="4" t="str">
        <f>IF(ISNUMBER(cash_original!Y63),cash_original!Y63/100000000,cash_original!Y63)</f>
        <v>--</v>
      </c>
      <c r="Z63" s="4" t="str">
        <f>IF(ISNUMBER(cash_original!Z63),cash_original!Z63/100000000,cash_original!Z63)</f>
        <v>--</v>
      </c>
      <c r="AA63" s="4" t="str">
        <f>IF(ISNUMBER(cash_original!AA63),cash_original!AA63/100000000,cash_original!AA63)</f>
        <v>--</v>
      </c>
      <c r="AB63" s="4" t="str">
        <f>IF(ISNUMBER(cash_original!AB63),cash_original!AB63/100000000,cash_original!AB63)</f>
        <v>--</v>
      </c>
      <c r="AC63" s="4" t="str">
        <f>IF(ISNUMBER(cash_original!AC63),cash_original!AC63/100000000,cash_original!AC63)</f>
        <v>--</v>
      </c>
      <c r="AD63" s="4" t="str">
        <f>IF(ISNUMBER(cash_original!AD63),cash_original!AD63/100000000,cash_original!AD63)</f>
        <v>--</v>
      </c>
      <c r="AE63" s="4" t="str">
        <f>IF(ISNUMBER(cash_original!AE63),cash_original!AE63/100000000,cash_original!AE63)</f>
        <v>--</v>
      </c>
      <c r="AF63" s="4" t="str">
        <f>IF(ISNUMBER(cash_original!AF63),cash_original!AF63/100000000,cash_original!AF63)</f>
        <v>--</v>
      </c>
      <c r="AG63" s="4" t="str">
        <f>IF(ISNUMBER(cash_original!AG63),cash_original!AG63/100000000,cash_original!AG63)</f>
        <v>--</v>
      </c>
      <c r="AH63" s="4" t="str">
        <f>IF(ISNUMBER(cash_original!AH63),cash_original!AH63/100000000,cash_original!AH63)</f>
        <v>--</v>
      </c>
      <c r="AI63" s="4" t="str">
        <f>IF(ISNUMBER(cash_original!AI63),cash_original!AI63/100000000,cash_original!AI63)</f>
        <v>--</v>
      </c>
      <c r="AJ63" s="4" t="str">
        <f>IF(ISNUMBER(cash_original!AJ63),cash_original!AJ63/100000000,cash_original!AJ63)</f>
        <v>--</v>
      </c>
      <c r="AK63" s="4" t="str">
        <f>IF(ISNUMBER(cash_original!AK63),cash_original!AK63/100000000,cash_original!AK63)</f>
        <v>--</v>
      </c>
      <c r="AL63" s="4" t="str">
        <f>IF(ISNUMBER(cash_original!AL63),cash_original!AL63/100000000,cash_original!AL63)</f>
        <v>--</v>
      </c>
      <c r="AM63" s="4" t="str">
        <f>IF(ISNUMBER(cash_original!AM63),cash_original!AM63/100000000,cash_original!AM63)</f>
        <v>--</v>
      </c>
      <c r="AN63" s="4" t="str">
        <f>IF(ISNUMBER(cash_original!AN63),cash_original!AN63/100000000,cash_original!AN63)</f>
        <v>--</v>
      </c>
      <c r="AO63" s="4" t="str">
        <f>IF(ISNUMBER(cash_original!AO63),cash_original!AO63/100000000,cash_original!AO63)</f>
        <v>--</v>
      </c>
      <c r="AP63" s="4" t="str">
        <f>IF(ISNUMBER(cash_original!AP63),cash_original!AP63/100000000,cash_original!AP63)</f>
        <v>--</v>
      </c>
      <c r="AQ63" s="4" t="str">
        <f>IF(ISNUMBER(cash_original!AQ63),cash_original!AQ63/100000000,cash_original!AQ63)</f>
        <v>--</v>
      </c>
      <c r="AR63" s="4" t="str">
        <f>IF(ISNUMBER(cash_original!AR63),cash_original!AR63/100000000,cash_original!AR63)</f>
        <v>--</v>
      </c>
      <c r="AS63" s="4" t="str">
        <f>IF(ISNUMBER(cash_original!AS63),cash_original!AS63/100000000,cash_original!AS63)</f>
        <v>--</v>
      </c>
      <c r="AT63" s="4" t="str">
        <f>IF(ISNUMBER(cash_original!AT63),cash_original!AT63/100000000,cash_original!AT63)</f>
        <v>--</v>
      </c>
      <c r="AU63" s="4" t="str">
        <f>IF(ISNUMBER(cash_original!AU63),cash_original!AU63/100000000,cash_original!AU63)</f>
        <v>--</v>
      </c>
      <c r="AV63" s="3" t="s">
        <v>133</v>
      </c>
      <c r="AW63" s="3" t="s">
        <v>133</v>
      </c>
      <c r="AX63" s="3" t="s">
        <v>133</v>
      </c>
      <c r="AY63" s="3" t="s">
        <v>133</v>
      </c>
      <c r="AZ63" s="3" t="s">
        <v>133</v>
      </c>
      <c r="BA63" s="3" t="s">
        <v>133</v>
      </c>
      <c r="BB63" s="3" t="s">
        <v>133</v>
      </c>
      <c r="BC63" s="3" t="s">
        <v>133</v>
      </c>
      <c r="BD63" s="3" t="s">
        <v>133</v>
      </c>
      <c r="BE63" s="3" t="s">
        <v>133</v>
      </c>
      <c r="BF63" s="3" t="s">
        <v>133</v>
      </c>
      <c r="BG63" s="3" t="s">
        <v>133</v>
      </c>
      <c r="BH63" s="3" t="s">
        <v>133</v>
      </c>
      <c r="BI63" s="3" t="s">
        <v>133</v>
      </c>
      <c r="BJ63" s="3" t="s">
        <v>133</v>
      </c>
      <c r="BK63" s="3" t="s">
        <v>133</v>
      </c>
      <c r="BL63" s="3">
        <v>2898327400</v>
      </c>
      <c r="BM63" s="3" t="s">
        <v>133</v>
      </c>
      <c r="BN63" s="3" t="s">
        <v>133</v>
      </c>
      <c r="BO63" s="3">
        <v>-211400</v>
      </c>
      <c r="BP63" s="3">
        <v>2340258800</v>
      </c>
      <c r="BQ63" s="3" t="s">
        <v>133</v>
      </c>
      <c r="BR63" s="3" t="s">
        <v>133</v>
      </c>
      <c r="BS63" s="3" t="s">
        <v>133</v>
      </c>
      <c r="BT63" s="3">
        <v>1780307700</v>
      </c>
    </row>
    <row r="64" spans="1:72" x14ac:dyDescent="0.25">
      <c r="A64" s="3" t="s">
        <v>218</v>
      </c>
      <c r="B64" s="4" t="str">
        <f>IF(ISNUMBER(cash_original!B64),cash_original!B64/100000000,cash_original!B64)</f>
        <v>--</v>
      </c>
      <c r="C64" s="4" t="str">
        <f>IF(ISNUMBER(cash_original!C64),cash_original!C64/100000000,cash_original!C64)</f>
        <v>--</v>
      </c>
      <c r="D64" s="4" t="str">
        <f>IF(ISNUMBER(cash_original!D64),cash_original!D64/100000000,cash_original!D64)</f>
        <v>--</v>
      </c>
      <c r="E64" s="4" t="str">
        <f>IF(ISNUMBER(cash_original!E64),cash_original!E64/100000000,cash_original!E64)</f>
        <v>--</v>
      </c>
      <c r="F64" s="4" t="str">
        <f>IF(ISNUMBER(cash_original!F64),cash_original!F64/100000000,cash_original!F64)</f>
        <v>--</v>
      </c>
      <c r="G64" s="4" t="str">
        <f>IF(ISNUMBER(cash_original!G64),cash_original!G64/100000000,cash_original!G64)</f>
        <v>--</v>
      </c>
      <c r="H64" s="4" t="str">
        <f>IF(ISNUMBER(cash_original!H64),cash_original!H64/100000000,cash_original!H64)</f>
        <v>--</v>
      </c>
      <c r="I64" s="4" t="str">
        <f>IF(ISNUMBER(cash_original!I64),cash_original!I64/100000000,cash_original!I64)</f>
        <v>--</v>
      </c>
      <c r="J64" s="4" t="str">
        <f>IF(ISNUMBER(cash_original!J64),cash_original!J64/100000000,cash_original!J64)</f>
        <v>--</v>
      </c>
      <c r="K64" s="4" t="str">
        <f>IF(ISNUMBER(cash_original!K64),cash_original!K64/100000000,cash_original!K64)</f>
        <v>--</v>
      </c>
      <c r="L64" s="4" t="str">
        <f>IF(ISNUMBER(cash_original!L64),cash_original!L64/100000000,cash_original!L64)</f>
        <v>--</v>
      </c>
      <c r="M64" s="4" t="str">
        <f>IF(ISNUMBER(cash_original!M64),cash_original!M64/100000000,cash_original!M64)</f>
        <v>--</v>
      </c>
      <c r="N64" s="4" t="str">
        <f>IF(ISNUMBER(cash_original!N64),cash_original!N64/100000000,cash_original!N64)</f>
        <v>--</v>
      </c>
      <c r="O64" s="4" t="str">
        <f>IF(ISNUMBER(cash_original!O64),cash_original!O64/100000000,cash_original!O64)</f>
        <v>--</v>
      </c>
      <c r="P64" s="4" t="str">
        <f>IF(ISNUMBER(cash_original!P64),cash_original!P64/100000000,cash_original!P64)</f>
        <v>--</v>
      </c>
      <c r="Q64" s="4" t="str">
        <f>IF(ISNUMBER(cash_original!Q64),cash_original!Q64/100000000,cash_original!Q64)</f>
        <v>--</v>
      </c>
      <c r="R64" s="4" t="str">
        <f>IF(ISNUMBER(cash_original!R64),cash_original!R64/100000000,cash_original!R64)</f>
        <v>--</v>
      </c>
      <c r="S64" s="4" t="str">
        <f>IF(ISNUMBER(cash_original!S64),cash_original!S64/100000000,cash_original!S64)</f>
        <v>--</v>
      </c>
      <c r="T64" s="4" t="str">
        <f>IF(ISNUMBER(cash_original!T64),cash_original!T64/100000000,cash_original!T64)</f>
        <v>--</v>
      </c>
      <c r="U64" s="4" t="str">
        <f>IF(ISNUMBER(cash_original!U64),cash_original!U64/100000000,cash_original!U64)</f>
        <v>--</v>
      </c>
      <c r="V64" s="4" t="str">
        <f>IF(ISNUMBER(cash_original!V64),cash_original!V64/100000000,cash_original!V64)</f>
        <v>--</v>
      </c>
      <c r="W64" s="4" t="str">
        <f>IF(ISNUMBER(cash_original!W64),cash_original!W64/100000000,cash_original!W64)</f>
        <v>--</v>
      </c>
      <c r="X64" s="4" t="str">
        <f>IF(ISNUMBER(cash_original!X64),cash_original!X64/100000000,cash_original!X64)</f>
        <v>--</v>
      </c>
      <c r="Y64" s="4" t="str">
        <f>IF(ISNUMBER(cash_original!Y64),cash_original!Y64/100000000,cash_original!Y64)</f>
        <v>--</v>
      </c>
      <c r="Z64" s="4" t="str">
        <f>IF(ISNUMBER(cash_original!Z64),cash_original!Z64/100000000,cash_original!Z64)</f>
        <v>--</v>
      </c>
      <c r="AA64" s="4" t="str">
        <f>IF(ISNUMBER(cash_original!AA64),cash_original!AA64/100000000,cash_original!AA64)</f>
        <v>--</v>
      </c>
      <c r="AB64" s="4" t="str">
        <f>IF(ISNUMBER(cash_original!AB64),cash_original!AB64/100000000,cash_original!AB64)</f>
        <v>--</v>
      </c>
      <c r="AC64" s="4" t="str">
        <f>IF(ISNUMBER(cash_original!AC64),cash_original!AC64/100000000,cash_original!AC64)</f>
        <v>--</v>
      </c>
      <c r="AD64" s="4" t="str">
        <f>IF(ISNUMBER(cash_original!AD64),cash_original!AD64/100000000,cash_original!AD64)</f>
        <v>--</v>
      </c>
      <c r="AE64" s="4" t="str">
        <f>IF(ISNUMBER(cash_original!AE64),cash_original!AE64/100000000,cash_original!AE64)</f>
        <v>--</v>
      </c>
      <c r="AF64" s="4" t="str">
        <f>IF(ISNUMBER(cash_original!AF64),cash_original!AF64/100000000,cash_original!AF64)</f>
        <v>--</v>
      </c>
      <c r="AG64" s="4" t="str">
        <f>IF(ISNUMBER(cash_original!AG64),cash_original!AG64/100000000,cash_original!AG64)</f>
        <v>--</v>
      </c>
      <c r="AH64" s="4" t="str">
        <f>IF(ISNUMBER(cash_original!AH64),cash_original!AH64/100000000,cash_original!AH64)</f>
        <v>--</v>
      </c>
      <c r="AI64" s="4" t="str">
        <f>IF(ISNUMBER(cash_original!AI64),cash_original!AI64/100000000,cash_original!AI64)</f>
        <v>--</v>
      </c>
      <c r="AJ64" s="4" t="str">
        <f>IF(ISNUMBER(cash_original!AJ64),cash_original!AJ64/100000000,cash_original!AJ64)</f>
        <v>--</v>
      </c>
      <c r="AK64" s="4" t="str">
        <f>IF(ISNUMBER(cash_original!AK64),cash_original!AK64/100000000,cash_original!AK64)</f>
        <v>--</v>
      </c>
      <c r="AL64" s="4" t="str">
        <f>IF(ISNUMBER(cash_original!AL64),cash_original!AL64/100000000,cash_original!AL64)</f>
        <v>--</v>
      </c>
      <c r="AM64" s="4" t="str">
        <f>IF(ISNUMBER(cash_original!AM64),cash_original!AM64/100000000,cash_original!AM64)</f>
        <v>--</v>
      </c>
      <c r="AN64" s="4" t="str">
        <f>IF(ISNUMBER(cash_original!AN64),cash_original!AN64/100000000,cash_original!AN64)</f>
        <v>--</v>
      </c>
      <c r="AO64" s="4" t="str">
        <f>IF(ISNUMBER(cash_original!AO64),cash_original!AO64/100000000,cash_original!AO64)</f>
        <v>--</v>
      </c>
      <c r="AP64" s="4" t="str">
        <f>IF(ISNUMBER(cash_original!AP64),cash_original!AP64/100000000,cash_original!AP64)</f>
        <v>--</v>
      </c>
      <c r="AQ64" s="4" t="str">
        <f>IF(ISNUMBER(cash_original!AQ64),cash_original!AQ64/100000000,cash_original!AQ64)</f>
        <v>--</v>
      </c>
      <c r="AR64" s="4" t="str">
        <f>IF(ISNUMBER(cash_original!AR64),cash_original!AR64/100000000,cash_original!AR64)</f>
        <v>--</v>
      </c>
      <c r="AS64" s="4" t="str">
        <f>IF(ISNUMBER(cash_original!AS64),cash_original!AS64/100000000,cash_original!AS64)</f>
        <v>--</v>
      </c>
      <c r="AT64" s="4" t="str">
        <f>IF(ISNUMBER(cash_original!AT64),cash_original!AT64/100000000,cash_original!AT64)</f>
        <v>--</v>
      </c>
      <c r="AU64" s="4" t="str">
        <f>IF(ISNUMBER(cash_original!AU64),cash_original!AU64/100000000,cash_original!AU64)</f>
        <v>--</v>
      </c>
      <c r="AV64" s="3" t="s">
        <v>133</v>
      </c>
      <c r="AW64" s="3" t="s">
        <v>133</v>
      </c>
      <c r="AX64" s="3" t="s">
        <v>133</v>
      </c>
      <c r="AY64" s="3" t="s">
        <v>133</v>
      </c>
      <c r="AZ64" s="3" t="s">
        <v>133</v>
      </c>
      <c r="BA64" s="3" t="s">
        <v>133</v>
      </c>
      <c r="BB64" s="3" t="s">
        <v>133</v>
      </c>
      <c r="BC64" s="3" t="s">
        <v>133</v>
      </c>
      <c r="BD64" s="3" t="s">
        <v>133</v>
      </c>
      <c r="BE64" s="3" t="s">
        <v>133</v>
      </c>
      <c r="BF64" s="3" t="s">
        <v>133</v>
      </c>
      <c r="BG64" s="3" t="s">
        <v>133</v>
      </c>
      <c r="BH64" s="3" t="s">
        <v>133</v>
      </c>
      <c r="BI64" s="3">
        <v>674982200</v>
      </c>
      <c r="BJ64" s="3">
        <v>151792500</v>
      </c>
      <c r="BK64" s="3">
        <v>40289400</v>
      </c>
      <c r="BL64" s="3">
        <v>126597900</v>
      </c>
      <c r="BM64" s="3">
        <v>479038500</v>
      </c>
      <c r="BN64" s="3">
        <v>246498800</v>
      </c>
      <c r="BO64" s="3">
        <v>81671000</v>
      </c>
      <c r="BP64" s="3">
        <v>-248928200</v>
      </c>
      <c r="BQ64" s="3">
        <v>471254400</v>
      </c>
      <c r="BR64" s="3">
        <v>332543600</v>
      </c>
      <c r="BS64" s="3">
        <v>-148708400</v>
      </c>
      <c r="BT64" s="3">
        <v>-95350000</v>
      </c>
    </row>
    <row r="65" spans="2:47" x14ac:dyDescent="0.25">
      <c r="B65" s="4">
        <f>IF(ISNUMBER(cash_original!B65),cash_original!B65/100000000,cash_original!B65)</f>
        <v>0</v>
      </c>
      <c r="C65" s="4">
        <f>IF(ISNUMBER(cash_original!C65),cash_original!C65/100000000,cash_original!C65)</f>
        <v>0</v>
      </c>
      <c r="D65" s="4">
        <f>IF(ISNUMBER(cash_original!D65),cash_original!D65/100000000,cash_original!D65)</f>
        <v>0</v>
      </c>
      <c r="E65" s="4">
        <f>IF(ISNUMBER(cash_original!E65),cash_original!E65/100000000,cash_original!E65)</f>
        <v>0</v>
      </c>
      <c r="F65" s="4">
        <f>IF(ISNUMBER(cash_original!F65),cash_original!F65/100000000,cash_original!F65)</f>
        <v>0</v>
      </c>
      <c r="G65" s="4">
        <f>IF(ISNUMBER(cash_original!G65),cash_original!G65/100000000,cash_original!G65)</f>
        <v>0</v>
      </c>
      <c r="H65" s="4">
        <f>IF(ISNUMBER(cash_original!H65),cash_original!H65/100000000,cash_original!H65)</f>
        <v>0</v>
      </c>
      <c r="I65" s="4">
        <f>IF(ISNUMBER(cash_original!I65),cash_original!I65/100000000,cash_original!I65)</f>
        <v>0</v>
      </c>
      <c r="J65" s="4">
        <f>IF(ISNUMBER(cash_original!J65),cash_original!J65/100000000,cash_original!J65)</f>
        <v>0</v>
      </c>
      <c r="K65" s="4">
        <f>IF(ISNUMBER(cash_original!K65),cash_original!K65/100000000,cash_original!K65)</f>
        <v>0</v>
      </c>
      <c r="L65" s="4">
        <f>IF(ISNUMBER(cash_original!L65),cash_original!L65/100000000,cash_original!L65)</f>
        <v>0</v>
      </c>
      <c r="M65" s="4">
        <f>IF(ISNUMBER(cash_original!M65),cash_original!M65/100000000,cash_original!M65)</f>
        <v>0</v>
      </c>
      <c r="N65" s="4">
        <f>IF(ISNUMBER(cash_original!N65),cash_original!N65/100000000,cash_original!N65)</f>
        <v>0</v>
      </c>
      <c r="O65" s="4">
        <f>IF(ISNUMBER(cash_original!O65),cash_original!O65/100000000,cash_original!O65)</f>
        <v>0</v>
      </c>
      <c r="P65" s="4">
        <f>IF(ISNUMBER(cash_original!P65),cash_original!P65/100000000,cash_original!P65)</f>
        <v>0</v>
      </c>
      <c r="Q65" s="4">
        <f>IF(ISNUMBER(cash_original!Q65),cash_original!Q65/100000000,cash_original!Q65)</f>
        <v>0</v>
      </c>
      <c r="R65" s="4">
        <f>IF(ISNUMBER(cash_original!R65),cash_original!R65/100000000,cash_original!R65)</f>
        <v>0</v>
      </c>
      <c r="S65" s="4">
        <f>IF(ISNUMBER(cash_original!S65),cash_original!S65/100000000,cash_original!S65)</f>
        <v>0</v>
      </c>
      <c r="T65" s="4">
        <f>IF(ISNUMBER(cash_original!T65),cash_original!T65/100000000,cash_original!T65)</f>
        <v>0</v>
      </c>
      <c r="U65" s="4">
        <f>IF(ISNUMBER(cash_original!U65),cash_original!U65/100000000,cash_original!U65)</f>
        <v>0</v>
      </c>
      <c r="V65" s="4">
        <f>IF(ISNUMBER(cash_original!V65),cash_original!V65/100000000,cash_original!V65)</f>
        <v>0</v>
      </c>
      <c r="W65" s="4">
        <f>IF(ISNUMBER(cash_original!W65),cash_original!W65/100000000,cash_original!W65)</f>
        <v>0</v>
      </c>
      <c r="X65" s="4">
        <f>IF(ISNUMBER(cash_original!X65),cash_original!X65/100000000,cash_original!X65)</f>
        <v>0</v>
      </c>
      <c r="Y65" s="4">
        <f>IF(ISNUMBER(cash_original!Y65),cash_original!Y65/100000000,cash_original!Y65)</f>
        <v>0</v>
      </c>
      <c r="Z65" s="4">
        <f>IF(ISNUMBER(cash_original!Z65),cash_original!Z65/100000000,cash_original!Z65)</f>
        <v>0</v>
      </c>
      <c r="AA65" s="4">
        <f>IF(ISNUMBER(cash_original!AA65),cash_original!AA65/100000000,cash_original!AA65)</f>
        <v>0</v>
      </c>
      <c r="AB65" s="4">
        <f>IF(ISNUMBER(cash_original!AB65),cash_original!AB65/100000000,cash_original!AB65)</f>
        <v>0</v>
      </c>
      <c r="AC65" s="4">
        <f>IF(ISNUMBER(cash_original!AC65),cash_original!AC65/100000000,cash_original!AC65)</f>
        <v>0</v>
      </c>
      <c r="AD65" s="4">
        <f>IF(ISNUMBER(cash_original!AD65),cash_original!AD65/100000000,cash_original!AD65)</f>
        <v>0</v>
      </c>
      <c r="AE65" s="4">
        <f>IF(ISNUMBER(cash_original!AE65),cash_original!AE65/100000000,cash_original!AE65)</f>
        <v>0</v>
      </c>
      <c r="AF65" s="4">
        <f>IF(ISNUMBER(cash_original!AF65),cash_original!AF65/100000000,cash_original!AF65)</f>
        <v>0</v>
      </c>
      <c r="AG65" s="4">
        <f>IF(ISNUMBER(cash_original!AG65),cash_original!AG65/100000000,cash_original!AG65)</f>
        <v>0</v>
      </c>
      <c r="AH65" s="4">
        <f>IF(ISNUMBER(cash_original!AH65),cash_original!AH65/100000000,cash_original!AH65)</f>
        <v>0</v>
      </c>
      <c r="AI65" s="4">
        <f>IF(ISNUMBER(cash_original!AI65),cash_original!AI65/100000000,cash_original!AI65)</f>
        <v>0</v>
      </c>
      <c r="AJ65" s="4">
        <f>IF(ISNUMBER(cash_original!AJ65),cash_original!AJ65/100000000,cash_original!AJ65)</f>
        <v>0</v>
      </c>
      <c r="AK65" s="4">
        <f>IF(ISNUMBER(cash_original!AK65),cash_original!AK65/100000000,cash_original!AK65)</f>
        <v>0</v>
      </c>
      <c r="AL65" s="4">
        <f>IF(ISNUMBER(cash_original!AL65),cash_original!AL65/100000000,cash_original!AL65)</f>
        <v>0</v>
      </c>
      <c r="AM65" s="4">
        <f>IF(ISNUMBER(cash_original!AM65),cash_original!AM65/100000000,cash_original!AM65)</f>
        <v>0</v>
      </c>
      <c r="AN65" s="4">
        <f>IF(ISNUMBER(cash_original!AN65),cash_original!AN65/100000000,cash_original!AN65)</f>
        <v>0</v>
      </c>
      <c r="AO65" s="4">
        <f>IF(ISNUMBER(cash_original!AO65),cash_original!AO65/100000000,cash_original!AO65)</f>
        <v>0</v>
      </c>
      <c r="AP65" s="4">
        <f>IF(ISNUMBER(cash_original!AP65),cash_original!AP65/100000000,cash_original!AP65)</f>
        <v>0</v>
      </c>
      <c r="AQ65" s="4">
        <f>IF(ISNUMBER(cash_original!AQ65),cash_original!AQ65/100000000,cash_original!AQ65)</f>
        <v>0</v>
      </c>
      <c r="AR65" s="4">
        <f>IF(ISNUMBER(cash_original!AR65),cash_original!AR65/100000000,cash_original!AR65)</f>
        <v>0</v>
      </c>
      <c r="AS65" s="4">
        <f>IF(ISNUMBER(cash_original!AS65),cash_original!AS65/100000000,cash_original!AS65)</f>
        <v>0</v>
      </c>
      <c r="AT65" s="4">
        <f>IF(ISNUMBER(cash_original!AT65),cash_original!AT65/100000000,cash_original!AT65)</f>
        <v>0</v>
      </c>
      <c r="AU65" s="4">
        <f>IF(ISNUMBER(cash_original!AU65),cash_original!AU65/100000000,cash_original!AU65)</f>
        <v>0</v>
      </c>
    </row>
    <row r="66" spans="2:47" x14ac:dyDescent="0.25">
      <c r="B66" s="4">
        <f>IF(ISNUMBER(cash_original!B66),cash_original!B66/100000000,cash_original!B66)</f>
        <v>0</v>
      </c>
      <c r="C66" s="4">
        <f>IF(ISNUMBER(cash_original!C66),cash_original!C66/100000000,cash_original!C66)</f>
        <v>0</v>
      </c>
      <c r="D66" s="4">
        <f>IF(ISNUMBER(cash_original!D66),cash_original!D66/100000000,cash_original!D66)</f>
        <v>0</v>
      </c>
      <c r="E66" s="4">
        <f>IF(ISNUMBER(cash_original!E66),cash_original!E66/100000000,cash_original!E66)</f>
        <v>0</v>
      </c>
      <c r="F66" s="4">
        <f>IF(ISNUMBER(cash_original!F66),cash_original!F66/100000000,cash_original!F66)</f>
        <v>0</v>
      </c>
      <c r="G66" s="4">
        <f>IF(ISNUMBER(cash_original!G66),cash_original!G66/100000000,cash_original!G66)</f>
        <v>0</v>
      </c>
      <c r="H66" s="4">
        <f>IF(ISNUMBER(cash_original!H66),cash_original!H66/100000000,cash_original!H66)</f>
        <v>0</v>
      </c>
      <c r="I66" s="4">
        <f>IF(ISNUMBER(cash_original!I66),cash_original!I66/100000000,cash_original!I66)</f>
        <v>0</v>
      </c>
      <c r="J66" s="4">
        <f>IF(ISNUMBER(cash_original!J66),cash_original!J66/100000000,cash_original!J66)</f>
        <v>0</v>
      </c>
      <c r="K66" s="4">
        <f>IF(ISNUMBER(cash_original!K66),cash_original!K66/100000000,cash_original!K66)</f>
        <v>0</v>
      </c>
      <c r="L66" s="4">
        <f>IF(ISNUMBER(cash_original!L66),cash_original!L66/100000000,cash_original!L66)</f>
        <v>0</v>
      </c>
      <c r="M66" s="4">
        <f>IF(ISNUMBER(cash_original!M66),cash_original!M66/100000000,cash_original!M66)</f>
        <v>0</v>
      </c>
      <c r="N66" s="4">
        <f>IF(ISNUMBER(cash_original!N66),cash_original!N66/100000000,cash_original!N66)</f>
        <v>0</v>
      </c>
      <c r="O66" s="4">
        <f>IF(ISNUMBER(cash_original!O66),cash_original!O66/100000000,cash_original!O66)</f>
        <v>0</v>
      </c>
      <c r="P66" s="4">
        <f>IF(ISNUMBER(cash_original!P66),cash_original!P66/100000000,cash_original!P66)</f>
        <v>0</v>
      </c>
      <c r="Q66" s="4">
        <f>IF(ISNUMBER(cash_original!Q66),cash_original!Q66/100000000,cash_original!Q66)</f>
        <v>0</v>
      </c>
      <c r="R66" s="4">
        <f>IF(ISNUMBER(cash_original!R66),cash_original!R66/100000000,cash_original!R66)</f>
        <v>0</v>
      </c>
      <c r="S66" s="4">
        <f>IF(ISNUMBER(cash_original!S66),cash_original!S66/100000000,cash_original!S66)</f>
        <v>0</v>
      </c>
      <c r="T66" s="4">
        <f>IF(ISNUMBER(cash_original!T66),cash_original!T66/100000000,cash_original!T66)</f>
        <v>0</v>
      </c>
      <c r="U66" s="4">
        <f>IF(ISNUMBER(cash_original!U66),cash_original!U66/100000000,cash_original!U66)</f>
        <v>0</v>
      </c>
      <c r="V66" s="4">
        <f>IF(ISNUMBER(cash_original!V66),cash_original!V66/100000000,cash_original!V66)</f>
        <v>0</v>
      </c>
      <c r="W66" s="4">
        <f>IF(ISNUMBER(cash_original!W66),cash_original!W66/100000000,cash_original!W66)</f>
        <v>0</v>
      </c>
      <c r="X66" s="4">
        <f>IF(ISNUMBER(cash_original!X66),cash_original!X66/100000000,cash_original!X66)</f>
        <v>0</v>
      </c>
      <c r="Y66" s="4">
        <f>IF(ISNUMBER(cash_original!Y66),cash_original!Y66/100000000,cash_original!Y66)</f>
        <v>0</v>
      </c>
      <c r="Z66" s="4">
        <f>IF(ISNUMBER(cash_original!Z66),cash_original!Z66/100000000,cash_original!Z66)</f>
        <v>0</v>
      </c>
      <c r="AA66" s="4">
        <f>IF(ISNUMBER(cash_original!AA66),cash_original!AA66/100000000,cash_original!AA66)</f>
        <v>0</v>
      </c>
      <c r="AB66" s="4">
        <f>IF(ISNUMBER(cash_original!AB66),cash_original!AB66/100000000,cash_original!AB66)</f>
        <v>0</v>
      </c>
      <c r="AC66" s="4">
        <f>IF(ISNUMBER(cash_original!AC66),cash_original!AC66/100000000,cash_original!AC66)</f>
        <v>0</v>
      </c>
      <c r="AD66" s="4">
        <f>IF(ISNUMBER(cash_original!AD66),cash_original!AD66/100000000,cash_original!AD66)</f>
        <v>0</v>
      </c>
      <c r="AE66" s="4">
        <f>IF(ISNUMBER(cash_original!AE66),cash_original!AE66/100000000,cash_original!AE66)</f>
        <v>0</v>
      </c>
      <c r="AF66" s="4">
        <f>IF(ISNUMBER(cash_original!AF66),cash_original!AF66/100000000,cash_original!AF66)</f>
        <v>0</v>
      </c>
      <c r="AG66" s="4">
        <f>IF(ISNUMBER(cash_original!AG66),cash_original!AG66/100000000,cash_original!AG66)</f>
        <v>0</v>
      </c>
      <c r="AH66" s="4">
        <f>IF(ISNUMBER(cash_original!AH66),cash_original!AH66/100000000,cash_original!AH66)</f>
        <v>0</v>
      </c>
      <c r="AI66" s="4">
        <f>IF(ISNUMBER(cash_original!AI66),cash_original!AI66/100000000,cash_original!AI66)</f>
        <v>0</v>
      </c>
      <c r="AJ66" s="4">
        <f>IF(ISNUMBER(cash_original!AJ66),cash_original!AJ66/100000000,cash_original!AJ66)</f>
        <v>0</v>
      </c>
      <c r="AK66" s="4">
        <f>IF(ISNUMBER(cash_original!AK66),cash_original!AK66/100000000,cash_original!AK66)</f>
        <v>0</v>
      </c>
      <c r="AL66" s="4">
        <f>IF(ISNUMBER(cash_original!AL66),cash_original!AL66/100000000,cash_original!AL66)</f>
        <v>0</v>
      </c>
      <c r="AM66" s="4">
        <f>IF(ISNUMBER(cash_original!AM66),cash_original!AM66/100000000,cash_original!AM66)</f>
        <v>0</v>
      </c>
      <c r="AN66" s="4">
        <f>IF(ISNUMBER(cash_original!AN66),cash_original!AN66/100000000,cash_original!AN66)</f>
        <v>0</v>
      </c>
      <c r="AO66" s="4">
        <f>IF(ISNUMBER(cash_original!AO66),cash_original!AO66/100000000,cash_original!AO66)</f>
        <v>0</v>
      </c>
      <c r="AP66" s="4">
        <f>IF(ISNUMBER(cash_original!AP66),cash_original!AP66/100000000,cash_original!AP66)</f>
        <v>0</v>
      </c>
      <c r="AQ66" s="4">
        <f>IF(ISNUMBER(cash_original!AQ66),cash_original!AQ66/100000000,cash_original!AQ66)</f>
        <v>0</v>
      </c>
      <c r="AR66" s="4">
        <f>IF(ISNUMBER(cash_original!AR66),cash_original!AR66/100000000,cash_original!AR66)</f>
        <v>0</v>
      </c>
      <c r="AS66" s="4">
        <f>IF(ISNUMBER(cash_original!AS66),cash_original!AS66/100000000,cash_original!AS66)</f>
        <v>0</v>
      </c>
      <c r="AT66" s="4">
        <f>IF(ISNUMBER(cash_original!AT66),cash_original!AT66/100000000,cash_original!AT66)</f>
        <v>0</v>
      </c>
      <c r="AU66" s="4">
        <f>IF(ISNUMBER(cash_original!AU66),cash_original!AU66/100000000,cash_original!AU66)</f>
        <v>0</v>
      </c>
    </row>
    <row r="67" spans="2:47" x14ac:dyDescent="0.25">
      <c r="B67" s="4">
        <f>IF(ISNUMBER(cash_original!B67),cash_original!B67/100000000,cash_original!B67)</f>
        <v>0</v>
      </c>
      <c r="C67" s="4">
        <f>IF(ISNUMBER(cash_original!C67),cash_original!C67/100000000,cash_original!C67)</f>
        <v>0</v>
      </c>
      <c r="D67" s="4">
        <f>IF(ISNUMBER(cash_original!D67),cash_original!D67/100000000,cash_original!D67)</f>
        <v>0</v>
      </c>
      <c r="E67" s="4">
        <f>IF(ISNUMBER(cash_original!E67),cash_original!E67/100000000,cash_original!E67)</f>
        <v>0</v>
      </c>
      <c r="F67" s="4">
        <f>IF(ISNUMBER(cash_original!F67),cash_original!F67/100000000,cash_original!F67)</f>
        <v>0</v>
      </c>
      <c r="G67" s="4">
        <f>IF(ISNUMBER(cash_original!G67),cash_original!G67/100000000,cash_original!G67)</f>
        <v>0</v>
      </c>
      <c r="H67" s="4">
        <f>IF(ISNUMBER(cash_original!H67),cash_original!H67/100000000,cash_original!H67)</f>
        <v>0</v>
      </c>
      <c r="I67" s="4">
        <f>IF(ISNUMBER(cash_original!I67),cash_original!I67/100000000,cash_original!I67)</f>
        <v>0</v>
      </c>
      <c r="J67" s="4">
        <f>IF(ISNUMBER(cash_original!J67),cash_original!J67/100000000,cash_original!J67)</f>
        <v>0</v>
      </c>
      <c r="K67" s="4">
        <f>IF(ISNUMBER(cash_original!K67),cash_original!K67/100000000,cash_original!K67)</f>
        <v>0</v>
      </c>
      <c r="L67" s="4">
        <f>IF(ISNUMBER(cash_original!L67),cash_original!L67/100000000,cash_original!L67)</f>
        <v>0</v>
      </c>
      <c r="M67" s="4">
        <f>IF(ISNUMBER(cash_original!M67),cash_original!M67/100000000,cash_original!M67)</f>
        <v>0</v>
      </c>
      <c r="N67" s="4">
        <f>IF(ISNUMBER(cash_original!N67),cash_original!N67/100000000,cash_original!N67)</f>
        <v>0</v>
      </c>
      <c r="O67" s="4">
        <f>IF(ISNUMBER(cash_original!O67),cash_original!O67/100000000,cash_original!O67)</f>
        <v>0</v>
      </c>
      <c r="P67" s="4">
        <f>IF(ISNUMBER(cash_original!P67),cash_original!P67/100000000,cash_original!P67)</f>
        <v>0</v>
      </c>
      <c r="Q67" s="4">
        <f>IF(ISNUMBER(cash_original!Q67),cash_original!Q67/100000000,cash_original!Q67)</f>
        <v>0</v>
      </c>
      <c r="R67" s="4">
        <f>IF(ISNUMBER(cash_original!R67),cash_original!R67/100000000,cash_original!R67)</f>
        <v>0</v>
      </c>
      <c r="S67" s="4">
        <f>IF(ISNUMBER(cash_original!S67),cash_original!S67/100000000,cash_original!S67)</f>
        <v>0</v>
      </c>
      <c r="T67" s="4">
        <f>IF(ISNUMBER(cash_original!T67),cash_original!T67/100000000,cash_original!T67)</f>
        <v>0</v>
      </c>
      <c r="U67" s="4">
        <f>IF(ISNUMBER(cash_original!U67),cash_original!U67/100000000,cash_original!U67)</f>
        <v>0</v>
      </c>
      <c r="V67" s="4">
        <f>IF(ISNUMBER(cash_original!V67),cash_original!V67/100000000,cash_original!V67)</f>
        <v>0</v>
      </c>
      <c r="W67" s="4">
        <f>IF(ISNUMBER(cash_original!W67),cash_original!W67/100000000,cash_original!W67)</f>
        <v>0</v>
      </c>
      <c r="X67" s="4">
        <f>IF(ISNUMBER(cash_original!X67),cash_original!X67/100000000,cash_original!X67)</f>
        <v>0</v>
      </c>
      <c r="Y67" s="4">
        <f>IF(ISNUMBER(cash_original!Y67),cash_original!Y67/100000000,cash_original!Y67)</f>
        <v>0</v>
      </c>
      <c r="Z67" s="4">
        <f>IF(ISNUMBER(cash_original!Z67),cash_original!Z67/100000000,cash_original!Z67)</f>
        <v>0</v>
      </c>
      <c r="AA67" s="4">
        <f>IF(ISNUMBER(cash_original!AA67),cash_original!AA67/100000000,cash_original!AA67)</f>
        <v>0</v>
      </c>
      <c r="AB67" s="4">
        <f>IF(ISNUMBER(cash_original!AB67),cash_original!AB67/100000000,cash_original!AB67)</f>
        <v>0</v>
      </c>
      <c r="AC67" s="4">
        <f>IF(ISNUMBER(cash_original!AC67),cash_original!AC67/100000000,cash_original!AC67)</f>
        <v>0</v>
      </c>
      <c r="AD67" s="4">
        <f>IF(ISNUMBER(cash_original!AD67),cash_original!AD67/100000000,cash_original!AD67)</f>
        <v>0</v>
      </c>
      <c r="AE67" s="4">
        <f>IF(ISNUMBER(cash_original!AE67),cash_original!AE67/100000000,cash_original!AE67)</f>
        <v>0</v>
      </c>
      <c r="AF67" s="4">
        <f>IF(ISNUMBER(cash_original!AF67),cash_original!AF67/100000000,cash_original!AF67)</f>
        <v>0</v>
      </c>
      <c r="AG67" s="4">
        <f>IF(ISNUMBER(cash_original!AG67),cash_original!AG67/100000000,cash_original!AG67)</f>
        <v>0</v>
      </c>
      <c r="AH67" s="4">
        <f>IF(ISNUMBER(cash_original!AH67),cash_original!AH67/100000000,cash_original!AH67)</f>
        <v>0</v>
      </c>
      <c r="AI67" s="4">
        <f>IF(ISNUMBER(cash_original!AI67),cash_original!AI67/100000000,cash_original!AI67)</f>
        <v>0</v>
      </c>
      <c r="AJ67" s="4">
        <f>IF(ISNUMBER(cash_original!AJ67),cash_original!AJ67/100000000,cash_original!AJ67)</f>
        <v>0</v>
      </c>
      <c r="AK67" s="4">
        <f>IF(ISNUMBER(cash_original!AK67),cash_original!AK67/100000000,cash_original!AK67)</f>
        <v>0</v>
      </c>
      <c r="AL67" s="4">
        <f>IF(ISNUMBER(cash_original!AL67),cash_original!AL67/100000000,cash_original!AL67)</f>
        <v>0</v>
      </c>
      <c r="AM67" s="4">
        <f>IF(ISNUMBER(cash_original!AM67),cash_original!AM67/100000000,cash_original!AM67)</f>
        <v>0</v>
      </c>
      <c r="AN67" s="4">
        <f>IF(ISNUMBER(cash_original!AN67),cash_original!AN67/100000000,cash_original!AN67)</f>
        <v>0</v>
      </c>
      <c r="AO67" s="4">
        <f>IF(ISNUMBER(cash_original!AO67),cash_original!AO67/100000000,cash_original!AO67)</f>
        <v>0</v>
      </c>
      <c r="AP67" s="4">
        <f>IF(ISNUMBER(cash_original!AP67),cash_original!AP67/100000000,cash_original!AP67)</f>
        <v>0</v>
      </c>
      <c r="AQ67" s="4">
        <f>IF(ISNUMBER(cash_original!AQ67),cash_original!AQ67/100000000,cash_original!AQ67)</f>
        <v>0</v>
      </c>
      <c r="AR67" s="4">
        <f>IF(ISNUMBER(cash_original!AR67),cash_original!AR67/100000000,cash_original!AR67)</f>
        <v>0</v>
      </c>
      <c r="AS67" s="4">
        <f>IF(ISNUMBER(cash_original!AS67),cash_original!AS67/100000000,cash_original!AS67)</f>
        <v>0</v>
      </c>
      <c r="AT67" s="4">
        <f>IF(ISNUMBER(cash_original!AT67),cash_original!AT67/100000000,cash_original!AT67)</f>
        <v>0</v>
      </c>
      <c r="AU67" s="4">
        <f>IF(ISNUMBER(cash_original!AU67),cash_original!AU67/100000000,cash_original!AU67)</f>
        <v>0</v>
      </c>
    </row>
    <row r="68" spans="2:47" x14ac:dyDescent="0.25">
      <c r="B68" s="4">
        <f>IF(ISNUMBER(cash_original!B68),cash_original!B68/100000000,cash_original!B68)</f>
        <v>0</v>
      </c>
      <c r="C68" s="4">
        <f>IF(ISNUMBER(cash_original!C68),cash_original!C68/100000000,cash_original!C68)</f>
        <v>0</v>
      </c>
      <c r="D68" s="4">
        <f>IF(ISNUMBER(cash_original!D68),cash_original!D68/100000000,cash_original!D68)</f>
        <v>0</v>
      </c>
      <c r="E68" s="4">
        <f>IF(ISNUMBER(cash_original!E68),cash_original!E68/100000000,cash_original!E68)</f>
        <v>0</v>
      </c>
      <c r="F68" s="4">
        <f>IF(ISNUMBER(cash_original!F68),cash_original!F68/100000000,cash_original!F68)</f>
        <v>0</v>
      </c>
      <c r="G68" s="4">
        <f>IF(ISNUMBER(cash_original!G68),cash_original!G68/100000000,cash_original!G68)</f>
        <v>0</v>
      </c>
      <c r="H68" s="4">
        <f>IF(ISNUMBER(cash_original!H68),cash_original!H68/100000000,cash_original!H68)</f>
        <v>0</v>
      </c>
      <c r="I68" s="4">
        <f>IF(ISNUMBER(cash_original!I68),cash_original!I68/100000000,cash_original!I68)</f>
        <v>0</v>
      </c>
      <c r="J68" s="4">
        <f>IF(ISNUMBER(cash_original!J68),cash_original!J68/100000000,cash_original!J68)</f>
        <v>0</v>
      </c>
      <c r="K68" s="4">
        <f>IF(ISNUMBER(cash_original!K68),cash_original!K68/100000000,cash_original!K68)</f>
        <v>0</v>
      </c>
      <c r="L68" s="4">
        <f>IF(ISNUMBER(cash_original!L68),cash_original!L68/100000000,cash_original!L68)</f>
        <v>0</v>
      </c>
      <c r="M68" s="4">
        <f>IF(ISNUMBER(cash_original!M68),cash_original!M68/100000000,cash_original!M68)</f>
        <v>0</v>
      </c>
      <c r="N68" s="4">
        <f>IF(ISNUMBER(cash_original!N68),cash_original!N68/100000000,cash_original!N68)</f>
        <v>0</v>
      </c>
      <c r="O68" s="4">
        <f>IF(ISNUMBER(cash_original!O68),cash_original!O68/100000000,cash_original!O68)</f>
        <v>0</v>
      </c>
      <c r="P68" s="4">
        <f>IF(ISNUMBER(cash_original!P68),cash_original!P68/100000000,cash_original!P68)</f>
        <v>0</v>
      </c>
      <c r="Q68" s="4">
        <f>IF(ISNUMBER(cash_original!Q68),cash_original!Q68/100000000,cash_original!Q68)</f>
        <v>0</v>
      </c>
      <c r="R68" s="4">
        <f>IF(ISNUMBER(cash_original!R68),cash_original!R68/100000000,cash_original!R68)</f>
        <v>0</v>
      </c>
      <c r="S68" s="4">
        <f>IF(ISNUMBER(cash_original!S68),cash_original!S68/100000000,cash_original!S68)</f>
        <v>0</v>
      </c>
      <c r="T68" s="4">
        <f>IF(ISNUMBER(cash_original!T68),cash_original!T68/100000000,cash_original!T68)</f>
        <v>0</v>
      </c>
      <c r="U68" s="4">
        <f>IF(ISNUMBER(cash_original!U68),cash_original!U68/100000000,cash_original!U68)</f>
        <v>0</v>
      </c>
      <c r="V68" s="4">
        <f>IF(ISNUMBER(cash_original!V68),cash_original!V68/100000000,cash_original!V68)</f>
        <v>0</v>
      </c>
      <c r="W68" s="4">
        <f>IF(ISNUMBER(cash_original!W68),cash_original!W68/100000000,cash_original!W68)</f>
        <v>0</v>
      </c>
      <c r="X68" s="4">
        <f>IF(ISNUMBER(cash_original!X68),cash_original!X68/100000000,cash_original!X68)</f>
        <v>0</v>
      </c>
      <c r="Y68" s="4">
        <f>IF(ISNUMBER(cash_original!Y68),cash_original!Y68/100000000,cash_original!Y68)</f>
        <v>0</v>
      </c>
      <c r="Z68" s="4">
        <f>IF(ISNUMBER(cash_original!Z68),cash_original!Z68/100000000,cash_original!Z68)</f>
        <v>0</v>
      </c>
      <c r="AA68" s="4">
        <f>IF(ISNUMBER(cash_original!AA68),cash_original!AA68/100000000,cash_original!AA68)</f>
        <v>0</v>
      </c>
      <c r="AB68" s="4">
        <f>IF(ISNUMBER(cash_original!AB68),cash_original!AB68/100000000,cash_original!AB68)</f>
        <v>0</v>
      </c>
      <c r="AC68" s="4">
        <f>IF(ISNUMBER(cash_original!AC68),cash_original!AC68/100000000,cash_original!AC68)</f>
        <v>0</v>
      </c>
      <c r="AD68" s="4">
        <f>IF(ISNUMBER(cash_original!AD68),cash_original!AD68/100000000,cash_original!AD68)</f>
        <v>0</v>
      </c>
      <c r="AE68" s="4">
        <f>IF(ISNUMBER(cash_original!AE68),cash_original!AE68/100000000,cash_original!AE68)</f>
        <v>0</v>
      </c>
      <c r="AF68" s="4">
        <f>IF(ISNUMBER(cash_original!AF68),cash_original!AF68/100000000,cash_original!AF68)</f>
        <v>0</v>
      </c>
      <c r="AG68" s="4">
        <f>IF(ISNUMBER(cash_original!AG68),cash_original!AG68/100000000,cash_original!AG68)</f>
        <v>0</v>
      </c>
      <c r="AH68" s="4">
        <f>IF(ISNUMBER(cash_original!AH68),cash_original!AH68/100000000,cash_original!AH68)</f>
        <v>0</v>
      </c>
      <c r="AI68" s="4">
        <f>IF(ISNUMBER(cash_original!AI68),cash_original!AI68/100000000,cash_original!AI68)</f>
        <v>0</v>
      </c>
      <c r="AJ68" s="4">
        <f>IF(ISNUMBER(cash_original!AJ68),cash_original!AJ68/100000000,cash_original!AJ68)</f>
        <v>0</v>
      </c>
      <c r="AK68" s="4">
        <f>IF(ISNUMBER(cash_original!AK68),cash_original!AK68/100000000,cash_original!AK68)</f>
        <v>0</v>
      </c>
      <c r="AL68" s="4">
        <f>IF(ISNUMBER(cash_original!AL68),cash_original!AL68/100000000,cash_original!AL68)</f>
        <v>0</v>
      </c>
      <c r="AM68" s="4">
        <f>IF(ISNUMBER(cash_original!AM68),cash_original!AM68/100000000,cash_original!AM68)</f>
        <v>0</v>
      </c>
      <c r="AN68" s="4">
        <f>IF(ISNUMBER(cash_original!AN68),cash_original!AN68/100000000,cash_original!AN68)</f>
        <v>0</v>
      </c>
      <c r="AO68" s="4">
        <f>IF(ISNUMBER(cash_original!AO68),cash_original!AO68/100000000,cash_original!AO68)</f>
        <v>0</v>
      </c>
      <c r="AP68" s="4">
        <f>IF(ISNUMBER(cash_original!AP68),cash_original!AP68/100000000,cash_original!AP68)</f>
        <v>0</v>
      </c>
      <c r="AQ68" s="4">
        <f>IF(ISNUMBER(cash_original!AQ68),cash_original!AQ68/100000000,cash_original!AQ68)</f>
        <v>0</v>
      </c>
      <c r="AR68" s="4">
        <f>IF(ISNUMBER(cash_original!AR68),cash_original!AR68/100000000,cash_original!AR68)</f>
        <v>0</v>
      </c>
      <c r="AS68" s="4">
        <f>IF(ISNUMBER(cash_original!AS68),cash_original!AS68/100000000,cash_original!AS68)</f>
        <v>0</v>
      </c>
      <c r="AT68" s="4">
        <f>IF(ISNUMBER(cash_original!AT68),cash_original!AT68/100000000,cash_original!AT68)</f>
        <v>0</v>
      </c>
      <c r="AU68" s="4">
        <f>IF(ISNUMBER(cash_original!AU68),cash_original!AU68/100000000,cash_original!AU68)</f>
        <v>0</v>
      </c>
    </row>
    <row r="69" spans="2:47" x14ac:dyDescent="0.25">
      <c r="B69" s="4">
        <f>IF(ISNUMBER(cash_original!B69),cash_original!B69/100000000,cash_original!B69)</f>
        <v>0</v>
      </c>
      <c r="C69" s="4">
        <f>IF(ISNUMBER(cash_original!C69),cash_original!C69/100000000,cash_original!C69)</f>
        <v>0</v>
      </c>
      <c r="D69" s="4">
        <f>IF(ISNUMBER(cash_original!D69),cash_original!D69/100000000,cash_original!D69)</f>
        <v>0</v>
      </c>
      <c r="E69" s="4">
        <f>IF(ISNUMBER(cash_original!E69),cash_original!E69/100000000,cash_original!E69)</f>
        <v>0</v>
      </c>
      <c r="F69" s="4">
        <f>IF(ISNUMBER(cash_original!F69),cash_original!F69/100000000,cash_original!F69)</f>
        <v>0</v>
      </c>
      <c r="G69" s="4">
        <f>IF(ISNUMBER(cash_original!G69),cash_original!G69/100000000,cash_original!G69)</f>
        <v>0</v>
      </c>
      <c r="H69" s="4">
        <f>IF(ISNUMBER(cash_original!H69),cash_original!H69/100000000,cash_original!H69)</f>
        <v>0</v>
      </c>
      <c r="I69" s="4">
        <f>IF(ISNUMBER(cash_original!I69),cash_original!I69/100000000,cash_original!I69)</f>
        <v>0</v>
      </c>
      <c r="J69" s="4">
        <f>IF(ISNUMBER(cash_original!J69),cash_original!J69/100000000,cash_original!J69)</f>
        <v>0</v>
      </c>
      <c r="K69" s="4">
        <f>IF(ISNUMBER(cash_original!K69),cash_original!K69/100000000,cash_original!K69)</f>
        <v>0</v>
      </c>
      <c r="L69" s="4">
        <f>IF(ISNUMBER(cash_original!L69),cash_original!L69/100000000,cash_original!L69)</f>
        <v>0</v>
      </c>
      <c r="M69" s="4">
        <f>IF(ISNUMBER(cash_original!M69),cash_original!M69/100000000,cash_original!M69)</f>
        <v>0</v>
      </c>
      <c r="N69" s="4">
        <f>IF(ISNUMBER(cash_original!N69),cash_original!N69/100000000,cash_original!N69)</f>
        <v>0</v>
      </c>
      <c r="O69" s="4">
        <f>IF(ISNUMBER(cash_original!O69),cash_original!O69/100000000,cash_original!O69)</f>
        <v>0</v>
      </c>
      <c r="P69" s="4">
        <f>IF(ISNUMBER(cash_original!P69),cash_original!P69/100000000,cash_original!P69)</f>
        <v>0</v>
      </c>
      <c r="Q69" s="4">
        <f>IF(ISNUMBER(cash_original!Q69),cash_original!Q69/100000000,cash_original!Q69)</f>
        <v>0</v>
      </c>
      <c r="R69" s="4">
        <f>IF(ISNUMBER(cash_original!R69),cash_original!R69/100000000,cash_original!R69)</f>
        <v>0</v>
      </c>
      <c r="S69" s="4">
        <f>IF(ISNUMBER(cash_original!S69),cash_original!S69/100000000,cash_original!S69)</f>
        <v>0</v>
      </c>
      <c r="T69" s="4">
        <f>IF(ISNUMBER(cash_original!T69),cash_original!T69/100000000,cash_original!T69)</f>
        <v>0</v>
      </c>
      <c r="U69" s="4">
        <f>IF(ISNUMBER(cash_original!U69),cash_original!U69/100000000,cash_original!U69)</f>
        <v>0</v>
      </c>
      <c r="V69" s="4">
        <f>IF(ISNUMBER(cash_original!V69),cash_original!V69/100000000,cash_original!V69)</f>
        <v>0</v>
      </c>
      <c r="W69" s="4">
        <f>IF(ISNUMBER(cash_original!W69),cash_original!W69/100000000,cash_original!W69)</f>
        <v>0</v>
      </c>
      <c r="X69" s="4">
        <f>IF(ISNUMBER(cash_original!X69),cash_original!X69/100000000,cash_original!X69)</f>
        <v>0</v>
      </c>
      <c r="Y69" s="4">
        <f>IF(ISNUMBER(cash_original!Y69),cash_original!Y69/100000000,cash_original!Y69)</f>
        <v>0</v>
      </c>
      <c r="Z69" s="4">
        <f>IF(ISNUMBER(cash_original!Z69),cash_original!Z69/100000000,cash_original!Z69)</f>
        <v>0</v>
      </c>
      <c r="AA69" s="4">
        <f>IF(ISNUMBER(cash_original!AA69),cash_original!AA69/100000000,cash_original!AA69)</f>
        <v>0</v>
      </c>
      <c r="AB69" s="4">
        <f>IF(ISNUMBER(cash_original!AB69),cash_original!AB69/100000000,cash_original!AB69)</f>
        <v>0</v>
      </c>
      <c r="AC69" s="4">
        <f>IF(ISNUMBER(cash_original!AC69),cash_original!AC69/100000000,cash_original!AC69)</f>
        <v>0</v>
      </c>
      <c r="AD69" s="4">
        <f>IF(ISNUMBER(cash_original!AD69),cash_original!AD69/100000000,cash_original!AD69)</f>
        <v>0</v>
      </c>
      <c r="AE69" s="4">
        <f>IF(ISNUMBER(cash_original!AE69),cash_original!AE69/100000000,cash_original!AE69)</f>
        <v>0</v>
      </c>
      <c r="AF69" s="4">
        <f>IF(ISNUMBER(cash_original!AF69),cash_original!AF69/100000000,cash_original!AF69)</f>
        <v>0</v>
      </c>
      <c r="AG69" s="4">
        <f>IF(ISNUMBER(cash_original!AG69),cash_original!AG69/100000000,cash_original!AG69)</f>
        <v>0</v>
      </c>
      <c r="AH69" s="4">
        <f>IF(ISNUMBER(cash_original!AH69),cash_original!AH69/100000000,cash_original!AH69)</f>
        <v>0</v>
      </c>
      <c r="AI69" s="4">
        <f>IF(ISNUMBER(cash_original!AI69),cash_original!AI69/100000000,cash_original!AI69)</f>
        <v>0</v>
      </c>
      <c r="AJ69" s="4">
        <f>IF(ISNUMBER(cash_original!AJ69),cash_original!AJ69/100000000,cash_original!AJ69)</f>
        <v>0</v>
      </c>
      <c r="AK69" s="4">
        <f>IF(ISNUMBER(cash_original!AK69),cash_original!AK69/100000000,cash_original!AK69)</f>
        <v>0</v>
      </c>
      <c r="AL69" s="4">
        <f>IF(ISNUMBER(cash_original!AL69),cash_original!AL69/100000000,cash_original!AL69)</f>
        <v>0</v>
      </c>
      <c r="AM69" s="4">
        <f>IF(ISNUMBER(cash_original!AM69),cash_original!AM69/100000000,cash_original!AM69)</f>
        <v>0</v>
      </c>
      <c r="AN69" s="4">
        <f>IF(ISNUMBER(cash_original!AN69),cash_original!AN69/100000000,cash_original!AN69)</f>
        <v>0</v>
      </c>
      <c r="AO69" s="4">
        <f>IF(ISNUMBER(cash_original!AO69),cash_original!AO69/100000000,cash_original!AO69)</f>
        <v>0</v>
      </c>
      <c r="AP69" s="4">
        <f>IF(ISNUMBER(cash_original!AP69),cash_original!AP69/100000000,cash_original!AP69)</f>
        <v>0</v>
      </c>
      <c r="AQ69" s="4">
        <f>IF(ISNUMBER(cash_original!AQ69),cash_original!AQ69/100000000,cash_original!AQ69)</f>
        <v>0</v>
      </c>
      <c r="AR69" s="4">
        <f>IF(ISNUMBER(cash_original!AR69),cash_original!AR69/100000000,cash_original!AR69)</f>
        <v>0</v>
      </c>
      <c r="AS69" s="4">
        <f>IF(ISNUMBER(cash_original!AS69),cash_original!AS69/100000000,cash_original!AS69)</f>
        <v>0</v>
      </c>
      <c r="AT69" s="4">
        <f>IF(ISNUMBER(cash_original!AT69),cash_original!AT69/100000000,cash_original!AT69)</f>
        <v>0</v>
      </c>
      <c r="AU69" s="4">
        <f>IF(ISNUMBER(cash_original!AU69),cash_original!AU69/100000000,cash_original!AU69)</f>
        <v>0</v>
      </c>
    </row>
    <row r="70" spans="2:47" x14ac:dyDescent="0.25">
      <c r="B70" s="4">
        <f>IF(ISNUMBER(cash_original!B70),cash_original!B70/100000000,cash_original!B70)</f>
        <v>0</v>
      </c>
      <c r="C70" s="4">
        <f>IF(ISNUMBER(cash_original!C70),cash_original!C70/100000000,cash_original!C70)</f>
        <v>0</v>
      </c>
      <c r="D70" s="4">
        <f>IF(ISNUMBER(cash_original!D70),cash_original!D70/100000000,cash_original!D70)</f>
        <v>0</v>
      </c>
      <c r="E70" s="4">
        <f>IF(ISNUMBER(cash_original!E70),cash_original!E70/100000000,cash_original!E70)</f>
        <v>0</v>
      </c>
      <c r="F70" s="4">
        <f>IF(ISNUMBER(cash_original!F70),cash_original!F70/100000000,cash_original!F70)</f>
        <v>0</v>
      </c>
      <c r="G70" s="4">
        <f>IF(ISNUMBER(cash_original!G70),cash_original!G70/100000000,cash_original!G70)</f>
        <v>0</v>
      </c>
      <c r="H70" s="4">
        <f>IF(ISNUMBER(cash_original!H70),cash_original!H70/100000000,cash_original!H70)</f>
        <v>0</v>
      </c>
      <c r="I70" s="4">
        <f>IF(ISNUMBER(cash_original!I70),cash_original!I70/100000000,cash_original!I70)</f>
        <v>0</v>
      </c>
      <c r="J70" s="4">
        <f>IF(ISNUMBER(cash_original!J70),cash_original!J70/100000000,cash_original!J70)</f>
        <v>0</v>
      </c>
      <c r="K70" s="4">
        <f>IF(ISNUMBER(cash_original!K70),cash_original!K70/100000000,cash_original!K70)</f>
        <v>0</v>
      </c>
      <c r="L70" s="4">
        <f>IF(ISNUMBER(cash_original!L70),cash_original!L70/100000000,cash_original!L70)</f>
        <v>0</v>
      </c>
      <c r="M70" s="4">
        <f>IF(ISNUMBER(cash_original!M70),cash_original!M70/100000000,cash_original!M70)</f>
        <v>0</v>
      </c>
      <c r="N70" s="4">
        <f>IF(ISNUMBER(cash_original!N70),cash_original!N70/100000000,cash_original!N70)</f>
        <v>0</v>
      </c>
      <c r="O70" s="4">
        <f>IF(ISNUMBER(cash_original!O70),cash_original!O70/100000000,cash_original!O70)</f>
        <v>0</v>
      </c>
      <c r="P70" s="4">
        <f>IF(ISNUMBER(cash_original!P70),cash_original!P70/100000000,cash_original!P70)</f>
        <v>0</v>
      </c>
      <c r="Q70" s="4">
        <f>IF(ISNUMBER(cash_original!Q70),cash_original!Q70/100000000,cash_original!Q70)</f>
        <v>0</v>
      </c>
      <c r="R70" s="4">
        <f>IF(ISNUMBER(cash_original!R70),cash_original!R70/100000000,cash_original!R70)</f>
        <v>0</v>
      </c>
      <c r="S70" s="4">
        <f>IF(ISNUMBER(cash_original!S70),cash_original!S70/100000000,cash_original!S70)</f>
        <v>0</v>
      </c>
      <c r="T70" s="4">
        <f>IF(ISNUMBER(cash_original!T70),cash_original!T70/100000000,cash_original!T70)</f>
        <v>0</v>
      </c>
      <c r="U70" s="4">
        <f>IF(ISNUMBER(cash_original!U70),cash_original!U70/100000000,cash_original!U70)</f>
        <v>0</v>
      </c>
      <c r="V70" s="4">
        <f>IF(ISNUMBER(cash_original!V70),cash_original!V70/100000000,cash_original!V70)</f>
        <v>0</v>
      </c>
      <c r="W70" s="4">
        <f>IF(ISNUMBER(cash_original!W70),cash_original!W70/100000000,cash_original!W70)</f>
        <v>0</v>
      </c>
      <c r="X70" s="4">
        <f>IF(ISNUMBER(cash_original!X70),cash_original!X70/100000000,cash_original!X70)</f>
        <v>0</v>
      </c>
      <c r="Y70" s="4">
        <f>IF(ISNUMBER(cash_original!Y70),cash_original!Y70/100000000,cash_original!Y70)</f>
        <v>0</v>
      </c>
      <c r="Z70" s="4">
        <f>IF(ISNUMBER(cash_original!Z70),cash_original!Z70/100000000,cash_original!Z70)</f>
        <v>0</v>
      </c>
      <c r="AA70" s="4">
        <f>IF(ISNUMBER(cash_original!AA70),cash_original!AA70/100000000,cash_original!AA70)</f>
        <v>0</v>
      </c>
      <c r="AB70" s="4">
        <f>IF(ISNUMBER(cash_original!AB70),cash_original!AB70/100000000,cash_original!AB70)</f>
        <v>0</v>
      </c>
      <c r="AC70" s="4">
        <f>IF(ISNUMBER(cash_original!AC70),cash_original!AC70/100000000,cash_original!AC70)</f>
        <v>0</v>
      </c>
      <c r="AD70" s="4">
        <f>IF(ISNUMBER(cash_original!AD70),cash_original!AD70/100000000,cash_original!AD70)</f>
        <v>0</v>
      </c>
      <c r="AE70" s="4">
        <f>IF(ISNUMBER(cash_original!AE70),cash_original!AE70/100000000,cash_original!AE70)</f>
        <v>0</v>
      </c>
      <c r="AF70" s="4">
        <f>IF(ISNUMBER(cash_original!AF70),cash_original!AF70/100000000,cash_original!AF70)</f>
        <v>0</v>
      </c>
      <c r="AG70" s="4">
        <f>IF(ISNUMBER(cash_original!AG70),cash_original!AG70/100000000,cash_original!AG70)</f>
        <v>0</v>
      </c>
      <c r="AH70" s="4">
        <f>IF(ISNUMBER(cash_original!AH70),cash_original!AH70/100000000,cash_original!AH70)</f>
        <v>0</v>
      </c>
      <c r="AI70" s="4">
        <f>IF(ISNUMBER(cash_original!AI70),cash_original!AI70/100000000,cash_original!AI70)</f>
        <v>0</v>
      </c>
      <c r="AJ70" s="4">
        <f>IF(ISNUMBER(cash_original!AJ70),cash_original!AJ70/100000000,cash_original!AJ70)</f>
        <v>0</v>
      </c>
      <c r="AK70" s="4">
        <f>IF(ISNUMBER(cash_original!AK70),cash_original!AK70/100000000,cash_original!AK70)</f>
        <v>0</v>
      </c>
      <c r="AL70" s="4">
        <f>IF(ISNUMBER(cash_original!AL70),cash_original!AL70/100000000,cash_original!AL70)</f>
        <v>0</v>
      </c>
      <c r="AM70" s="4">
        <f>IF(ISNUMBER(cash_original!AM70),cash_original!AM70/100000000,cash_original!AM70)</f>
        <v>0</v>
      </c>
      <c r="AN70" s="4">
        <f>IF(ISNUMBER(cash_original!AN70),cash_original!AN70/100000000,cash_original!AN70)</f>
        <v>0</v>
      </c>
      <c r="AO70" s="4">
        <f>IF(ISNUMBER(cash_original!AO70),cash_original!AO70/100000000,cash_original!AO70)</f>
        <v>0</v>
      </c>
      <c r="AP70" s="4">
        <f>IF(ISNUMBER(cash_original!AP70),cash_original!AP70/100000000,cash_original!AP70)</f>
        <v>0</v>
      </c>
      <c r="AQ70" s="4">
        <f>IF(ISNUMBER(cash_original!AQ70),cash_original!AQ70/100000000,cash_original!AQ70)</f>
        <v>0</v>
      </c>
      <c r="AR70" s="4">
        <f>IF(ISNUMBER(cash_original!AR70),cash_original!AR70/100000000,cash_original!AR70)</f>
        <v>0</v>
      </c>
      <c r="AS70" s="4">
        <f>IF(ISNUMBER(cash_original!AS70),cash_original!AS70/100000000,cash_original!AS70)</f>
        <v>0</v>
      </c>
      <c r="AT70" s="4">
        <f>IF(ISNUMBER(cash_original!AT70),cash_original!AT70/100000000,cash_original!AT70)</f>
        <v>0</v>
      </c>
      <c r="AU70" s="4">
        <f>IF(ISNUMBER(cash_original!AU70),cash_original!AU70/100000000,cash_original!AU70)</f>
        <v>0</v>
      </c>
    </row>
    <row r="71" spans="2:47" x14ac:dyDescent="0.25">
      <c r="B71" s="4">
        <f>IF(ISNUMBER(cash_original!B71),cash_original!B71/100000000,cash_original!B71)</f>
        <v>0</v>
      </c>
      <c r="C71" s="4">
        <f>IF(ISNUMBER(cash_original!C71),cash_original!C71/100000000,cash_original!C71)</f>
        <v>0</v>
      </c>
      <c r="D71" s="4">
        <f>IF(ISNUMBER(cash_original!D71),cash_original!D71/100000000,cash_original!D71)</f>
        <v>0</v>
      </c>
      <c r="E71" s="4">
        <f>IF(ISNUMBER(cash_original!E71),cash_original!E71/100000000,cash_original!E71)</f>
        <v>0</v>
      </c>
      <c r="F71" s="4">
        <f>IF(ISNUMBER(cash_original!F71),cash_original!F71/100000000,cash_original!F71)</f>
        <v>0</v>
      </c>
      <c r="G71" s="4">
        <f>IF(ISNUMBER(cash_original!G71),cash_original!G71/100000000,cash_original!G71)</f>
        <v>0</v>
      </c>
      <c r="H71" s="4">
        <f>IF(ISNUMBER(cash_original!H71),cash_original!H71/100000000,cash_original!H71)</f>
        <v>0</v>
      </c>
      <c r="I71" s="4">
        <f>IF(ISNUMBER(cash_original!I71),cash_original!I71/100000000,cash_original!I71)</f>
        <v>0</v>
      </c>
      <c r="J71" s="4">
        <f>IF(ISNUMBER(cash_original!J71),cash_original!J71/100000000,cash_original!J71)</f>
        <v>0</v>
      </c>
      <c r="K71" s="4">
        <f>IF(ISNUMBER(cash_original!K71),cash_original!K71/100000000,cash_original!K71)</f>
        <v>0</v>
      </c>
      <c r="L71" s="4">
        <f>IF(ISNUMBER(cash_original!L71),cash_original!L71/100000000,cash_original!L71)</f>
        <v>0</v>
      </c>
      <c r="M71" s="4">
        <f>IF(ISNUMBER(cash_original!M71),cash_original!M71/100000000,cash_original!M71)</f>
        <v>0</v>
      </c>
      <c r="N71" s="4">
        <f>IF(ISNUMBER(cash_original!N71),cash_original!N71/100000000,cash_original!N71)</f>
        <v>0</v>
      </c>
      <c r="O71" s="4">
        <f>IF(ISNUMBER(cash_original!O71),cash_original!O71/100000000,cash_original!O71)</f>
        <v>0</v>
      </c>
      <c r="P71" s="4">
        <f>IF(ISNUMBER(cash_original!P71),cash_original!P71/100000000,cash_original!P71)</f>
        <v>0</v>
      </c>
      <c r="Q71" s="4">
        <f>IF(ISNUMBER(cash_original!Q71),cash_original!Q71/100000000,cash_original!Q71)</f>
        <v>0</v>
      </c>
      <c r="R71" s="4">
        <f>IF(ISNUMBER(cash_original!R71),cash_original!R71/100000000,cash_original!R71)</f>
        <v>0</v>
      </c>
      <c r="S71" s="4">
        <f>IF(ISNUMBER(cash_original!S71),cash_original!S71/100000000,cash_original!S71)</f>
        <v>0</v>
      </c>
      <c r="T71" s="4">
        <f>IF(ISNUMBER(cash_original!T71),cash_original!T71/100000000,cash_original!T71)</f>
        <v>0</v>
      </c>
      <c r="U71" s="4">
        <f>IF(ISNUMBER(cash_original!U71),cash_original!U71/100000000,cash_original!U71)</f>
        <v>0</v>
      </c>
      <c r="V71" s="4">
        <f>IF(ISNUMBER(cash_original!V71),cash_original!V71/100000000,cash_original!V71)</f>
        <v>0</v>
      </c>
      <c r="W71" s="4">
        <f>IF(ISNUMBER(cash_original!W71),cash_original!W71/100000000,cash_original!W71)</f>
        <v>0</v>
      </c>
      <c r="X71" s="4">
        <f>IF(ISNUMBER(cash_original!X71),cash_original!X71/100000000,cash_original!X71)</f>
        <v>0</v>
      </c>
      <c r="Y71" s="4">
        <f>IF(ISNUMBER(cash_original!Y71),cash_original!Y71/100000000,cash_original!Y71)</f>
        <v>0</v>
      </c>
      <c r="Z71" s="4">
        <f>IF(ISNUMBER(cash_original!Z71),cash_original!Z71/100000000,cash_original!Z71)</f>
        <v>0</v>
      </c>
      <c r="AA71" s="4">
        <f>IF(ISNUMBER(cash_original!AA71),cash_original!AA71/100000000,cash_original!AA71)</f>
        <v>0</v>
      </c>
      <c r="AB71" s="4">
        <f>IF(ISNUMBER(cash_original!AB71),cash_original!AB71/100000000,cash_original!AB71)</f>
        <v>0</v>
      </c>
      <c r="AC71" s="4">
        <f>IF(ISNUMBER(cash_original!AC71),cash_original!AC71/100000000,cash_original!AC71)</f>
        <v>0</v>
      </c>
      <c r="AD71" s="4">
        <f>IF(ISNUMBER(cash_original!AD71),cash_original!AD71/100000000,cash_original!AD71)</f>
        <v>0</v>
      </c>
      <c r="AE71" s="4">
        <f>IF(ISNUMBER(cash_original!AE71),cash_original!AE71/100000000,cash_original!AE71)</f>
        <v>0</v>
      </c>
      <c r="AF71" s="4">
        <f>IF(ISNUMBER(cash_original!AF71),cash_original!AF71/100000000,cash_original!AF71)</f>
        <v>0</v>
      </c>
      <c r="AG71" s="4">
        <f>IF(ISNUMBER(cash_original!AG71),cash_original!AG71/100000000,cash_original!AG71)</f>
        <v>0</v>
      </c>
      <c r="AH71" s="4">
        <f>IF(ISNUMBER(cash_original!AH71),cash_original!AH71/100000000,cash_original!AH71)</f>
        <v>0</v>
      </c>
      <c r="AI71" s="4">
        <f>IF(ISNUMBER(cash_original!AI71),cash_original!AI71/100000000,cash_original!AI71)</f>
        <v>0</v>
      </c>
      <c r="AJ71" s="4">
        <f>IF(ISNUMBER(cash_original!AJ71),cash_original!AJ71/100000000,cash_original!AJ71)</f>
        <v>0</v>
      </c>
      <c r="AK71" s="4">
        <f>IF(ISNUMBER(cash_original!AK71),cash_original!AK71/100000000,cash_original!AK71)</f>
        <v>0</v>
      </c>
      <c r="AL71" s="4">
        <f>IF(ISNUMBER(cash_original!AL71),cash_original!AL71/100000000,cash_original!AL71)</f>
        <v>0</v>
      </c>
      <c r="AM71" s="4">
        <f>IF(ISNUMBER(cash_original!AM71),cash_original!AM71/100000000,cash_original!AM71)</f>
        <v>0</v>
      </c>
      <c r="AN71" s="4">
        <f>IF(ISNUMBER(cash_original!AN71),cash_original!AN71/100000000,cash_original!AN71)</f>
        <v>0</v>
      </c>
      <c r="AO71" s="4">
        <f>IF(ISNUMBER(cash_original!AO71),cash_original!AO71/100000000,cash_original!AO71)</f>
        <v>0</v>
      </c>
      <c r="AP71" s="4">
        <f>IF(ISNUMBER(cash_original!AP71),cash_original!AP71/100000000,cash_original!AP71)</f>
        <v>0</v>
      </c>
      <c r="AQ71" s="4">
        <f>IF(ISNUMBER(cash_original!AQ71),cash_original!AQ71/100000000,cash_original!AQ71)</f>
        <v>0</v>
      </c>
      <c r="AR71" s="4">
        <f>IF(ISNUMBER(cash_original!AR71),cash_original!AR71/100000000,cash_original!AR71)</f>
        <v>0</v>
      </c>
      <c r="AS71" s="4">
        <f>IF(ISNUMBER(cash_original!AS71),cash_original!AS71/100000000,cash_original!AS71)</f>
        <v>0</v>
      </c>
      <c r="AT71" s="4">
        <f>IF(ISNUMBER(cash_original!AT71),cash_original!AT71/100000000,cash_original!AT71)</f>
        <v>0</v>
      </c>
      <c r="AU71" s="4">
        <f>IF(ISNUMBER(cash_original!AU71),cash_original!AU71/100000000,cash_original!AU71)</f>
        <v>0</v>
      </c>
    </row>
    <row r="72" spans="2:47" x14ac:dyDescent="0.25">
      <c r="B72" s="4">
        <f>IF(ISNUMBER(cash_original!B72),cash_original!B72/100000000,cash_original!B72)</f>
        <v>0</v>
      </c>
      <c r="C72" s="4">
        <f>IF(ISNUMBER(cash_original!C72),cash_original!C72/100000000,cash_original!C72)</f>
        <v>0</v>
      </c>
      <c r="D72" s="4">
        <f>IF(ISNUMBER(cash_original!D72),cash_original!D72/100000000,cash_original!D72)</f>
        <v>0</v>
      </c>
      <c r="E72" s="4">
        <f>IF(ISNUMBER(cash_original!E72),cash_original!E72/100000000,cash_original!E72)</f>
        <v>0</v>
      </c>
      <c r="F72" s="4">
        <f>IF(ISNUMBER(cash_original!F72),cash_original!F72/100000000,cash_original!F72)</f>
        <v>0</v>
      </c>
      <c r="G72" s="4">
        <f>IF(ISNUMBER(cash_original!G72),cash_original!G72/100000000,cash_original!G72)</f>
        <v>0</v>
      </c>
      <c r="H72" s="4">
        <f>IF(ISNUMBER(cash_original!H72),cash_original!H72/100000000,cash_original!H72)</f>
        <v>0</v>
      </c>
      <c r="I72" s="4">
        <f>IF(ISNUMBER(cash_original!I72),cash_original!I72/100000000,cash_original!I72)</f>
        <v>0</v>
      </c>
      <c r="J72" s="4">
        <f>IF(ISNUMBER(cash_original!J72),cash_original!J72/100000000,cash_original!J72)</f>
        <v>0</v>
      </c>
      <c r="K72" s="4">
        <f>IF(ISNUMBER(cash_original!K72),cash_original!K72/100000000,cash_original!K72)</f>
        <v>0</v>
      </c>
      <c r="L72" s="4">
        <f>IF(ISNUMBER(cash_original!L72),cash_original!L72/100000000,cash_original!L72)</f>
        <v>0</v>
      </c>
      <c r="M72" s="4">
        <f>IF(ISNUMBER(cash_original!M72),cash_original!M72/100000000,cash_original!M72)</f>
        <v>0</v>
      </c>
      <c r="N72" s="4">
        <f>IF(ISNUMBER(cash_original!N72),cash_original!N72/100000000,cash_original!N72)</f>
        <v>0</v>
      </c>
      <c r="O72" s="4">
        <f>IF(ISNUMBER(cash_original!O72),cash_original!O72/100000000,cash_original!O72)</f>
        <v>0</v>
      </c>
      <c r="P72" s="4">
        <f>IF(ISNUMBER(cash_original!P72),cash_original!P72/100000000,cash_original!P72)</f>
        <v>0</v>
      </c>
      <c r="Q72" s="4">
        <f>IF(ISNUMBER(cash_original!Q72),cash_original!Q72/100000000,cash_original!Q72)</f>
        <v>0</v>
      </c>
      <c r="R72" s="4">
        <f>IF(ISNUMBER(cash_original!R72),cash_original!R72/100000000,cash_original!R72)</f>
        <v>0</v>
      </c>
      <c r="S72" s="4">
        <f>IF(ISNUMBER(cash_original!S72),cash_original!S72/100000000,cash_original!S72)</f>
        <v>0</v>
      </c>
      <c r="T72" s="4">
        <f>IF(ISNUMBER(cash_original!T72),cash_original!T72/100000000,cash_original!T72)</f>
        <v>0</v>
      </c>
      <c r="U72" s="4">
        <f>IF(ISNUMBER(cash_original!U72),cash_original!U72/100000000,cash_original!U72)</f>
        <v>0</v>
      </c>
      <c r="V72" s="4">
        <f>IF(ISNUMBER(cash_original!V72),cash_original!V72/100000000,cash_original!V72)</f>
        <v>0</v>
      </c>
      <c r="W72" s="4">
        <f>IF(ISNUMBER(cash_original!W72),cash_original!W72/100000000,cash_original!W72)</f>
        <v>0</v>
      </c>
      <c r="X72" s="4">
        <f>IF(ISNUMBER(cash_original!X72),cash_original!X72/100000000,cash_original!X72)</f>
        <v>0</v>
      </c>
      <c r="Y72" s="4">
        <f>IF(ISNUMBER(cash_original!Y72),cash_original!Y72/100000000,cash_original!Y72)</f>
        <v>0</v>
      </c>
      <c r="Z72" s="4">
        <f>IF(ISNUMBER(cash_original!Z72),cash_original!Z72/100000000,cash_original!Z72)</f>
        <v>0</v>
      </c>
      <c r="AA72" s="4">
        <f>IF(ISNUMBER(cash_original!AA72),cash_original!AA72/100000000,cash_original!AA72)</f>
        <v>0</v>
      </c>
      <c r="AB72" s="4">
        <f>IF(ISNUMBER(cash_original!AB72),cash_original!AB72/100000000,cash_original!AB72)</f>
        <v>0</v>
      </c>
      <c r="AC72" s="4">
        <f>IF(ISNUMBER(cash_original!AC72),cash_original!AC72/100000000,cash_original!AC72)</f>
        <v>0</v>
      </c>
      <c r="AD72" s="4">
        <f>IF(ISNUMBER(cash_original!AD72),cash_original!AD72/100000000,cash_original!AD72)</f>
        <v>0</v>
      </c>
      <c r="AE72" s="4">
        <f>IF(ISNUMBER(cash_original!AE72),cash_original!AE72/100000000,cash_original!AE72)</f>
        <v>0</v>
      </c>
      <c r="AF72" s="4">
        <f>IF(ISNUMBER(cash_original!AF72),cash_original!AF72/100000000,cash_original!AF72)</f>
        <v>0</v>
      </c>
      <c r="AG72" s="4">
        <f>IF(ISNUMBER(cash_original!AG72),cash_original!AG72/100000000,cash_original!AG72)</f>
        <v>0</v>
      </c>
      <c r="AH72" s="4">
        <f>IF(ISNUMBER(cash_original!AH72),cash_original!AH72/100000000,cash_original!AH72)</f>
        <v>0</v>
      </c>
      <c r="AI72" s="4">
        <f>IF(ISNUMBER(cash_original!AI72),cash_original!AI72/100000000,cash_original!AI72)</f>
        <v>0</v>
      </c>
      <c r="AJ72" s="4">
        <f>IF(ISNUMBER(cash_original!AJ72),cash_original!AJ72/100000000,cash_original!AJ72)</f>
        <v>0</v>
      </c>
      <c r="AK72" s="4">
        <f>IF(ISNUMBER(cash_original!AK72),cash_original!AK72/100000000,cash_original!AK72)</f>
        <v>0</v>
      </c>
      <c r="AL72" s="4">
        <f>IF(ISNUMBER(cash_original!AL72),cash_original!AL72/100000000,cash_original!AL72)</f>
        <v>0</v>
      </c>
      <c r="AM72" s="4">
        <f>IF(ISNUMBER(cash_original!AM72),cash_original!AM72/100000000,cash_original!AM72)</f>
        <v>0</v>
      </c>
      <c r="AN72" s="4">
        <f>IF(ISNUMBER(cash_original!AN72),cash_original!AN72/100000000,cash_original!AN72)</f>
        <v>0</v>
      </c>
      <c r="AO72" s="4">
        <f>IF(ISNUMBER(cash_original!AO72),cash_original!AO72/100000000,cash_original!AO72)</f>
        <v>0</v>
      </c>
      <c r="AP72" s="4">
        <f>IF(ISNUMBER(cash_original!AP72),cash_original!AP72/100000000,cash_original!AP72)</f>
        <v>0</v>
      </c>
      <c r="AQ72" s="4">
        <f>IF(ISNUMBER(cash_original!AQ72),cash_original!AQ72/100000000,cash_original!AQ72)</f>
        <v>0</v>
      </c>
      <c r="AR72" s="4">
        <f>IF(ISNUMBER(cash_original!AR72),cash_original!AR72/100000000,cash_original!AR72)</f>
        <v>0</v>
      </c>
      <c r="AS72" s="4">
        <f>IF(ISNUMBER(cash_original!AS72),cash_original!AS72/100000000,cash_original!AS72)</f>
        <v>0</v>
      </c>
      <c r="AT72" s="4">
        <f>IF(ISNUMBER(cash_original!AT72),cash_original!AT72/100000000,cash_original!AT72)</f>
        <v>0</v>
      </c>
      <c r="AU72" s="4">
        <f>IF(ISNUMBER(cash_original!AU72),cash_original!AU72/100000000,cash_original!AU72)</f>
        <v>0</v>
      </c>
    </row>
    <row r="73" spans="2:47" x14ac:dyDescent="0.25">
      <c r="B73" s="4">
        <f>IF(ISNUMBER(cash_original!B73),cash_original!B73/100000000,cash_original!B73)</f>
        <v>0</v>
      </c>
      <c r="C73" s="4">
        <f>IF(ISNUMBER(cash_original!C73),cash_original!C73/100000000,cash_original!C73)</f>
        <v>0</v>
      </c>
      <c r="D73" s="4">
        <f>IF(ISNUMBER(cash_original!D73),cash_original!D73/100000000,cash_original!D73)</f>
        <v>0</v>
      </c>
      <c r="E73" s="4">
        <f>IF(ISNUMBER(cash_original!E73),cash_original!E73/100000000,cash_original!E73)</f>
        <v>0</v>
      </c>
      <c r="F73" s="4">
        <f>IF(ISNUMBER(cash_original!F73),cash_original!F73/100000000,cash_original!F73)</f>
        <v>0</v>
      </c>
      <c r="G73" s="4">
        <f>IF(ISNUMBER(cash_original!G73),cash_original!G73/100000000,cash_original!G73)</f>
        <v>0</v>
      </c>
      <c r="H73" s="4">
        <f>IF(ISNUMBER(cash_original!H73),cash_original!H73/100000000,cash_original!H73)</f>
        <v>0</v>
      </c>
      <c r="I73" s="4">
        <f>IF(ISNUMBER(cash_original!I73),cash_original!I73/100000000,cash_original!I73)</f>
        <v>0</v>
      </c>
      <c r="J73" s="4">
        <f>IF(ISNUMBER(cash_original!J73),cash_original!J73/100000000,cash_original!J73)</f>
        <v>0</v>
      </c>
      <c r="K73" s="4">
        <f>IF(ISNUMBER(cash_original!K73),cash_original!K73/100000000,cash_original!K73)</f>
        <v>0</v>
      </c>
      <c r="L73" s="4">
        <f>IF(ISNUMBER(cash_original!L73),cash_original!L73/100000000,cash_original!L73)</f>
        <v>0</v>
      </c>
      <c r="M73" s="4">
        <f>IF(ISNUMBER(cash_original!M73),cash_original!M73/100000000,cash_original!M73)</f>
        <v>0</v>
      </c>
      <c r="N73" s="4">
        <f>IF(ISNUMBER(cash_original!N73),cash_original!N73/100000000,cash_original!N73)</f>
        <v>0</v>
      </c>
      <c r="O73" s="4">
        <f>IF(ISNUMBER(cash_original!O73),cash_original!O73/100000000,cash_original!O73)</f>
        <v>0</v>
      </c>
      <c r="P73" s="4">
        <f>IF(ISNUMBER(cash_original!P73),cash_original!P73/100000000,cash_original!P73)</f>
        <v>0</v>
      </c>
      <c r="Q73" s="4">
        <f>IF(ISNUMBER(cash_original!Q73),cash_original!Q73/100000000,cash_original!Q73)</f>
        <v>0</v>
      </c>
      <c r="R73" s="4">
        <f>IF(ISNUMBER(cash_original!R73),cash_original!R73/100000000,cash_original!R73)</f>
        <v>0</v>
      </c>
      <c r="S73" s="4">
        <f>IF(ISNUMBER(cash_original!S73),cash_original!S73/100000000,cash_original!S73)</f>
        <v>0</v>
      </c>
      <c r="T73" s="4">
        <f>IF(ISNUMBER(cash_original!T73),cash_original!T73/100000000,cash_original!T73)</f>
        <v>0</v>
      </c>
      <c r="U73" s="4">
        <f>IF(ISNUMBER(cash_original!U73),cash_original!U73/100000000,cash_original!U73)</f>
        <v>0</v>
      </c>
      <c r="V73" s="4">
        <f>IF(ISNUMBER(cash_original!V73),cash_original!V73/100000000,cash_original!V73)</f>
        <v>0</v>
      </c>
      <c r="W73" s="4">
        <f>IF(ISNUMBER(cash_original!W73),cash_original!W73/100000000,cash_original!W73)</f>
        <v>0</v>
      </c>
      <c r="X73" s="4">
        <f>IF(ISNUMBER(cash_original!X73),cash_original!X73/100000000,cash_original!X73)</f>
        <v>0</v>
      </c>
      <c r="Y73" s="4">
        <f>IF(ISNUMBER(cash_original!Y73),cash_original!Y73/100000000,cash_original!Y73)</f>
        <v>0</v>
      </c>
      <c r="Z73" s="4">
        <f>IF(ISNUMBER(cash_original!Z73),cash_original!Z73/100000000,cash_original!Z73)</f>
        <v>0</v>
      </c>
      <c r="AA73" s="4">
        <f>IF(ISNUMBER(cash_original!AA73),cash_original!AA73/100000000,cash_original!AA73)</f>
        <v>0</v>
      </c>
      <c r="AB73" s="4">
        <f>IF(ISNUMBER(cash_original!AB73),cash_original!AB73/100000000,cash_original!AB73)</f>
        <v>0</v>
      </c>
      <c r="AC73" s="4">
        <f>IF(ISNUMBER(cash_original!AC73),cash_original!AC73/100000000,cash_original!AC73)</f>
        <v>0</v>
      </c>
      <c r="AD73" s="4">
        <f>IF(ISNUMBER(cash_original!AD73),cash_original!AD73/100000000,cash_original!AD73)</f>
        <v>0</v>
      </c>
      <c r="AE73" s="4">
        <f>IF(ISNUMBER(cash_original!AE73),cash_original!AE73/100000000,cash_original!AE73)</f>
        <v>0</v>
      </c>
      <c r="AF73" s="4">
        <f>IF(ISNUMBER(cash_original!AF73),cash_original!AF73/100000000,cash_original!AF73)</f>
        <v>0</v>
      </c>
      <c r="AG73" s="4">
        <f>IF(ISNUMBER(cash_original!AG73),cash_original!AG73/100000000,cash_original!AG73)</f>
        <v>0</v>
      </c>
      <c r="AH73" s="4">
        <f>IF(ISNUMBER(cash_original!AH73),cash_original!AH73/100000000,cash_original!AH73)</f>
        <v>0</v>
      </c>
      <c r="AI73" s="4">
        <f>IF(ISNUMBER(cash_original!AI73),cash_original!AI73/100000000,cash_original!AI73)</f>
        <v>0</v>
      </c>
      <c r="AJ73" s="4">
        <f>IF(ISNUMBER(cash_original!AJ73),cash_original!AJ73/100000000,cash_original!AJ73)</f>
        <v>0</v>
      </c>
      <c r="AK73" s="4">
        <f>IF(ISNUMBER(cash_original!AK73),cash_original!AK73/100000000,cash_original!AK73)</f>
        <v>0</v>
      </c>
      <c r="AL73" s="4">
        <f>IF(ISNUMBER(cash_original!AL73),cash_original!AL73/100000000,cash_original!AL73)</f>
        <v>0</v>
      </c>
      <c r="AM73" s="4">
        <f>IF(ISNUMBER(cash_original!AM73),cash_original!AM73/100000000,cash_original!AM73)</f>
        <v>0</v>
      </c>
      <c r="AN73" s="4">
        <f>IF(ISNUMBER(cash_original!AN73),cash_original!AN73/100000000,cash_original!AN73)</f>
        <v>0</v>
      </c>
      <c r="AO73" s="4">
        <f>IF(ISNUMBER(cash_original!AO73),cash_original!AO73/100000000,cash_original!AO73)</f>
        <v>0</v>
      </c>
      <c r="AP73" s="4">
        <f>IF(ISNUMBER(cash_original!AP73),cash_original!AP73/100000000,cash_original!AP73)</f>
        <v>0</v>
      </c>
      <c r="AQ73" s="4">
        <f>IF(ISNUMBER(cash_original!AQ73),cash_original!AQ73/100000000,cash_original!AQ73)</f>
        <v>0</v>
      </c>
      <c r="AR73" s="4">
        <f>IF(ISNUMBER(cash_original!AR73),cash_original!AR73/100000000,cash_original!AR73)</f>
        <v>0</v>
      </c>
      <c r="AS73" s="4">
        <f>IF(ISNUMBER(cash_original!AS73),cash_original!AS73/100000000,cash_original!AS73)</f>
        <v>0</v>
      </c>
      <c r="AT73" s="4">
        <f>IF(ISNUMBER(cash_original!AT73),cash_original!AT73/100000000,cash_original!AT73)</f>
        <v>0</v>
      </c>
      <c r="AU73" s="4">
        <f>IF(ISNUMBER(cash_original!AU73),cash_original!AU73/100000000,cash_original!AU73)</f>
        <v>0</v>
      </c>
    </row>
    <row r="74" spans="2:47" x14ac:dyDescent="0.25">
      <c r="B74" s="4">
        <f>IF(ISNUMBER(cash_original!B74),cash_original!B74/100000000,cash_original!B74)</f>
        <v>0</v>
      </c>
      <c r="C74" s="4">
        <f>IF(ISNUMBER(cash_original!C74),cash_original!C74/100000000,cash_original!C74)</f>
        <v>0</v>
      </c>
      <c r="D74" s="4">
        <f>IF(ISNUMBER(cash_original!D74),cash_original!D74/100000000,cash_original!D74)</f>
        <v>0</v>
      </c>
      <c r="E74" s="4">
        <f>IF(ISNUMBER(cash_original!E74),cash_original!E74/100000000,cash_original!E74)</f>
        <v>0</v>
      </c>
      <c r="F74" s="4">
        <f>IF(ISNUMBER(cash_original!F74),cash_original!F74/100000000,cash_original!F74)</f>
        <v>0</v>
      </c>
      <c r="G74" s="4">
        <f>IF(ISNUMBER(cash_original!G74),cash_original!G74/100000000,cash_original!G74)</f>
        <v>0</v>
      </c>
      <c r="H74" s="4">
        <f>IF(ISNUMBER(cash_original!H74),cash_original!H74/100000000,cash_original!H74)</f>
        <v>0</v>
      </c>
      <c r="I74" s="4">
        <f>IF(ISNUMBER(cash_original!I74),cash_original!I74/100000000,cash_original!I74)</f>
        <v>0</v>
      </c>
      <c r="J74" s="4">
        <f>IF(ISNUMBER(cash_original!J74),cash_original!J74/100000000,cash_original!J74)</f>
        <v>0</v>
      </c>
      <c r="K74" s="4">
        <f>IF(ISNUMBER(cash_original!K74),cash_original!K74/100000000,cash_original!K74)</f>
        <v>0</v>
      </c>
      <c r="L74" s="4">
        <f>IF(ISNUMBER(cash_original!L74),cash_original!L74/100000000,cash_original!L74)</f>
        <v>0</v>
      </c>
      <c r="M74" s="4">
        <f>IF(ISNUMBER(cash_original!M74),cash_original!M74/100000000,cash_original!M74)</f>
        <v>0</v>
      </c>
      <c r="N74" s="4">
        <f>IF(ISNUMBER(cash_original!N74),cash_original!N74/100000000,cash_original!N74)</f>
        <v>0</v>
      </c>
      <c r="O74" s="4">
        <f>IF(ISNUMBER(cash_original!O74),cash_original!O74/100000000,cash_original!O74)</f>
        <v>0</v>
      </c>
      <c r="P74" s="4">
        <f>IF(ISNUMBER(cash_original!P74),cash_original!P74/100000000,cash_original!P74)</f>
        <v>0</v>
      </c>
      <c r="Q74" s="4">
        <f>IF(ISNUMBER(cash_original!Q74),cash_original!Q74/100000000,cash_original!Q74)</f>
        <v>0</v>
      </c>
      <c r="R74" s="4">
        <f>IF(ISNUMBER(cash_original!R74),cash_original!R74/100000000,cash_original!R74)</f>
        <v>0</v>
      </c>
      <c r="S74" s="4">
        <f>IF(ISNUMBER(cash_original!S74),cash_original!S74/100000000,cash_original!S74)</f>
        <v>0</v>
      </c>
      <c r="T74" s="4">
        <f>IF(ISNUMBER(cash_original!T74),cash_original!T74/100000000,cash_original!T74)</f>
        <v>0</v>
      </c>
      <c r="U74" s="4">
        <f>IF(ISNUMBER(cash_original!U74),cash_original!U74/100000000,cash_original!U74)</f>
        <v>0</v>
      </c>
      <c r="V74" s="4">
        <f>IF(ISNUMBER(cash_original!V74),cash_original!V74/100000000,cash_original!V74)</f>
        <v>0</v>
      </c>
      <c r="W74" s="4">
        <f>IF(ISNUMBER(cash_original!W74),cash_original!W74/100000000,cash_original!W74)</f>
        <v>0</v>
      </c>
      <c r="X74" s="4">
        <f>IF(ISNUMBER(cash_original!X74),cash_original!X74/100000000,cash_original!X74)</f>
        <v>0</v>
      </c>
      <c r="Y74" s="4">
        <f>IF(ISNUMBER(cash_original!Y74),cash_original!Y74/100000000,cash_original!Y74)</f>
        <v>0</v>
      </c>
      <c r="Z74" s="4">
        <f>IF(ISNUMBER(cash_original!Z74),cash_original!Z74/100000000,cash_original!Z74)</f>
        <v>0</v>
      </c>
      <c r="AA74" s="4">
        <f>IF(ISNUMBER(cash_original!AA74),cash_original!AA74/100000000,cash_original!AA74)</f>
        <v>0</v>
      </c>
      <c r="AB74" s="4">
        <f>IF(ISNUMBER(cash_original!AB74),cash_original!AB74/100000000,cash_original!AB74)</f>
        <v>0</v>
      </c>
      <c r="AC74" s="4">
        <f>IF(ISNUMBER(cash_original!AC74),cash_original!AC74/100000000,cash_original!AC74)</f>
        <v>0</v>
      </c>
      <c r="AD74" s="4">
        <f>IF(ISNUMBER(cash_original!AD74),cash_original!AD74/100000000,cash_original!AD74)</f>
        <v>0</v>
      </c>
      <c r="AE74" s="4">
        <f>IF(ISNUMBER(cash_original!AE74),cash_original!AE74/100000000,cash_original!AE74)</f>
        <v>0</v>
      </c>
      <c r="AF74" s="4">
        <f>IF(ISNUMBER(cash_original!AF74),cash_original!AF74/100000000,cash_original!AF74)</f>
        <v>0</v>
      </c>
      <c r="AG74" s="4">
        <f>IF(ISNUMBER(cash_original!AG74),cash_original!AG74/100000000,cash_original!AG74)</f>
        <v>0</v>
      </c>
      <c r="AH74" s="4">
        <f>IF(ISNUMBER(cash_original!AH74),cash_original!AH74/100000000,cash_original!AH74)</f>
        <v>0</v>
      </c>
      <c r="AI74" s="4">
        <f>IF(ISNUMBER(cash_original!AI74),cash_original!AI74/100000000,cash_original!AI74)</f>
        <v>0</v>
      </c>
      <c r="AJ74" s="4">
        <f>IF(ISNUMBER(cash_original!AJ74),cash_original!AJ74/100000000,cash_original!AJ74)</f>
        <v>0</v>
      </c>
      <c r="AK74" s="4">
        <f>IF(ISNUMBER(cash_original!AK74),cash_original!AK74/100000000,cash_original!AK74)</f>
        <v>0</v>
      </c>
      <c r="AL74" s="4">
        <f>IF(ISNUMBER(cash_original!AL74),cash_original!AL74/100000000,cash_original!AL74)</f>
        <v>0</v>
      </c>
      <c r="AM74" s="4">
        <f>IF(ISNUMBER(cash_original!AM74),cash_original!AM74/100000000,cash_original!AM74)</f>
        <v>0</v>
      </c>
      <c r="AN74" s="4">
        <f>IF(ISNUMBER(cash_original!AN74),cash_original!AN74/100000000,cash_original!AN74)</f>
        <v>0</v>
      </c>
      <c r="AO74" s="4">
        <f>IF(ISNUMBER(cash_original!AO74),cash_original!AO74/100000000,cash_original!AO74)</f>
        <v>0</v>
      </c>
      <c r="AP74" s="4">
        <f>IF(ISNUMBER(cash_original!AP74),cash_original!AP74/100000000,cash_original!AP74)</f>
        <v>0</v>
      </c>
      <c r="AQ74" s="4">
        <f>IF(ISNUMBER(cash_original!AQ74),cash_original!AQ74/100000000,cash_original!AQ74)</f>
        <v>0</v>
      </c>
      <c r="AR74" s="4">
        <f>IF(ISNUMBER(cash_original!AR74),cash_original!AR74/100000000,cash_original!AR74)</f>
        <v>0</v>
      </c>
      <c r="AS74" s="4">
        <f>IF(ISNUMBER(cash_original!AS74),cash_original!AS74/100000000,cash_original!AS74)</f>
        <v>0</v>
      </c>
      <c r="AT74" s="4">
        <f>IF(ISNUMBER(cash_original!AT74),cash_original!AT74/100000000,cash_original!AT74)</f>
        <v>0</v>
      </c>
      <c r="AU74" s="4">
        <f>IF(ISNUMBER(cash_original!AU74),cash_original!AU74/100000000,cash_original!AU74)</f>
        <v>0</v>
      </c>
    </row>
    <row r="75" spans="2:47" x14ac:dyDescent="0.25">
      <c r="B75" s="4">
        <f>IF(ISNUMBER(cash_original!B75),cash_original!B75/100000000,cash_original!B75)</f>
        <v>0</v>
      </c>
      <c r="C75" s="4">
        <f>IF(ISNUMBER(cash_original!C75),cash_original!C75/100000000,cash_original!C75)</f>
        <v>0</v>
      </c>
      <c r="D75" s="4">
        <f>IF(ISNUMBER(cash_original!D75),cash_original!D75/100000000,cash_original!D75)</f>
        <v>0</v>
      </c>
      <c r="E75" s="4">
        <f>IF(ISNUMBER(cash_original!E75),cash_original!E75/100000000,cash_original!E75)</f>
        <v>0</v>
      </c>
      <c r="F75" s="4">
        <f>IF(ISNUMBER(cash_original!F75),cash_original!F75/100000000,cash_original!F75)</f>
        <v>0</v>
      </c>
      <c r="G75" s="4">
        <f>IF(ISNUMBER(cash_original!G75),cash_original!G75/100000000,cash_original!G75)</f>
        <v>0</v>
      </c>
      <c r="H75" s="4">
        <f>IF(ISNUMBER(cash_original!H75),cash_original!H75/100000000,cash_original!H75)</f>
        <v>0</v>
      </c>
      <c r="I75" s="4">
        <f>IF(ISNUMBER(cash_original!I75),cash_original!I75/100000000,cash_original!I75)</f>
        <v>0</v>
      </c>
      <c r="J75" s="4">
        <f>IF(ISNUMBER(cash_original!J75),cash_original!J75/100000000,cash_original!J75)</f>
        <v>0</v>
      </c>
      <c r="K75" s="4">
        <f>IF(ISNUMBER(cash_original!K75),cash_original!K75/100000000,cash_original!K75)</f>
        <v>0</v>
      </c>
      <c r="L75" s="4">
        <f>IF(ISNUMBER(cash_original!L75),cash_original!L75/100000000,cash_original!L75)</f>
        <v>0</v>
      </c>
      <c r="M75" s="4">
        <f>IF(ISNUMBER(cash_original!M75),cash_original!M75/100000000,cash_original!M75)</f>
        <v>0</v>
      </c>
      <c r="N75" s="4">
        <f>IF(ISNUMBER(cash_original!N75),cash_original!N75/100000000,cash_original!N75)</f>
        <v>0</v>
      </c>
      <c r="O75" s="4">
        <f>IF(ISNUMBER(cash_original!O75),cash_original!O75/100000000,cash_original!O75)</f>
        <v>0</v>
      </c>
      <c r="P75" s="4">
        <f>IF(ISNUMBER(cash_original!P75),cash_original!P75/100000000,cash_original!P75)</f>
        <v>0</v>
      </c>
      <c r="Q75" s="4">
        <f>IF(ISNUMBER(cash_original!Q75),cash_original!Q75/100000000,cash_original!Q75)</f>
        <v>0</v>
      </c>
      <c r="R75" s="4">
        <f>IF(ISNUMBER(cash_original!R75),cash_original!R75/100000000,cash_original!R75)</f>
        <v>0</v>
      </c>
      <c r="S75" s="4">
        <f>IF(ISNUMBER(cash_original!S75),cash_original!S75/100000000,cash_original!S75)</f>
        <v>0</v>
      </c>
      <c r="T75" s="4">
        <f>IF(ISNUMBER(cash_original!T75),cash_original!T75/100000000,cash_original!T75)</f>
        <v>0</v>
      </c>
      <c r="U75" s="4">
        <f>IF(ISNUMBER(cash_original!U75),cash_original!U75/100000000,cash_original!U75)</f>
        <v>0</v>
      </c>
      <c r="V75" s="4">
        <f>IF(ISNUMBER(cash_original!V75),cash_original!V75/100000000,cash_original!V75)</f>
        <v>0</v>
      </c>
      <c r="W75" s="4">
        <f>IF(ISNUMBER(cash_original!W75),cash_original!W75/100000000,cash_original!W75)</f>
        <v>0</v>
      </c>
      <c r="X75" s="4">
        <f>IF(ISNUMBER(cash_original!X75),cash_original!X75/100000000,cash_original!X75)</f>
        <v>0</v>
      </c>
      <c r="Y75" s="4">
        <f>IF(ISNUMBER(cash_original!Y75),cash_original!Y75/100000000,cash_original!Y75)</f>
        <v>0</v>
      </c>
      <c r="Z75" s="4">
        <f>IF(ISNUMBER(cash_original!Z75),cash_original!Z75/100000000,cash_original!Z75)</f>
        <v>0</v>
      </c>
      <c r="AA75" s="4">
        <f>IF(ISNUMBER(cash_original!AA75),cash_original!AA75/100000000,cash_original!AA75)</f>
        <v>0</v>
      </c>
      <c r="AB75" s="4">
        <f>IF(ISNUMBER(cash_original!AB75),cash_original!AB75/100000000,cash_original!AB75)</f>
        <v>0</v>
      </c>
      <c r="AC75" s="4">
        <f>IF(ISNUMBER(cash_original!AC75),cash_original!AC75/100000000,cash_original!AC75)</f>
        <v>0</v>
      </c>
      <c r="AD75" s="4">
        <f>IF(ISNUMBER(cash_original!AD75),cash_original!AD75/100000000,cash_original!AD75)</f>
        <v>0</v>
      </c>
      <c r="AE75" s="4">
        <f>IF(ISNUMBER(cash_original!AE75),cash_original!AE75/100000000,cash_original!AE75)</f>
        <v>0</v>
      </c>
      <c r="AF75" s="4">
        <f>IF(ISNUMBER(cash_original!AF75),cash_original!AF75/100000000,cash_original!AF75)</f>
        <v>0</v>
      </c>
      <c r="AG75" s="4">
        <f>IF(ISNUMBER(cash_original!AG75),cash_original!AG75/100000000,cash_original!AG75)</f>
        <v>0</v>
      </c>
      <c r="AH75" s="4">
        <f>IF(ISNUMBER(cash_original!AH75),cash_original!AH75/100000000,cash_original!AH75)</f>
        <v>0</v>
      </c>
      <c r="AI75" s="4">
        <f>IF(ISNUMBER(cash_original!AI75),cash_original!AI75/100000000,cash_original!AI75)</f>
        <v>0</v>
      </c>
      <c r="AJ75" s="4">
        <f>IF(ISNUMBER(cash_original!AJ75),cash_original!AJ75/100000000,cash_original!AJ75)</f>
        <v>0</v>
      </c>
      <c r="AK75" s="4">
        <f>IF(ISNUMBER(cash_original!AK75),cash_original!AK75/100000000,cash_original!AK75)</f>
        <v>0</v>
      </c>
      <c r="AL75" s="4">
        <f>IF(ISNUMBER(cash_original!AL75),cash_original!AL75/100000000,cash_original!AL75)</f>
        <v>0</v>
      </c>
      <c r="AM75" s="4">
        <f>IF(ISNUMBER(cash_original!AM75),cash_original!AM75/100000000,cash_original!AM75)</f>
        <v>0</v>
      </c>
      <c r="AN75" s="4">
        <f>IF(ISNUMBER(cash_original!AN75),cash_original!AN75/100000000,cash_original!AN75)</f>
        <v>0</v>
      </c>
      <c r="AO75" s="4">
        <f>IF(ISNUMBER(cash_original!AO75),cash_original!AO75/100000000,cash_original!AO75)</f>
        <v>0</v>
      </c>
      <c r="AP75" s="4">
        <f>IF(ISNUMBER(cash_original!AP75),cash_original!AP75/100000000,cash_original!AP75)</f>
        <v>0</v>
      </c>
      <c r="AQ75" s="4">
        <f>IF(ISNUMBER(cash_original!AQ75),cash_original!AQ75/100000000,cash_original!AQ75)</f>
        <v>0</v>
      </c>
      <c r="AR75" s="4">
        <f>IF(ISNUMBER(cash_original!AR75),cash_original!AR75/100000000,cash_original!AR75)</f>
        <v>0</v>
      </c>
      <c r="AS75" s="4">
        <f>IF(ISNUMBER(cash_original!AS75),cash_original!AS75/100000000,cash_original!AS75)</f>
        <v>0</v>
      </c>
      <c r="AT75" s="4">
        <f>IF(ISNUMBER(cash_original!AT75),cash_original!AT75/100000000,cash_original!AT75)</f>
        <v>0</v>
      </c>
      <c r="AU75" s="4">
        <f>IF(ISNUMBER(cash_original!AU75),cash_original!AU75/100000000,cash_original!AU75)</f>
        <v>0</v>
      </c>
    </row>
    <row r="76" spans="2:47" x14ac:dyDescent="0.25">
      <c r="B76" s="4">
        <f>IF(ISNUMBER(cash_original!B76),cash_original!B76/100000000,cash_original!B76)</f>
        <v>0</v>
      </c>
      <c r="C76" s="4">
        <f>IF(ISNUMBER(cash_original!C76),cash_original!C76/100000000,cash_original!C76)</f>
        <v>0</v>
      </c>
      <c r="D76" s="4">
        <f>IF(ISNUMBER(cash_original!D76),cash_original!D76/100000000,cash_original!D76)</f>
        <v>0</v>
      </c>
      <c r="E76" s="4">
        <f>IF(ISNUMBER(cash_original!E76),cash_original!E76/100000000,cash_original!E76)</f>
        <v>0</v>
      </c>
      <c r="F76" s="4">
        <f>IF(ISNUMBER(cash_original!F76),cash_original!F76/100000000,cash_original!F76)</f>
        <v>0</v>
      </c>
      <c r="G76" s="4">
        <f>IF(ISNUMBER(cash_original!G76),cash_original!G76/100000000,cash_original!G76)</f>
        <v>0</v>
      </c>
      <c r="H76" s="4">
        <f>IF(ISNUMBER(cash_original!H76),cash_original!H76/100000000,cash_original!H76)</f>
        <v>0</v>
      </c>
      <c r="I76" s="4">
        <f>IF(ISNUMBER(cash_original!I76),cash_original!I76/100000000,cash_original!I76)</f>
        <v>0</v>
      </c>
      <c r="J76" s="4">
        <f>IF(ISNUMBER(cash_original!J76),cash_original!J76/100000000,cash_original!J76)</f>
        <v>0</v>
      </c>
      <c r="K76" s="4">
        <f>IF(ISNUMBER(cash_original!K76),cash_original!K76/100000000,cash_original!K76)</f>
        <v>0</v>
      </c>
      <c r="L76" s="4">
        <f>IF(ISNUMBER(cash_original!L76),cash_original!L76/100000000,cash_original!L76)</f>
        <v>0</v>
      </c>
      <c r="M76" s="4">
        <f>IF(ISNUMBER(cash_original!M76),cash_original!M76/100000000,cash_original!M76)</f>
        <v>0</v>
      </c>
      <c r="N76" s="4">
        <f>IF(ISNUMBER(cash_original!N76),cash_original!N76/100000000,cash_original!N76)</f>
        <v>0</v>
      </c>
      <c r="O76" s="4">
        <f>IF(ISNUMBER(cash_original!O76),cash_original!O76/100000000,cash_original!O76)</f>
        <v>0</v>
      </c>
      <c r="P76" s="4">
        <f>IF(ISNUMBER(cash_original!P76),cash_original!P76/100000000,cash_original!P76)</f>
        <v>0</v>
      </c>
      <c r="Q76" s="4">
        <f>IF(ISNUMBER(cash_original!Q76),cash_original!Q76/100000000,cash_original!Q76)</f>
        <v>0</v>
      </c>
      <c r="R76" s="4">
        <f>IF(ISNUMBER(cash_original!R76),cash_original!R76/100000000,cash_original!R76)</f>
        <v>0</v>
      </c>
      <c r="S76" s="4">
        <f>IF(ISNUMBER(cash_original!S76),cash_original!S76/100000000,cash_original!S76)</f>
        <v>0</v>
      </c>
      <c r="T76" s="4">
        <f>IF(ISNUMBER(cash_original!T76),cash_original!T76/100000000,cash_original!T76)</f>
        <v>0</v>
      </c>
      <c r="U76" s="4">
        <f>IF(ISNUMBER(cash_original!U76),cash_original!U76/100000000,cash_original!U76)</f>
        <v>0</v>
      </c>
      <c r="V76" s="4">
        <f>IF(ISNUMBER(cash_original!V76),cash_original!V76/100000000,cash_original!V76)</f>
        <v>0</v>
      </c>
      <c r="W76" s="4">
        <f>IF(ISNUMBER(cash_original!W76),cash_original!W76/100000000,cash_original!W76)</f>
        <v>0</v>
      </c>
      <c r="X76" s="4">
        <f>IF(ISNUMBER(cash_original!X76),cash_original!X76/100000000,cash_original!X76)</f>
        <v>0</v>
      </c>
      <c r="Y76" s="4">
        <f>IF(ISNUMBER(cash_original!Y76),cash_original!Y76/100000000,cash_original!Y76)</f>
        <v>0</v>
      </c>
      <c r="Z76" s="4">
        <f>IF(ISNUMBER(cash_original!Z76),cash_original!Z76/100000000,cash_original!Z76)</f>
        <v>0</v>
      </c>
      <c r="AA76" s="4">
        <f>IF(ISNUMBER(cash_original!AA76),cash_original!AA76/100000000,cash_original!AA76)</f>
        <v>0</v>
      </c>
      <c r="AB76" s="4">
        <f>IF(ISNUMBER(cash_original!AB76),cash_original!AB76/100000000,cash_original!AB76)</f>
        <v>0</v>
      </c>
      <c r="AC76" s="4">
        <f>IF(ISNUMBER(cash_original!AC76),cash_original!AC76/100000000,cash_original!AC76)</f>
        <v>0</v>
      </c>
      <c r="AD76" s="4">
        <f>IF(ISNUMBER(cash_original!AD76),cash_original!AD76/100000000,cash_original!AD76)</f>
        <v>0</v>
      </c>
      <c r="AE76" s="4">
        <f>IF(ISNUMBER(cash_original!AE76),cash_original!AE76/100000000,cash_original!AE76)</f>
        <v>0</v>
      </c>
      <c r="AF76" s="4">
        <f>IF(ISNUMBER(cash_original!AF76),cash_original!AF76/100000000,cash_original!AF76)</f>
        <v>0</v>
      </c>
      <c r="AG76" s="4">
        <f>IF(ISNUMBER(cash_original!AG76),cash_original!AG76/100000000,cash_original!AG76)</f>
        <v>0</v>
      </c>
      <c r="AH76" s="4">
        <f>IF(ISNUMBER(cash_original!AH76),cash_original!AH76/100000000,cash_original!AH76)</f>
        <v>0</v>
      </c>
      <c r="AI76" s="4">
        <f>IF(ISNUMBER(cash_original!AI76),cash_original!AI76/100000000,cash_original!AI76)</f>
        <v>0</v>
      </c>
      <c r="AJ76" s="4">
        <f>IF(ISNUMBER(cash_original!AJ76),cash_original!AJ76/100000000,cash_original!AJ76)</f>
        <v>0</v>
      </c>
      <c r="AK76" s="4">
        <f>IF(ISNUMBER(cash_original!AK76),cash_original!AK76/100000000,cash_original!AK76)</f>
        <v>0</v>
      </c>
      <c r="AL76" s="4">
        <f>IF(ISNUMBER(cash_original!AL76),cash_original!AL76/100000000,cash_original!AL76)</f>
        <v>0</v>
      </c>
      <c r="AM76" s="4">
        <f>IF(ISNUMBER(cash_original!AM76),cash_original!AM76/100000000,cash_original!AM76)</f>
        <v>0</v>
      </c>
      <c r="AN76" s="4">
        <f>IF(ISNUMBER(cash_original!AN76),cash_original!AN76/100000000,cash_original!AN76)</f>
        <v>0</v>
      </c>
      <c r="AO76" s="4">
        <f>IF(ISNUMBER(cash_original!AO76),cash_original!AO76/100000000,cash_original!AO76)</f>
        <v>0</v>
      </c>
      <c r="AP76" s="4">
        <f>IF(ISNUMBER(cash_original!AP76),cash_original!AP76/100000000,cash_original!AP76)</f>
        <v>0</v>
      </c>
      <c r="AQ76" s="4">
        <f>IF(ISNUMBER(cash_original!AQ76),cash_original!AQ76/100000000,cash_original!AQ76)</f>
        <v>0</v>
      </c>
      <c r="AR76" s="4">
        <f>IF(ISNUMBER(cash_original!AR76),cash_original!AR76/100000000,cash_original!AR76)</f>
        <v>0</v>
      </c>
      <c r="AS76" s="4">
        <f>IF(ISNUMBER(cash_original!AS76),cash_original!AS76/100000000,cash_original!AS76)</f>
        <v>0</v>
      </c>
      <c r="AT76" s="4">
        <f>IF(ISNUMBER(cash_original!AT76),cash_original!AT76/100000000,cash_original!AT76)</f>
        <v>0</v>
      </c>
      <c r="AU76" s="4">
        <f>IF(ISNUMBER(cash_original!AU76),cash_original!AU76/100000000,cash_original!AU76)</f>
        <v>0</v>
      </c>
    </row>
    <row r="77" spans="2:47" x14ac:dyDescent="0.25">
      <c r="B77" s="4">
        <f>IF(ISNUMBER(cash_original!B77),cash_original!B77/100000000,cash_original!B77)</f>
        <v>0</v>
      </c>
      <c r="C77" s="4">
        <f>IF(ISNUMBER(cash_original!C77),cash_original!C77/100000000,cash_original!C77)</f>
        <v>0</v>
      </c>
      <c r="D77" s="4">
        <f>IF(ISNUMBER(cash_original!D77),cash_original!D77/100000000,cash_original!D77)</f>
        <v>0</v>
      </c>
      <c r="E77" s="4">
        <f>IF(ISNUMBER(cash_original!E77),cash_original!E77/100000000,cash_original!E77)</f>
        <v>0</v>
      </c>
      <c r="F77" s="4">
        <f>IF(ISNUMBER(cash_original!F77),cash_original!F77/100000000,cash_original!F77)</f>
        <v>0</v>
      </c>
      <c r="G77" s="4">
        <f>IF(ISNUMBER(cash_original!G77),cash_original!G77/100000000,cash_original!G77)</f>
        <v>0</v>
      </c>
      <c r="H77" s="4">
        <f>IF(ISNUMBER(cash_original!H77),cash_original!H77/100000000,cash_original!H77)</f>
        <v>0</v>
      </c>
      <c r="I77" s="4">
        <f>IF(ISNUMBER(cash_original!I77),cash_original!I77/100000000,cash_original!I77)</f>
        <v>0</v>
      </c>
      <c r="J77" s="4">
        <f>IF(ISNUMBER(cash_original!J77),cash_original!J77/100000000,cash_original!J77)</f>
        <v>0</v>
      </c>
      <c r="K77" s="4">
        <f>IF(ISNUMBER(cash_original!K77),cash_original!K77/100000000,cash_original!K77)</f>
        <v>0</v>
      </c>
      <c r="L77" s="4">
        <f>IF(ISNUMBER(cash_original!L77),cash_original!L77/100000000,cash_original!L77)</f>
        <v>0</v>
      </c>
      <c r="M77" s="4">
        <f>IF(ISNUMBER(cash_original!M77),cash_original!M77/100000000,cash_original!M77)</f>
        <v>0</v>
      </c>
      <c r="N77" s="4">
        <f>IF(ISNUMBER(cash_original!N77),cash_original!N77/100000000,cash_original!N77)</f>
        <v>0</v>
      </c>
      <c r="O77" s="4">
        <f>IF(ISNUMBER(cash_original!O77),cash_original!O77/100000000,cash_original!O77)</f>
        <v>0</v>
      </c>
      <c r="P77" s="4">
        <f>IF(ISNUMBER(cash_original!P77),cash_original!P77/100000000,cash_original!P77)</f>
        <v>0</v>
      </c>
      <c r="Q77" s="4">
        <f>IF(ISNUMBER(cash_original!Q77),cash_original!Q77/100000000,cash_original!Q77)</f>
        <v>0</v>
      </c>
      <c r="R77" s="4">
        <f>IF(ISNUMBER(cash_original!R77),cash_original!R77/100000000,cash_original!R77)</f>
        <v>0</v>
      </c>
      <c r="S77" s="4">
        <f>IF(ISNUMBER(cash_original!S77),cash_original!S77/100000000,cash_original!S77)</f>
        <v>0</v>
      </c>
      <c r="T77" s="4">
        <f>IF(ISNUMBER(cash_original!T77),cash_original!T77/100000000,cash_original!T77)</f>
        <v>0</v>
      </c>
      <c r="U77" s="4">
        <f>IF(ISNUMBER(cash_original!U77),cash_original!U77/100000000,cash_original!U77)</f>
        <v>0</v>
      </c>
      <c r="V77" s="4">
        <f>IF(ISNUMBER(cash_original!V77),cash_original!V77/100000000,cash_original!V77)</f>
        <v>0</v>
      </c>
      <c r="W77" s="4">
        <f>IF(ISNUMBER(cash_original!W77),cash_original!W77/100000000,cash_original!W77)</f>
        <v>0</v>
      </c>
      <c r="X77" s="4">
        <f>IF(ISNUMBER(cash_original!X77),cash_original!X77/100000000,cash_original!X77)</f>
        <v>0</v>
      </c>
      <c r="Y77" s="4">
        <f>IF(ISNUMBER(cash_original!Y77),cash_original!Y77/100000000,cash_original!Y77)</f>
        <v>0</v>
      </c>
      <c r="Z77" s="4">
        <f>IF(ISNUMBER(cash_original!Z77),cash_original!Z77/100000000,cash_original!Z77)</f>
        <v>0</v>
      </c>
      <c r="AA77" s="4">
        <f>IF(ISNUMBER(cash_original!AA77),cash_original!AA77/100000000,cash_original!AA77)</f>
        <v>0</v>
      </c>
      <c r="AB77" s="4">
        <f>IF(ISNUMBER(cash_original!AB77),cash_original!AB77/100000000,cash_original!AB77)</f>
        <v>0</v>
      </c>
      <c r="AC77" s="4">
        <f>IF(ISNUMBER(cash_original!AC77),cash_original!AC77/100000000,cash_original!AC77)</f>
        <v>0</v>
      </c>
      <c r="AD77" s="4">
        <f>IF(ISNUMBER(cash_original!AD77),cash_original!AD77/100000000,cash_original!AD77)</f>
        <v>0</v>
      </c>
      <c r="AE77" s="4">
        <f>IF(ISNUMBER(cash_original!AE77),cash_original!AE77/100000000,cash_original!AE77)</f>
        <v>0</v>
      </c>
      <c r="AF77" s="4">
        <f>IF(ISNUMBER(cash_original!AF77),cash_original!AF77/100000000,cash_original!AF77)</f>
        <v>0</v>
      </c>
      <c r="AG77" s="4">
        <f>IF(ISNUMBER(cash_original!AG77),cash_original!AG77/100000000,cash_original!AG77)</f>
        <v>0</v>
      </c>
      <c r="AH77" s="4">
        <f>IF(ISNUMBER(cash_original!AH77),cash_original!AH77/100000000,cash_original!AH77)</f>
        <v>0</v>
      </c>
      <c r="AI77" s="4">
        <f>IF(ISNUMBER(cash_original!AI77),cash_original!AI77/100000000,cash_original!AI77)</f>
        <v>0</v>
      </c>
      <c r="AJ77" s="4">
        <f>IF(ISNUMBER(cash_original!AJ77),cash_original!AJ77/100000000,cash_original!AJ77)</f>
        <v>0</v>
      </c>
      <c r="AK77" s="4">
        <f>IF(ISNUMBER(cash_original!AK77),cash_original!AK77/100000000,cash_original!AK77)</f>
        <v>0</v>
      </c>
      <c r="AL77" s="4">
        <f>IF(ISNUMBER(cash_original!AL77),cash_original!AL77/100000000,cash_original!AL77)</f>
        <v>0</v>
      </c>
      <c r="AM77" s="4">
        <f>IF(ISNUMBER(cash_original!AM77),cash_original!AM77/100000000,cash_original!AM77)</f>
        <v>0</v>
      </c>
      <c r="AN77" s="4">
        <f>IF(ISNUMBER(cash_original!AN77),cash_original!AN77/100000000,cash_original!AN77)</f>
        <v>0</v>
      </c>
      <c r="AO77" s="4">
        <f>IF(ISNUMBER(cash_original!AO77),cash_original!AO77/100000000,cash_original!AO77)</f>
        <v>0</v>
      </c>
      <c r="AP77" s="4">
        <f>IF(ISNUMBER(cash_original!AP77),cash_original!AP77/100000000,cash_original!AP77)</f>
        <v>0</v>
      </c>
      <c r="AQ77" s="4">
        <f>IF(ISNUMBER(cash_original!AQ77),cash_original!AQ77/100000000,cash_original!AQ77)</f>
        <v>0</v>
      </c>
      <c r="AR77" s="4">
        <f>IF(ISNUMBER(cash_original!AR77),cash_original!AR77/100000000,cash_original!AR77)</f>
        <v>0</v>
      </c>
      <c r="AS77" s="4">
        <f>IF(ISNUMBER(cash_original!AS77),cash_original!AS77/100000000,cash_original!AS77)</f>
        <v>0</v>
      </c>
      <c r="AT77" s="4">
        <f>IF(ISNUMBER(cash_original!AT77),cash_original!AT77/100000000,cash_original!AT77)</f>
        <v>0</v>
      </c>
      <c r="AU77" s="4">
        <f>IF(ISNUMBER(cash_original!AU77),cash_original!AU77/100000000,cash_original!AU77)</f>
        <v>0</v>
      </c>
    </row>
    <row r="78" spans="2:47" x14ac:dyDescent="0.25">
      <c r="B78" s="4">
        <f>IF(ISNUMBER(cash_original!B78),cash_original!B78/100000000,cash_original!B78)</f>
        <v>0</v>
      </c>
      <c r="C78" s="4">
        <f>IF(ISNUMBER(cash_original!C78),cash_original!C78/100000000,cash_original!C78)</f>
        <v>0</v>
      </c>
      <c r="D78" s="4">
        <f>IF(ISNUMBER(cash_original!D78),cash_original!D78/100000000,cash_original!D78)</f>
        <v>0</v>
      </c>
      <c r="E78" s="4">
        <f>IF(ISNUMBER(cash_original!E78),cash_original!E78/100000000,cash_original!E78)</f>
        <v>0</v>
      </c>
      <c r="F78" s="4">
        <f>IF(ISNUMBER(cash_original!F78),cash_original!F78/100000000,cash_original!F78)</f>
        <v>0</v>
      </c>
      <c r="G78" s="4">
        <f>IF(ISNUMBER(cash_original!G78),cash_original!G78/100000000,cash_original!G78)</f>
        <v>0</v>
      </c>
      <c r="H78" s="4">
        <f>IF(ISNUMBER(cash_original!H78),cash_original!H78/100000000,cash_original!H78)</f>
        <v>0</v>
      </c>
      <c r="I78" s="4">
        <f>IF(ISNUMBER(cash_original!I78),cash_original!I78/100000000,cash_original!I78)</f>
        <v>0</v>
      </c>
      <c r="J78" s="4">
        <f>IF(ISNUMBER(cash_original!J78),cash_original!J78/100000000,cash_original!J78)</f>
        <v>0</v>
      </c>
      <c r="K78" s="4">
        <f>IF(ISNUMBER(cash_original!K78),cash_original!K78/100000000,cash_original!K78)</f>
        <v>0</v>
      </c>
      <c r="L78" s="4">
        <f>IF(ISNUMBER(cash_original!L78),cash_original!L78/100000000,cash_original!L78)</f>
        <v>0</v>
      </c>
      <c r="M78" s="4">
        <f>IF(ISNUMBER(cash_original!M78),cash_original!M78/100000000,cash_original!M78)</f>
        <v>0</v>
      </c>
      <c r="N78" s="4">
        <f>IF(ISNUMBER(cash_original!N78),cash_original!N78/100000000,cash_original!N78)</f>
        <v>0</v>
      </c>
      <c r="O78" s="4">
        <f>IF(ISNUMBER(cash_original!O78),cash_original!O78/100000000,cash_original!O78)</f>
        <v>0</v>
      </c>
      <c r="P78" s="4">
        <f>IF(ISNUMBER(cash_original!P78),cash_original!P78/100000000,cash_original!P78)</f>
        <v>0</v>
      </c>
      <c r="Q78" s="4">
        <f>IF(ISNUMBER(cash_original!Q78),cash_original!Q78/100000000,cash_original!Q78)</f>
        <v>0</v>
      </c>
      <c r="R78" s="4">
        <f>IF(ISNUMBER(cash_original!R78),cash_original!R78/100000000,cash_original!R78)</f>
        <v>0</v>
      </c>
      <c r="S78" s="4">
        <f>IF(ISNUMBER(cash_original!S78),cash_original!S78/100000000,cash_original!S78)</f>
        <v>0</v>
      </c>
      <c r="T78" s="4">
        <f>IF(ISNUMBER(cash_original!T78),cash_original!T78/100000000,cash_original!T78)</f>
        <v>0</v>
      </c>
      <c r="U78" s="4">
        <f>IF(ISNUMBER(cash_original!U78),cash_original!U78/100000000,cash_original!U78)</f>
        <v>0</v>
      </c>
      <c r="V78" s="4">
        <f>IF(ISNUMBER(cash_original!V78),cash_original!V78/100000000,cash_original!V78)</f>
        <v>0</v>
      </c>
      <c r="W78" s="4">
        <f>IF(ISNUMBER(cash_original!W78),cash_original!W78/100000000,cash_original!W78)</f>
        <v>0</v>
      </c>
      <c r="X78" s="4">
        <f>IF(ISNUMBER(cash_original!X78),cash_original!X78/100000000,cash_original!X78)</f>
        <v>0</v>
      </c>
      <c r="Y78" s="4">
        <f>IF(ISNUMBER(cash_original!Y78),cash_original!Y78/100000000,cash_original!Y78)</f>
        <v>0</v>
      </c>
      <c r="Z78" s="4">
        <f>IF(ISNUMBER(cash_original!Z78),cash_original!Z78/100000000,cash_original!Z78)</f>
        <v>0</v>
      </c>
      <c r="AA78" s="4">
        <f>IF(ISNUMBER(cash_original!AA78),cash_original!AA78/100000000,cash_original!AA78)</f>
        <v>0</v>
      </c>
      <c r="AB78" s="4">
        <f>IF(ISNUMBER(cash_original!AB78),cash_original!AB78/100000000,cash_original!AB78)</f>
        <v>0</v>
      </c>
      <c r="AC78" s="4">
        <f>IF(ISNUMBER(cash_original!AC78),cash_original!AC78/100000000,cash_original!AC78)</f>
        <v>0</v>
      </c>
      <c r="AD78" s="4">
        <f>IF(ISNUMBER(cash_original!AD78),cash_original!AD78/100000000,cash_original!AD78)</f>
        <v>0</v>
      </c>
      <c r="AE78" s="4">
        <f>IF(ISNUMBER(cash_original!AE78),cash_original!AE78/100000000,cash_original!AE78)</f>
        <v>0</v>
      </c>
      <c r="AF78" s="4">
        <f>IF(ISNUMBER(cash_original!AF78),cash_original!AF78/100000000,cash_original!AF78)</f>
        <v>0</v>
      </c>
      <c r="AG78" s="4">
        <f>IF(ISNUMBER(cash_original!AG78),cash_original!AG78/100000000,cash_original!AG78)</f>
        <v>0</v>
      </c>
      <c r="AH78" s="4">
        <f>IF(ISNUMBER(cash_original!AH78),cash_original!AH78/100000000,cash_original!AH78)</f>
        <v>0</v>
      </c>
      <c r="AI78" s="4">
        <f>IF(ISNUMBER(cash_original!AI78),cash_original!AI78/100000000,cash_original!AI78)</f>
        <v>0</v>
      </c>
      <c r="AJ78" s="4">
        <f>IF(ISNUMBER(cash_original!AJ78),cash_original!AJ78/100000000,cash_original!AJ78)</f>
        <v>0</v>
      </c>
      <c r="AK78" s="4">
        <f>IF(ISNUMBER(cash_original!AK78),cash_original!AK78/100000000,cash_original!AK78)</f>
        <v>0</v>
      </c>
      <c r="AL78" s="4">
        <f>IF(ISNUMBER(cash_original!AL78),cash_original!AL78/100000000,cash_original!AL78)</f>
        <v>0</v>
      </c>
      <c r="AM78" s="4">
        <f>IF(ISNUMBER(cash_original!AM78),cash_original!AM78/100000000,cash_original!AM78)</f>
        <v>0</v>
      </c>
      <c r="AN78" s="4">
        <f>IF(ISNUMBER(cash_original!AN78),cash_original!AN78/100000000,cash_original!AN78)</f>
        <v>0</v>
      </c>
      <c r="AO78" s="4">
        <f>IF(ISNUMBER(cash_original!AO78),cash_original!AO78/100000000,cash_original!AO78)</f>
        <v>0</v>
      </c>
      <c r="AP78" s="4">
        <f>IF(ISNUMBER(cash_original!AP78),cash_original!AP78/100000000,cash_original!AP78)</f>
        <v>0</v>
      </c>
      <c r="AQ78" s="4">
        <f>IF(ISNUMBER(cash_original!AQ78),cash_original!AQ78/100000000,cash_original!AQ78)</f>
        <v>0</v>
      </c>
      <c r="AR78" s="4">
        <f>IF(ISNUMBER(cash_original!AR78),cash_original!AR78/100000000,cash_original!AR78)</f>
        <v>0</v>
      </c>
      <c r="AS78" s="4">
        <f>IF(ISNUMBER(cash_original!AS78),cash_original!AS78/100000000,cash_original!AS78)</f>
        <v>0</v>
      </c>
      <c r="AT78" s="4">
        <f>IF(ISNUMBER(cash_original!AT78),cash_original!AT78/100000000,cash_original!AT78)</f>
        <v>0</v>
      </c>
      <c r="AU78" s="4">
        <f>IF(ISNUMBER(cash_original!AU78),cash_original!AU78/100000000,cash_original!AU78)</f>
        <v>0</v>
      </c>
    </row>
    <row r="79" spans="2:47" x14ac:dyDescent="0.25">
      <c r="B79" s="4">
        <f>IF(ISNUMBER(cash_original!B79),cash_original!B79/100000000,cash_original!B79)</f>
        <v>0</v>
      </c>
      <c r="C79" s="4">
        <f>IF(ISNUMBER(cash_original!C79),cash_original!C79/100000000,cash_original!C79)</f>
        <v>0</v>
      </c>
      <c r="D79" s="4">
        <f>IF(ISNUMBER(cash_original!D79),cash_original!D79/100000000,cash_original!D79)</f>
        <v>0</v>
      </c>
      <c r="E79" s="4">
        <f>IF(ISNUMBER(cash_original!E79),cash_original!E79/100000000,cash_original!E79)</f>
        <v>0</v>
      </c>
      <c r="F79" s="4">
        <f>IF(ISNUMBER(cash_original!F79),cash_original!F79/100000000,cash_original!F79)</f>
        <v>0</v>
      </c>
      <c r="G79" s="4">
        <f>IF(ISNUMBER(cash_original!G79),cash_original!G79/100000000,cash_original!G79)</f>
        <v>0</v>
      </c>
      <c r="H79" s="4">
        <f>IF(ISNUMBER(cash_original!H79),cash_original!H79/100000000,cash_original!H79)</f>
        <v>0</v>
      </c>
      <c r="I79" s="4">
        <f>IF(ISNUMBER(cash_original!I79),cash_original!I79/100000000,cash_original!I79)</f>
        <v>0</v>
      </c>
      <c r="J79" s="4">
        <f>IF(ISNUMBER(cash_original!J79),cash_original!J79/100000000,cash_original!J79)</f>
        <v>0</v>
      </c>
      <c r="K79" s="4">
        <f>IF(ISNUMBER(cash_original!K79),cash_original!K79/100000000,cash_original!K79)</f>
        <v>0</v>
      </c>
      <c r="L79" s="4">
        <f>IF(ISNUMBER(cash_original!L79),cash_original!L79/100000000,cash_original!L79)</f>
        <v>0</v>
      </c>
      <c r="M79" s="4">
        <f>IF(ISNUMBER(cash_original!M79),cash_original!M79/100000000,cash_original!M79)</f>
        <v>0</v>
      </c>
      <c r="N79" s="4">
        <f>IF(ISNUMBER(cash_original!N79),cash_original!N79/100000000,cash_original!N79)</f>
        <v>0</v>
      </c>
      <c r="O79" s="4">
        <f>IF(ISNUMBER(cash_original!O79),cash_original!O79/100000000,cash_original!O79)</f>
        <v>0</v>
      </c>
      <c r="P79" s="4">
        <f>IF(ISNUMBER(cash_original!P79),cash_original!P79/100000000,cash_original!P79)</f>
        <v>0</v>
      </c>
      <c r="Q79" s="4">
        <f>IF(ISNUMBER(cash_original!Q79),cash_original!Q79/100000000,cash_original!Q79)</f>
        <v>0</v>
      </c>
      <c r="R79" s="4">
        <f>IF(ISNUMBER(cash_original!R79),cash_original!R79/100000000,cash_original!R79)</f>
        <v>0</v>
      </c>
      <c r="S79" s="4">
        <f>IF(ISNUMBER(cash_original!S79),cash_original!S79/100000000,cash_original!S79)</f>
        <v>0</v>
      </c>
      <c r="T79" s="4">
        <f>IF(ISNUMBER(cash_original!T79),cash_original!T79/100000000,cash_original!T79)</f>
        <v>0</v>
      </c>
      <c r="U79" s="4">
        <f>IF(ISNUMBER(cash_original!U79),cash_original!U79/100000000,cash_original!U79)</f>
        <v>0</v>
      </c>
      <c r="V79" s="4">
        <f>IF(ISNUMBER(cash_original!V79),cash_original!V79/100000000,cash_original!V79)</f>
        <v>0</v>
      </c>
      <c r="W79" s="4">
        <f>IF(ISNUMBER(cash_original!W79),cash_original!W79/100000000,cash_original!W79)</f>
        <v>0</v>
      </c>
      <c r="X79" s="4">
        <f>IF(ISNUMBER(cash_original!X79),cash_original!X79/100000000,cash_original!X79)</f>
        <v>0</v>
      </c>
      <c r="Y79" s="4">
        <f>IF(ISNUMBER(cash_original!Y79),cash_original!Y79/100000000,cash_original!Y79)</f>
        <v>0</v>
      </c>
      <c r="Z79" s="4">
        <f>IF(ISNUMBER(cash_original!Z79),cash_original!Z79/100000000,cash_original!Z79)</f>
        <v>0</v>
      </c>
      <c r="AA79" s="4">
        <f>IF(ISNUMBER(cash_original!AA79),cash_original!AA79/100000000,cash_original!AA79)</f>
        <v>0</v>
      </c>
      <c r="AB79" s="4">
        <f>IF(ISNUMBER(cash_original!AB79),cash_original!AB79/100000000,cash_original!AB79)</f>
        <v>0</v>
      </c>
      <c r="AC79" s="4">
        <f>IF(ISNUMBER(cash_original!AC79),cash_original!AC79/100000000,cash_original!AC79)</f>
        <v>0</v>
      </c>
      <c r="AD79" s="4">
        <f>IF(ISNUMBER(cash_original!AD79),cash_original!AD79/100000000,cash_original!AD79)</f>
        <v>0</v>
      </c>
      <c r="AE79" s="4">
        <f>IF(ISNUMBER(cash_original!AE79),cash_original!AE79/100000000,cash_original!AE79)</f>
        <v>0</v>
      </c>
      <c r="AF79" s="4">
        <f>IF(ISNUMBER(cash_original!AF79),cash_original!AF79/100000000,cash_original!AF79)</f>
        <v>0</v>
      </c>
      <c r="AG79" s="4">
        <f>IF(ISNUMBER(cash_original!AG79),cash_original!AG79/100000000,cash_original!AG79)</f>
        <v>0</v>
      </c>
      <c r="AH79" s="4">
        <f>IF(ISNUMBER(cash_original!AH79),cash_original!AH79/100000000,cash_original!AH79)</f>
        <v>0</v>
      </c>
      <c r="AI79" s="4">
        <f>IF(ISNUMBER(cash_original!AI79),cash_original!AI79/100000000,cash_original!AI79)</f>
        <v>0</v>
      </c>
      <c r="AJ79" s="4">
        <f>IF(ISNUMBER(cash_original!AJ79),cash_original!AJ79/100000000,cash_original!AJ79)</f>
        <v>0</v>
      </c>
      <c r="AK79" s="4">
        <f>IF(ISNUMBER(cash_original!AK79),cash_original!AK79/100000000,cash_original!AK79)</f>
        <v>0</v>
      </c>
      <c r="AL79" s="4">
        <f>IF(ISNUMBER(cash_original!AL79),cash_original!AL79/100000000,cash_original!AL79)</f>
        <v>0</v>
      </c>
      <c r="AM79" s="4">
        <f>IF(ISNUMBER(cash_original!AM79),cash_original!AM79/100000000,cash_original!AM79)</f>
        <v>0</v>
      </c>
      <c r="AN79" s="4">
        <f>IF(ISNUMBER(cash_original!AN79),cash_original!AN79/100000000,cash_original!AN79)</f>
        <v>0</v>
      </c>
      <c r="AO79" s="4">
        <f>IF(ISNUMBER(cash_original!AO79),cash_original!AO79/100000000,cash_original!AO79)</f>
        <v>0</v>
      </c>
      <c r="AP79" s="4">
        <f>IF(ISNUMBER(cash_original!AP79),cash_original!AP79/100000000,cash_original!AP79)</f>
        <v>0</v>
      </c>
      <c r="AQ79" s="4">
        <f>IF(ISNUMBER(cash_original!AQ79),cash_original!AQ79/100000000,cash_original!AQ79)</f>
        <v>0</v>
      </c>
      <c r="AR79" s="4">
        <f>IF(ISNUMBER(cash_original!AR79),cash_original!AR79/100000000,cash_original!AR79)</f>
        <v>0</v>
      </c>
      <c r="AS79" s="4">
        <f>IF(ISNUMBER(cash_original!AS79),cash_original!AS79/100000000,cash_original!AS79)</f>
        <v>0</v>
      </c>
      <c r="AT79" s="4">
        <f>IF(ISNUMBER(cash_original!AT79),cash_original!AT79/100000000,cash_original!AT79)</f>
        <v>0</v>
      </c>
      <c r="AU79" s="4">
        <f>IF(ISNUMBER(cash_original!AU79),cash_original!AU79/100000000,cash_original!AU79)</f>
        <v>0</v>
      </c>
    </row>
    <row r="80" spans="2:47" x14ac:dyDescent="0.25">
      <c r="B80" s="4">
        <f>IF(ISNUMBER(cash_original!B80),cash_original!B80/100000000,cash_original!B80)</f>
        <v>0</v>
      </c>
      <c r="C80" s="4">
        <f>IF(ISNUMBER(cash_original!C80),cash_original!C80/100000000,cash_original!C80)</f>
        <v>0</v>
      </c>
      <c r="D80" s="4">
        <f>IF(ISNUMBER(cash_original!D80),cash_original!D80/100000000,cash_original!D80)</f>
        <v>0</v>
      </c>
      <c r="E80" s="4">
        <f>IF(ISNUMBER(cash_original!E80),cash_original!E80/100000000,cash_original!E80)</f>
        <v>0</v>
      </c>
      <c r="F80" s="4">
        <f>IF(ISNUMBER(cash_original!F80),cash_original!F80/100000000,cash_original!F80)</f>
        <v>0</v>
      </c>
      <c r="G80" s="4">
        <f>IF(ISNUMBER(cash_original!G80),cash_original!G80/100000000,cash_original!G80)</f>
        <v>0</v>
      </c>
      <c r="H80" s="4">
        <f>IF(ISNUMBER(cash_original!H80),cash_original!H80/100000000,cash_original!H80)</f>
        <v>0</v>
      </c>
      <c r="I80" s="4">
        <f>IF(ISNUMBER(cash_original!I80),cash_original!I80/100000000,cash_original!I80)</f>
        <v>0</v>
      </c>
      <c r="J80" s="4">
        <f>IF(ISNUMBER(cash_original!J80),cash_original!J80/100000000,cash_original!J80)</f>
        <v>0</v>
      </c>
      <c r="K80" s="4">
        <f>IF(ISNUMBER(cash_original!K80),cash_original!K80/100000000,cash_original!K80)</f>
        <v>0</v>
      </c>
      <c r="L80" s="4">
        <f>IF(ISNUMBER(cash_original!L80),cash_original!L80/100000000,cash_original!L80)</f>
        <v>0</v>
      </c>
      <c r="M80" s="4">
        <f>IF(ISNUMBER(cash_original!M80),cash_original!M80/100000000,cash_original!M80)</f>
        <v>0</v>
      </c>
      <c r="N80" s="4">
        <f>IF(ISNUMBER(cash_original!N80),cash_original!N80/100000000,cash_original!N80)</f>
        <v>0</v>
      </c>
      <c r="O80" s="4">
        <f>IF(ISNUMBER(cash_original!O80),cash_original!O80/100000000,cash_original!O80)</f>
        <v>0</v>
      </c>
      <c r="P80" s="4">
        <f>IF(ISNUMBER(cash_original!P80),cash_original!P80/100000000,cash_original!P80)</f>
        <v>0</v>
      </c>
      <c r="Q80" s="4">
        <f>IF(ISNUMBER(cash_original!Q80),cash_original!Q80/100000000,cash_original!Q80)</f>
        <v>0</v>
      </c>
      <c r="R80" s="4">
        <f>IF(ISNUMBER(cash_original!R80),cash_original!R80/100000000,cash_original!R80)</f>
        <v>0</v>
      </c>
      <c r="S80" s="4">
        <f>IF(ISNUMBER(cash_original!S80),cash_original!S80/100000000,cash_original!S80)</f>
        <v>0</v>
      </c>
      <c r="T80" s="4">
        <f>IF(ISNUMBER(cash_original!T80),cash_original!T80/100000000,cash_original!T80)</f>
        <v>0</v>
      </c>
      <c r="U80" s="4">
        <f>IF(ISNUMBER(cash_original!U80),cash_original!U80/100000000,cash_original!U80)</f>
        <v>0</v>
      </c>
      <c r="V80" s="4">
        <f>IF(ISNUMBER(cash_original!V80),cash_original!V80/100000000,cash_original!V80)</f>
        <v>0</v>
      </c>
      <c r="W80" s="4">
        <f>IF(ISNUMBER(cash_original!W80),cash_original!W80/100000000,cash_original!W80)</f>
        <v>0</v>
      </c>
      <c r="X80" s="4">
        <f>IF(ISNUMBER(cash_original!X80),cash_original!X80/100000000,cash_original!X80)</f>
        <v>0</v>
      </c>
      <c r="Y80" s="4">
        <f>IF(ISNUMBER(cash_original!Y80),cash_original!Y80/100000000,cash_original!Y80)</f>
        <v>0</v>
      </c>
      <c r="Z80" s="4">
        <f>IF(ISNUMBER(cash_original!Z80),cash_original!Z80/100000000,cash_original!Z80)</f>
        <v>0</v>
      </c>
      <c r="AA80" s="4">
        <f>IF(ISNUMBER(cash_original!AA80),cash_original!AA80/100000000,cash_original!AA80)</f>
        <v>0</v>
      </c>
      <c r="AB80" s="4">
        <f>IF(ISNUMBER(cash_original!AB80),cash_original!AB80/100000000,cash_original!AB80)</f>
        <v>0</v>
      </c>
      <c r="AC80" s="4">
        <f>IF(ISNUMBER(cash_original!AC80),cash_original!AC80/100000000,cash_original!AC80)</f>
        <v>0</v>
      </c>
      <c r="AD80" s="4">
        <f>IF(ISNUMBER(cash_original!AD80),cash_original!AD80/100000000,cash_original!AD80)</f>
        <v>0</v>
      </c>
      <c r="AE80" s="4">
        <f>IF(ISNUMBER(cash_original!AE80),cash_original!AE80/100000000,cash_original!AE80)</f>
        <v>0</v>
      </c>
      <c r="AF80" s="4">
        <f>IF(ISNUMBER(cash_original!AF80),cash_original!AF80/100000000,cash_original!AF80)</f>
        <v>0</v>
      </c>
      <c r="AG80" s="4">
        <f>IF(ISNUMBER(cash_original!AG80),cash_original!AG80/100000000,cash_original!AG80)</f>
        <v>0</v>
      </c>
      <c r="AH80" s="4">
        <f>IF(ISNUMBER(cash_original!AH80),cash_original!AH80/100000000,cash_original!AH80)</f>
        <v>0</v>
      </c>
      <c r="AI80" s="4">
        <f>IF(ISNUMBER(cash_original!AI80),cash_original!AI80/100000000,cash_original!AI80)</f>
        <v>0</v>
      </c>
      <c r="AJ80" s="4">
        <f>IF(ISNUMBER(cash_original!AJ80),cash_original!AJ80/100000000,cash_original!AJ80)</f>
        <v>0</v>
      </c>
      <c r="AK80" s="4">
        <f>IF(ISNUMBER(cash_original!AK80),cash_original!AK80/100000000,cash_original!AK80)</f>
        <v>0</v>
      </c>
      <c r="AL80" s="4">
        <f>IF(ISNUMBER(cash_original!AL80),cash_original!AL80/100000000,cash_original!AL80)</f>
        <v>0</v>
      </c>
      <c r="AM80" s="4">
        <f>IF(ISNUMBER(cash_original!AM80),cash_original!AM80/100000000,cash_original!AM80)</f>
        <v>0</v>
      </c>
      <c r="AN80" s="4">
        <f>IF(ISNUMBER(cash_original!AN80),cash_original!AN80/100000000,cash_original!AN80)</f>
        <v>0</v>
      </c>
      <c r="AO80" s="4">
        <f>IF(ISNUMBER(cash_original!AO80),cash_original!AO80/100000000,cash_original!AO80)</f>
        <v>0</v>
      </c>
      <c r="AP80" s="4">
        <f>IF(ISNUMBER(cash_original!AP80),cash_original!AP80/100000000,cash_original!AP80)</f>
        <v>0</v>
      </c>
      <c r="AQ80" s="4">
        <f>IF(ISNUMBER(cash_original!AQ80),cash_original!AQ80/100000000,cash_original!AQ80)</f>
        <v>0</v>
      </c>
      <c r="AR80" s="4">
        <f>IF(ISNUMBER(cash_original!AR80),cash_original!AR80/100000000,cash_original!AR80)</f>
        <v>0</v>
      </c>
      <c r="AS80" s="4">
        <f>IF(ISNUMBER(cash_original!AS80),cash_original!AS80/100000000,cash_original!AS80)</f>
        <v>0</v>
      </c>
      <c r="AT80" s="4">
        <f>IF(ISNUMBER(cash_original!AT80),cash_original!AT80/100000000,cash_original!AT80)</f>
        <v>0</v>
      </c>
      <c r="AU80" s="4">
        <f>IF(ISNUMBER(cash_original!AU80),cash_original!AU80/100000000,cash_original!AU80)</f>
        <v>0</v>
      </c>
    </row>
    <row r="81" spans="2:47" x14ac:dyDescent="0.25">
      <c r="B81" s="4">
        <f>IF(ISNUMBER(cash_original!B81),cash_original!B81/100000000,cash_original!B81)</f>
        <v>0</v>
      </c>
      <c r="C81" s="4">
        <f>IF(ISNUMBER(cash_original!C81),cash_original!C81/100000000,cash_original!C81)</f>
        <v>0</v>
      </c>
      <c r="D81" s="4">
        <f>IF(ISNUMBER(cash_original!D81),cash_original!D81/100000000,cash_original!D81)</f>
        <v>0</v>
      </c>
      <c r="E81" s="4">
        <f>IF(ISNUMBER(cash_original!E81),cash_original!E81/100000000,cash_original!E81)</f>
        <v>0</v>
      </c>
      <c r="F81" s="4">
        <f>IF(ISNUMBER(cash_original!F81),cash_original!F81/100000000,cash_original!F81)</f>
        <v>0</v>
      </c>
      <c r="G81" s="4">
        <f>IF(ISNUMBER(cash_original!G81),cash_original!G81/100000000,cash_original!G81)</f>
        <v>0</v>
      </c>
      <c r="H81" s="4">
        <f>IF(ISNUMBER(cash_original!H81),cash_original!H81/100000000,cash_original!H81)</f>
        <v>0</v>
      </c>
      <c r="I81" s="4">
        <f>IF(ISNUMBER(cash_original!I81),cash_original!I81/100000000,cash_original!I81)</f>
        <v>0</v>
      </c>
      <c r="J81" s="4">
        <f>IF(ISNUMBER(cash_original!J81),cash_original!J81/100000000,cash_original!J81)</f>
        <v>0</v>
      </c>
      <c r="K81" s="4">
        <f>IF(ISNUMBER(cash_original!K81),cash_original!K81/100000000,cash_original!K81)</f>
        <v>0</v>
      </c>
      <c r="L81" s="4">
        <f>IF(ISNUMBER(cash_original!L81),cash_original!L81/100000000,cash_original!L81)</f>
        <v>0</v>
      </c>
      <c r="M81" s="4">
        <f>IF(ISNUMBER(cash_original!M81),cash_original!M81/100000000,cash_original!M81)</f>
        <v>0</v>
      </c>
      <c r="N81" s="4">
        <f>IF(ISNUMBER(cash_original!N81),cash_original!N81/100000000,cash_original!N81)</f>
        <v>0</v>
      </c>
      <c r="O81" s="4">
        <f>IF(ISNUMBER(cash_original!O81),cash_original!O81/100000000,cash_original!O81)</f>
        <v>0</v>
      </c>
      <c r="P81" s="4">
        <f>IF(ISNUMBER(cash_original!P81),cash_original!P81/100000000,cash_original!P81)</f>
        <v>0</v>
      </c>
      <c r="Q81" s="4">
        <f>IF(ISNUMBER(cash_original!Q81),cash_original!Q81/100000000,cash_original!Q81)</f>
        <v>0</v>
      </c>
      <c r="R81" s="4">
        <f>IF(ISNUMBER(cash_original!R81),cash_original!R81/100000000,cash_original!R81)</f>
        <v>0</v>
      </c>
      <c r="S81" s="4">
        <f>IF(ISNUMBER(cash_original!S81),cash_original!S81/100000000,cash_original!S81)</f>
        <v>0</v>
      </c>
      <c r="T81" s="4">
        <f>IF(ISNUMBER(cash_original!T81),cash_original!T81/100000000,cash_original!T81)</f>
        <v>0</v>
      </c>
      <c r="U81" s="4">
        <f>IF(ISNUMBER(cash_original!U81),cash_original!U81/100000000,cash_original!U81)</f>
        <v>0</v>
      </c>
      <c r="V81" s="4">
        <f>IF(ISNUMBER(cash_original!V81),cash_original!V81/100000000,cash_original!V81)</f>
        <v>0</v>
      </c>
      <c r="W81" s="4">
        <f>IF(ISNUMBER(cash_original!W81),cash_original!W81/100000000,cash_original!W81)</f>
        <v>0</v>
      </c>
      <c r="X81" s="4">
        <f>IF(ISNUMBER(cash_original!X81),cash_original!X81/100000000,cash_original!X81)</f>
        <v>0</v>
      </c>
      <c r="Y81" s="4">
        <f>IF(ISNUMBER(cash_original!Y81),cash_original!Y81/100000000,cash_original!Y81)</f>
        <v>0</v>
      </c>
      <c r="Z81" s="4">
        <f>IF(ISNUMBER(cash_original!Z81),cash_original!Z81/100000000,cash_original!Z81)</f>
        <v>0</v>
      </c>
      <c r="AA81" s="4">
        <f>IF(ISNUMBER(cash_original!AA81),cash_original!AA81/100000000,cash_original!AA81)</f>
        <v>0</v>
      </c>
      <c r="AB81" s="4">
        <f>IF(ISNUMBER(cash_original!AB81),cash_original!AB81/100000000,cash_original!AB81)</f>
        <v>0</v>
      </c>
      <c r="AC81" s="4">
        <f>IF(ISNUMBER(cash_original!AC81),cash_original!AC81/100000000,cash_original!AC81)</f>
        <v>0</v>
      </c>
      <c r="AD81" s="4">
        <f>IF(ISNUMBER(cash_original!AD81),cash_original!AD81/100000000,cash_original!AD81)</f>
        <v>0</v>
      </c>
      <c r="AE81" s="4">
        <f>IF(ISNUMBER(cash_original!AE81),cash_original!AE81/100000000,cash_original!AE81)</f>
        <v>0</v>
      </c>
      <c r="AF81" s="4">
        <f>IF(ISNUMBER(cash_original!AF81),cash_original!AF81/100000000,cash_original!AF81)</f>
        <v>0</v>
      </c>
      <c r="AG81" s="4">
        <f>IF(ISNUMBER(cash_original!AG81),cash_original!AG81/100000000,cash_original!AG81)</f>
        <v>0</v>
      </c>
      <c r="AH81" s="4">
        <f>IF(ISNUMBER(cash_original!AH81),cash_original!AH81/100000000,cash_original!AH81)</f>
        <v>0</v>
      </c>
      <c r="AI81" s="4">
        <f>IF(ISNUMBER(cash_original!AI81),cash_original!AI81/100000000,cash_original!AI81)</f>
        <v>0</v>
      </c>
      <c r="AJ81" s="4">
        <f>IF(ISNUMBER(cash_original!AJ81),cash_original!AJ81/100000000,cash_original!AJ81)</f>
        <v>0</v>
      </c>
      <c r="AK81" s="4">
        <f>IF(ISNUMBER(cash_original!AK81),cash_original!AK81/100000000,cash_original!AK81)</f>
        <v>0</v>
      </c>
      <c r="AL81" s="4">
        <f>IF(ISNUMBER(cash_original!AL81),cash_original!AL81/100000000,cash_original!AL81)</f>
        <v>0</v>
      </c>
      <c r="AM81" s="4">
        <f>IF(ISNUMBER(cash_original!AM81),cash_original!AM81/100000000,cash_original!AM81)</f>
        <v>0</v>
      </c>
      <c r="AN81" s="4">
        <f>IF(ISNUMBER(cash_original!AN81),cash_original!AN81/100000000,cash_original!AN81)</f>
        <v>0</v>
      </c>
      <c r="AO81" s="4">
        <f>IF(ISNUMBER(cash_original!AO81),cash_original!AO81/100000000,cash_original!AO81)</f>
        <v>0</v>
      </c>
      <c r="AP81" s="4">
        <f>IF(ISNUMBER(cash_original!AP81),cash_original!AP81/100000000,cash_original!AP81)</f>
        <v>0</v>
      </c>
      <c r="AQ81" s="4">
        <f>IF(ISNUMBER(cash_original!AQ81),cash_original!AQ81/100000000,cash_original!AQ81)</f>
        <v>0</v>
      </c>
      <c r="AR81" s="4">
        <f>IF(ISNUMBER(cash_original!AR81),cash_original!AR81/100000000,cash_original!AR81)</f>
        <v>0</v>
      </c>
      <c r="AS81" s="4">
        <f>IF(ISNUMBER(cash_original!AS81),cash_original!AS81/100000000,cash_original!AS81)</f>
        <v>0</v>
      </c>
      <c r="AT81" s="4">
        <f>IF(ISNUMBER(cash_original!AT81),cash_original!AT81/100000000,cash_original!AT81)</f>
        <v>0</v>
      </c>
      <c r="AU81" s="4">
        <f>IF(ISNUMBER(cash_original!AU81),cash_original!AU81/100000000,cash_original!AU81)</f>
        <v>0</v>
      </c>
    </row>
    <row r="82" spans="2:47" x14ac:dyDescent="0.25">
      <c r="B82" s="4">
        <f>IF(ISNUMBER(cash_original!B82),cash_original!B82/100000000,cash_original!B82)</f>
        <v>0</v>
      </c>
      <c r="C82" s="4">
        <f>IF(ISNUMBER(cash_original!C82),cash_original!C82/100000000,cash_original!C82)</f>
        <v>0</v>
      </c>
      <c r="D82" s="4">
        <f>IF(ISNUMBER(cash_original!D82),cash_original!D82/100000000,cash_original!D82)</f>
        <v>0</v>
      </c>
      <c r="E82" s="4">
        <f>IF(ISNUMBER(cash_original!E82),cash_original!E82/100000000,cash_original!E82)</f>
        <v>0</v>
      </c>
      <c r="F82" s="4">
        <f>IF(ISNUMBER(cash_original!F82),cash_original!F82/100000000,cash_original!F82)</f>
        <v>0</v>
      </c>
      <c r="G82" s="4">
        <f>IF(ISNUMBER(cash_original!G82),cash_original!G82/100000000,cash_original!G82)</f>
        <v>0</v>
      </c>
      <c r="H82" s="4">
        <f>IF(ISNUMBER(cash_original!H82),cash_original!H82/100000000,cash_original!H82)</f>
        <v>0</v>
      </c>
      <c r="I82" s="4">
        <f>IF(ISNUMBER(cash_original!I82),cash_original!I82/100000000,cash_original!I82)</f>
        <v>0</v>
      </c>
      <c r="J82" s="4">
        <f>IF(ISNUMBER(cash_original!J82),cash_original!J82/100000000,cash_original!J82)</f>
        <v>0</v>
      </c>
      <c r="K82" s="4">
        <f>IF(ISNUMBER(cash_original!K82),cash_original!K82/100000000,cash_original!K82)</f>
        <v>0</v>
      </c>
      <c r="L82" s="4">
        <f>IF(ISNUMBER(cash_original!L82),cash_original!L82/100000000,cash_original!L82)</f>
        <v>0</v>
      </c>
      <c r="M82" s="4">
        <f>IF(ISNUMBER(cash_original!M82),cash_original!M82/100000000,cash_original!M82)</f>
        <v>0</v>
      </c>
      <c r="N82" s="4">
        <f>IF(ISNUMBER(cash_original!N82),cash_original!N82/100000000,cash_original!N82)</f>
        <v>0</v>
      </c>
      <c r="O82" s="4">
        <f>IF(ISNUMBER(cash_original!O82),cash_original!O82/100000000,cash_original!O82)</f>
        <v>0</v>
      </c>
      <c r="P82" s="4">
        <f>IF(ISNUMBER(cash_original!P82),cash_original!P82/100000000,cash_original!P82)</f>
        <v>0</v>
      </c>
      <c r="Q82" s="4">
        <f>IF(ISNUMBER(cash_original!Q82),cash_original!Q82/100000000,cash_original!Q82)</f>
        <v>0</v>
      </c>
      <c r="R82" s="4">
        <f>IF(ISNUMBER(cash_original!R82),cash_original!R82/100000000,cash_original!R82)</f>
        <v>0</v>
      </c>
      <c r="S82" s="4">
        <f>IF(ISNUMBER(cash_original!S82),cash_original!S82/100000000,cash_original!S82)</f>
        <v>0</v>
      </c>
      <c r="T82" s="4">
        <f>IF(ISNUMBER(cash_original!T82),cash_original!T82/100000000,cash_original!T82)</f>
        <v>0</v>
      </c>
      <c r="U82" s="4">
        <f>IF(ISNUMBER(cash_original!U82),cash_original!U82/100000000,cash_original!U82)</f>
        <v>0</v>
      </c>
      <c r="V82" s="4">
        <f>IF(ISNUMBER(cash_original!V82),cash_original!V82/100000000,cash_original!V82)</f>
        <v>0</v>
      </c>
      <c r="W82" s="4">
        <f>IF(ISNUMBER(cash_original!W82),cash_original!W82/100000000,cash_original!W82)</f>
        <v>0</v>
      </c>
      <c r="X82" s="4">
        <f>IF(ISNUMBER(cash_original!X82),cash_original!X82/100000000,cash_original!X82)</f>
        <v>0</v>
      </c>
      <c r="Y82" s="4">
        <f>IF(ISNUMBER(cash_original!Y82),cash_original!Y82/100000000,cash_original!Y82)</f>
        <v>0</v>
      </c>
      <c r="Z82" s="4">
        <f>IF(ISNUMBER(cash_original!Z82),cash_original!Z82/100000000,cash_original!Z82)</f>
        <v>0</v>
      </c>
      <c r="AA82" s="4">
        <f>IF(ISNUMBER(cash_original!AA82),cash_original!AA82/100000000,cash_original!AA82)</f>
        <v>0</v>
      </c>
      <c r="AB82" s="4">
        <f>IF(ISNUMBER(cash_original!AB82),cash_original!AB82/100000000,cash_original!AB82)</f>
        <v>0</v>
      </c>
      <c r="AC82" s="4">
        <f>IF(ISNUMBER(cash_original!AC82),cash_original!AC82/100000000,cash_original!AC82)</f>
        <v>0</v>
      </c>
      <c r="AD82" s="4">
        <f>IF(ISNUMBER(cash_original!AD82),cash_original!AD82/100000000,cash_original!AD82)</f>
        <v>0</v>
      </c>
      <c r="AE82" s="4">
        <f>IF(ISNUMBER(cash_original!AE82),cash_original!AE82/100000000,cash_original!AE82)</f>
        <v>0</v>
      </c>
      <c r="AF82" s="4">
        <f>IF(ISNUMBER(cash_original!AF82),cash_original!AF82/100000000,cash_original!AF82)</f>
        <v>0</v>
      </c>
      <c r="AG82" s="4">
        <f>IF(ISNUMBER(cash_original!AG82),cash_original!AG82/100000000,cash_original!AG82)</f>
        <v>0</v>
      </c>
      <c r="AH82" s="4">
        <f>IF(ISNUMBER(cash_original!AH82),cash_original!AH82/100000000,cash_original!AH82)</f>
        <v>0</v>
      </c>
      <c r="AI82" s="4">
        <f>IF(ISNUMBER(cash_original!AI82),cash_original!AI82/100000000,cash_original!AI82)</f>
        <v>0</v>
      </c>
      <c r="AJ82" s="4">
        <f>IF(ISNUMBER(cash_original!AJ82),cash_original!AJ82/100000000,cash_original!AJ82)</f>
        <v>0</v>
      </c>
      <c r="AK82" s="4">
        <f>IF(ISNUMBER(cash_original!AK82),cash_original!AK82/100000000,cash_original!AK82)</f>
        <v>0</v>
      </c>
      <c r="AL82" s="4">
        <f>IF(ISNUMBER(cash_original!AL82),cash_original!AL82/100000000,cash_original!AL82)</f>
        <v>0</v>
      </c>
      <c r="AM82" s="4">
        <f>IF(ISNUMBER(cash_original!AM82),cash_original!AM82/100000000,cash_original!AM82)</f>
        <v>0</v>
      </c>
      <c r="AN82" s="4">
        <f>IF(ISNUMBER(cash_original!AN82),cash_original!AN82/100000000,cash_original!AN82)</f>
        <v>0</v>
      </c>
      <c r="AO82" s="4">
        <f>IF(ISNUMBER(cash_original!AO82),cash_original!AO82/100000000,cash_original!AO82)</f>
        <v>0</v>
      </c>
      <c r="AP82" s="4">
        <f>IF(ISNUMBER(cash_original!AP82),cash_original!AP82/100000000,cash_original!AP82)</f>
        <v>0</v>
      </c>
      <c r="AQ82" s="4">
        <f>IF(ISNUMBER(cash_original!AQ82),cash_original!AQ82/100000000,cash_original!AQ82)</f>
        <v>0</v>
      </c>
      <c r="AR82" s="4">
        <f>IF(ISNUMBER(cash_original!AR82),cash_original!AR82/100000000,cash_original!AR82)</f>
        <v>0</v>
      </c>
      <c r="AS82" s="4">
        <f>IF(ISNUMBER(cash_original!AS82),cash_original!AS82/100000000,cash_original!AS82)</f>
        <v>0</v>
      </c>
      <c r="AT82" s="4">
        <f>IF(ISNUMBER(cash_original!AT82),cash_original!AT82/100000000,cash_original!AT82)</f>
        <v>0</v>
      </c>
      <c r="AU82" s="4">
        <f>IF(ISNUMBER(cash_original!AU82),cash_original!AU82/100000000,cash_original!AU82)</f>
        <v>0</v>
      </c>
    </row>
    <row r="83" spans="2:47" x14ac:dyDescent="0.25">
      <c r="B83" s="4">
        <f>IF(ISNUMBER(cash_original!B83),cash_original!B83/100000000,cash_original!B83)</f>
        <v>0</v>
      </c>
      <c r="C83" s="4">
        <f>IF(ISNUMBER(cash_original!C83),cash_original!C83/100000000,cash_original!C83)</f>
        <v>0</v>
      </c>
      <c r="D83" s="4">
        <f>IF(ISNUMBER(cash_original!D83),cash_original!D83/100000000,cash_original!D83)</f>
        <v>0</v>
      </c>
      <c r="E83" s="4">
        <f>IF(ISNUMBER(cash_original!E83),cash_original!E83/100000000,cash_original!E83)</f>
        <v>0</v>
      </c>
      <c r="F83" s="4">
        <f>IF(ISNUMBER(cash_original!F83),cash_original!F83/100000000,cash_original!F83)</f>
        <v>0</v>
      </c>
      <c r="G83" s="4">
        <f>IF(ISNUMBER(cash_original!G83),cash_original!G83/100000000,cash_original!G83)</f>
        <v>0</v>
      </c>
      <c r="H83" s="4">
        <f>IF(ISNUMBER(cash_original!H83),cash_original!H83/100000000,cash_original!H83)</f>
        <v>0</v>
      </c>
      <c r="I83" s="4">
        <f>IF(ISNUMBER(cash_original!I83),cash_original!I83/100000000,cash_original!I83)</f>
        <v>0</v>
      </c>
      <c r="J83" s="4">
        <f>IF(ISNUMBER(cash_original!J83),cash_original!J83/100000000,cash_original!J83)</f>
        <v>0</v>
      </c>
      <c r="K83" s="4">
        <f>IF(ISNUMBER(cash_original!K83),cash_original!K83/100000000,cash_original!K83)</f>
        <v>0</v>
      </c>
      <c r="L83" s="4">
        <f>IF(ISNUMBER(cash_original!L83),cash_original!L83/100000000,cash_original!L83)</f>
        <v>0</v>
      </c>
      <c r="M83" s="4">
        <f>IF(ISNUMBER(cash_original!M83),cash_original!M83/100000000,cash_original!M83)</f>
        <v>0</v>
      </c>
      <c r="N83" s="4">
        <f>IF(ISNUMBER(cash_original!N83),cash_original!N83/100000000,cash_original!N83)</f>
        <v>0</v>
      </c>
      <c r="O83" s="4">
        <f>IF(ISNUMBER(cash_original!O83),cash_original!O83/100000000,cash_original!O83)</f>
        <v>0</v>
      </c>
      <c r="P83" s="4">
        <f>IF(ISNUMBER(cash_original!P83),cash_original!P83/100000000,cash_original!P83)</f>
        <v>0</v>
      </c>
      <c r="Q83" s="4">
        <f>IF(ISNUMBER(cash_original!Q83),cash_original!Q83/100000000,cash_original!Q83)</f>
        <v>0</v>
      </c>
      <c r="R83" s="4">
        <f>IF(ISNUMBER(cash_original!R83),cash_original!R83/100000000,cash_original!R83)</f>
        <v>0</v>
      </c>
      <c r="S83" s="4">
        <f>IF(ISNUMBER(cash_original!S83),cash_original!S83/100000000,cash_original!S83)</f>
        <v>0</v>
      </c>
      <c r="T83" s="4">
        <f>IF(ISNUMBER(cash_original!T83),cash_original!T83/100000000,cash_original!T83)</f>
        <v>0</v>
      </c>
      <c r="U83" s="4">
        <f>IF(ISNUMBER(cash_original!U83),cash_original!U83/100000000,cash_original!U83)</f>
        <v>0</v>
      </c>
      <c r="V83" s="4">
        <f>IF(ISNUMBER(cash_original!V83),cash_original!V83/100000000,cash_original!V83)</f>
        <v>0</v>
      </c>
      <c r="W83" s="4">
        <f>IF(ISNUMBER(cash_original!W83),cash_original!W83/100000000,cash_original!W83)</f>
        <v>0</v>
      </c>
      <c r="X83" s="4">
        <f>IF(ISNUMBER(cash_original!X83),cash_original!X83/100000000,cash_original!X83)</f>
        <v>0</v>
      </c>
      <c r="Y83" s="4">
        <f>IF(ISNUMBER(cash_original!Y83),cash_original!Y83/100000000,cash_original!Y83)</f>
        <v>0</v>
      </c>
      <c r="Z83" s="4">
        <f>IF(ISNUMBER(cash_original!Z83),cash_original!Z83/100000000,cash_original!Z83)</f>
        <v>0</v>
      </c>
      <c r="AA83" s="4">
        <f>IF(ISNUMBER(cash_original!AA83),cash_original!AA83/100000000,cash_original!AA83)</f>
        <v>0</v>
      </c>
      <c r="AB83" s="4">
        <f>IF(ISNUMBER(cash_original!AB83),cash_original!AB83/100000000,cash_original!AB83)</f>
        <v>0</v>
      </c>
      <c r="AC83" s="4">
        <f>IF(ISNUMBER(cash_original!AC83),cash_original!AC83/100000000,cash_original!AC83)</f>
        <v>0</v>
      </c>
      <c r="AD83" s="4">
        <f>IF(ISNUMBER(cash_original!AD83),cash_original!AD83/100000000,cash_original!AD83)</f>
        <v>0</v>
      </c>
      <c r="AE83" s="4">
        <f>IF(ISNUMBER(cash_original!AE83),cash_original!AE83/100000000,cash_original!AE83)</f>
        <v>0</v>
      </c>
      <c r="AF83" s="4">
        <f>IF(ISNUMBER(cash_original!AF83),cash_original!AF83/100000000,cash_original!AF83)</f>
        <v>0</v>
      </c>
      <c r="AG83" s="4">
        <f>IF(ISNUMBER(cash_original!AG83),cash_original!AG83/100000000,cash_original!AG83)</f>
        <v>0</v>
      </c>
      <c r="AH83" s="4">
        <f>IF(ISNUMBER(cash_original!AH83),cash_original!AH83/100000000,cash_original!AH83)</f>
        <v>0</v>
      </c>
      <c r="AI83" s="4">
        <f>IF(ISNUMBER(cash_original!AI83),cash_original!AI83/100000000,cash_original!AI83)</f>
        <v>0</v>
      </c>
      <c r="AJ83" s="4">
        <f>IF(ISNUMBER(cash_original!AJ83),cash_original!AJ83/100000000,cash_original!AJ83)</f>
        <v>0</v>
      </c>
      <c r="AK83" s="4">
        <f>IF(ISNUMBER(cash_original!AK83),cash_original!AK83/100000000,cash_original!AK83)</f>
        <v>0</v>
      </c>
      <c r="AL83" s="4">
        <f>IF(ISNUMBER(cash_original!AL83),cash_original!AL83/100000000,cash_original!AL83)</f>
        <v>0</v>
      </c>
      <c r="AM83" s="4">
        <f>IF(ISNUMBER(cash_original!AM83),cash_original!AM83/100000000,cash_original!AM83)</f>
        <v>0</v>
      </c>
      <c r="AN83" s="4">
        <f>IF(ISNUMBER(cash_original!AN83),cash_original!AN83/100000000,cash_original!AN83)</f>
        <v>0</v>
      </c>
      <c r="AO83" s="4">
        <f>IF(ISNUMBER(cash_original!AO83),cash_original!AO83/100000000,cash_original!AO83)</f>
        <v>0</v>
      </c>
      <c r="AP83" s="4">
        <f>IF(ISNUMBER(cash_original!AP83),cash_original!AP83/100000000,cash_original!AP83)</f>
        <v>0</v>
      </c>
      <c r="AQ83" s="4">
        <f>IF(ISNUMBER(cash_original!AQ83),cash_original!AQ83/100000000,cash_original!AQ83)</f>
        <v>0</v>
      </c>
      <c r="AR83" s="4">
        <f>IF(ISNUMBER(cash_original!AR83),cash_original!AR83/100000000,cash_original!AR83)</f>
        <v>0</v>
      </c>
      <c r="AS83" s="4">
        <f>IF(ISNUMBER(cash_original!AS83),cash_original!AS83/100000000,cash_original!AS83)</f>
        <v>0</v>
      </c>
      <c r="AT83" s="4">
        <f>IF(ISNUMBER(cash_original!AT83),cash_original!AT83/100000000,cash_original!AT83)</f>
        <v>0</v>
      </c>
      <c r="AU83" s="4">
        <f>IF(ISNUMBER(cash_original!AU83),cash_original!AU83/100000000,cash_original!AU83)</f>
        <v>0</v>
      </c>
    </row>
    <row r="84" spans="2:47" x14ac:dyDescent="0.25">
      <c r="B84" s="4">
        <f>IF(ISNUMBER(cash_original!B84),cash_original!B84/100000000,cash_original!B84)</f>
        <v>0</v>
      </c>
      <c r="C84" s="4">
        <f>IF(ISNUMBER(cash_original!C84),cash_original!C84/100000000,cash_original!C84)</f>
        <v>0</v>
      </c>
      <c r="D84" s="4">
        <f>IF(ISNUMBER(cash_original!D84),cash_original!D84/100000000,cash_original!D84)</f>
        <v>0</v>
      </c>
      <c r="E84" s="4">
        <f>IF(ISNUMBER(cash_original!E84),cash_original!E84/100000000,cash_original!E84)</f>
        <v>0</v>
      </c>
      <c r="F84" s="4">
        <f>IF(ISNUMBER(cash_original!F84),cash_original!F84/100000000,cash_original!F84)</f>
        <v>0</v>
      </c>
      <c r="G84" s="4">
        <f>IF(ISNUMBER(cash_original!G84),cash_original!G84/100000000,cash_original!G84)</f>
        <v>0</v>
      </c>
      <c r="H84" s="4">
        <f>IF(ISNUMBER(cash_original!H84),cash_original!H84/100000000,cash_original!H84)</f>
        <v>0</v>
      </c>
      <c r="I84" s="4">
        <f>IF(ISNUMBER(cash_original!I84),cash_original!I84/100000000,cash_original!I84)</f>
        <v>0</v>
      </c>
      <c r="J84" s="4">
        <f>IF(ISNUMBER(cash_original!J84),cash_original!J84/100000000,cash_original!J84)</f>
        <v>0</v>
      </c>
      <c r="K84" s="4">
        <f>IF(ISNUMBER(cash_original!K84),cash_original!K84/100000000,cash_original!K84)</f>
        <v>0</v>
      </c>
      <c r="L84" s="4">
        <f>IF(ISNUMBER(cash_original!L84),cash_original!L84/100000000,cash_original!L84)</f>
        <v>0</v>
      </c>
      <c r="M84" s="4">
        <f>IF(ISNUMBER(cash_original!M84),cash_original!M84/100000000,cash_original!M84)</f>
        <v>0</v>
      </c>
      <c r="N84" s="4">
        <f>IF(ISNUMBER(cash_original!N84),cash_original!N84/100000000,cash_original!N84)</f>
        <v>0</v>
      </c>
      <c r="O84" s="4">
        <f>IF(ISNUMBER(cash_original!O84),cash_original!O84/100000000,cash_original!O84)</f>
        <v>0</v>
      </c>
      <c r="P84" s="4">
        <f>IF(ISNUMBER(cash_original!P84),cash_original!P84/100000000,cash_original!P84)</f>
        <v>0</v>
      </c>
      <c r="Q84" s="4">
        <f>IF(ISNUMBER(cash_original!Q84),cash_original!Q84/100000000,cash_original!Q84)</f>
        <v>0</v>
      </c>
      <c r="R84" s="4">
        <f>IF(ISNUMBER(cash_original!R84),cash_original!R84/100000000,cash_original!R84)</f>
        <v>0</v>
      </c>
      <c r="S84" s="4">
        <f>IF(ISNUMBER(cash_original!S84),cash_original!S84/100000000,cash_original!S84)</f>
        <v>0</v>
      </c>
      <c r="T84" s="4">
        <f>IF(ISNUMBER(cash_original!T84),cash_original!T84/100000000,cash_original!T84)</f>
        <v>0</v>
      </c>
      <c r="U84" s="4">
        <f>IF(ISNUMBER(cash_original!U84),cash_original!U84/100000000,cash_original!U84)</f>
        <v>0</v>
      </c>
      <c r="V84" s="4">
        <f>IF(ISNUMBER(cash_original!V84),cash_original!V84/100000000,cash_original!V84)</f>
        <v>0</v>
      </c>
      <c r="W84" s="4">
        <f>IF(ISNUMBER(cash_original!W84),cash_original!W84/100000000,cash_original!W84)</f>
        <v>0</v>
      </c>
      <c r="X84" s="4">
        <f>IF(ISNUMBER(cash_original!X84),cash_original!X84/100000000,cash_original!X84)</f>
        <v>0</v>
      </c>
      <c r="Y84" s="4">
        <f>IF(ISNUMBER(cash_original!Y84),cash_original!Y84/100000000,cash_original!Y84)</f>
        <v>0</v>
      </c>
      <c r="Z84" s="4">
        <f>IF(ISNUMBER(cash_original!Z84),cash_original!Z84/100000000,cash_original!Z84)</f>
        <v>0</v>
      </c>
      <c r="AA84" s="4">
        <f>IF(ISNUMBER(cash_original!AA84),cash_original!AA84/100000000,cash_original!AA84)</f>
        <v>0</v>
      </c>
      <c r="AB84" s="4">
        <f>IF(ISNUMBER(cash_original!AB84),cash_original!AB84/100000000,cash_original!AB84)</f>
        <v>0</v>
      </c>
      <c r="AC84" s="4">
        <f>IF(ISNUMBER(cash_original!AC84),cash_original!AC84/100000000,cash_original!AC84)</f>
        <v>0</v>
      </c>
      <c r="AD84" s="4">
        <f>IF(ISNUMBER(cash_original!AD84),cash_original!AD84/100000000,cash_original!AD84)</f>
        <v>0</v>
      </c>
      <c r="AE84" s="4">
        <f>IF(ISNUMBER(cash_original!AE84),cash_original!AE84/100000000,cash_original!AE84)</f>
        <v>0</v>
      </c>
      <c r="AF84" s="4">
        <f>IF(ISNUMBER(cash_original!AF84),cash_original!AF84/100000000,cash_original!AF84)</f>
        <v>0</v>
      </c>
      <c r="AG84" s="4">
        <f>IF(ISNUMBER(cash_original!AG84),cash_original!AG84/100000000,cash_original!AG84)</f>
        <v>0</v>
      </c>
      <c r="AH84" s="4">
        <f>IF(ISNUMBER(cash_original!AH84),cash_original!AH84/100000000,cash_original!AH84)</f>
        <v>0</v>
      </c>
      <c r="AI84" s="4">
        <f>IF(ISNUMBER(cash_original!AI84),cash_original!AI84/100000000,cash_original!AI84)</f>
        <v>0</v>
      </c>
      <c r="AJ84" s="4">
        <f>IF(ISNUMBER(cash_original!AJ84),cash_original!AJ84/100000000,cash_original!AJ84)</f>
        <v>0</v>
      </c>
      <c r="AK84" s="4">
        <f>IF(ISNUMBER(cash_original!AK84),cash_original!AK84/100000000,cash_original!AK84)</f>
        <v>0</v>
      </c>
      <c r="AL84" s="4">
        <f>IF(ISNUMBER(cash_original!AL84),cash_original!AL84/100000000,cash_original!AL84)</f>
        <v>0</v>
      </c>
      <c r="AM84" s="4">
        <f>IF(ISNUMBER(cash_original!AM84),cash_original!AM84/100000000,cash_original!AM84)</f>
        <v>0</v>
      </c>
      <c r="AN84" s="4">
        <f>IF(ISNUMBER(cash_original!AN84),cash_original!AN84/100000000,cash_original!AN84)</f>
        <v>0</v>
      </c>
      <c r="AO84" s="4">
        <f>IF(ISNUMBER(cash_original!AO84),cash_original!AO84/100000000,cash_original!AO84)</f>
        <v>0</v>
      </c>
      <c r="AP84" s="4">
        <f>IF(ISNUMBER(cash_original!AP84),cash_original!AP84/100000000,cash_original!AP84)</f>
        <v>0</v>
      </c>
      <c r="AQ84" s="4">
        <f>IF(ISNUMBER(cash_original!AQ84),cash_original!AQ84/100000000,cash_original!AQ84)</f>
        <v>0</v>
      </c>
      <c r="AR84" s="4">
        <f>IF(ISNUMBER(cash_original!AR84),cash_original!AR84/100000000,cash_original!AR84)</f>
        <v>0</v>
      </c>
      <c r="AS84" s="4">
        <f>IF(ISNUMBER(cash_original!AS84),cash_original!AS84/100000000,cash_original!AS84)</f>
        <v>0</v>
      </c>
      <c r="AT84" s="4">
        <f>IF(ISNUMBER(cash_original!AT84),cash_original!AT84/100000000,cash_original!AT84)</f>
        <v>0</v>
      </c>
      <c r="AU84" s="4">
        <f>IF(ISNUMBER(cash_original!AU84),cash_original!AU84/100000000,cash_original!AU84)</f>
        <v>0</v>
      </c>
    </row>
    <row r="85" spans="2:47" x14ac:dyDescent="0.25">
      <c r="B85" s="4">
        <f>IF(ISNUMBER(cash_original!B85),cash_original!B85/100000000,cash_original!B85)</f>
        <v>0</v>
      </c>
      <c r="C85" s="4">
        <f>IF(ISNUMBER(cash_original!C85),cash_original!C85/100000000,cash_original!C85)</f>
        <v>0</v>
      </c>
      <c r="D85" s="4">
        <f>IF(ISNUMBER(cash_original!D85),cash_original!D85/100000000,cash_original!D85)</f>
        <v>0</v>
      </c>
      <c r="E85" s="4">
        <f>IF(ISNUMBER(cash_original!E85),cash_original!E85/100000000,cash_original!E85)</f>
        <v>0</v>
      </c>
      <c r="F85" s="4">
        <f>IF(ISNUMBER(cash_original!F85),cash_original!F85/100000000,cash_original!F85)</f>
        <v>0</v>
      </c>
      <c r="G85" s="4">
        <f>IF(ISNUMBER(cash_original!G85),cash_original!G85/100000000,cash_original!G85)</f>
        <v>0</v>
      </c>
      <c r="H85" s="4">
        <f>IF(ISNUMBER(cash_original!H85),cash_original!H85/100000000,cash_original!H85)</f>
        <v>0</v>
      </c>
      <c r="I85" s="4">
        <f>IF(ISNUMBER(cash_original!I85),cash_original!I85/100000000,cash_original!I85)</f>
        <v>0</v>
      </c>
      <c r="J85" s="4">
        <f>IF(ISNUMBER(cash_original!J85),cash_original!J85/100000000,cash_original!J85)</f>
        <v>0</v>
      </c>
      <c r="K85" s="4">
        <f>IF(ISNUMBER(cash_original!K85),cash_original!K85/100000000,cash_original!K85)</f>
        <v>0</v>
      </c>
      <c r="L85" s="4">
        <f>IF(ISNUMBER(cash_original!L85),cash_original!L85/100000000,cash_original!L85)</f>
        <v>0</v>
      </c>
      <c r="M85" s="4">
        <f>IF(ISNUMBER(cash_original!M85),cash_original!M85/100000000,cash_original!M85)</f>
        <v>0</v>
      </c>
      <c r="N85" s="4">
        <f>IF(ISNUMBER(cash_original!N85),cash_original!N85/100000000,cash_original!N85)</f>
        <v>0</v>
      </c>
      <c r="O85" s="4">
        <f>IF(ISNUMBER(cash_original!O85),cash_original!O85/100000000,cash_original!O85)</f>
        <v>0</v>
      </c>
      <c r="P85" s="4">
        <f>IF(ISNUMBER(cash_original!P85),cash_original!P85/100000000,cash_original!P85)</f>
        <v>0</v>
      </c>
      <c r="Q85" s="4">
        <f>IF(ISNUMBER(cash_original!Q85),cash_original!Q85/100000000,cash_original!Q85)</f>
        <v>0</v>
      </c>
      <c r="R85" s="4">
        <f>IF(ISNUMBER(cash_original!R85),cash_original!R85/100000000,cash_original!R85)</f>
        <v>0</v>
      </c>
      <c r="S85" s="4">
        <f>IF(ISNUMBER(cash_original!S85),cash_original!S85/100000000,cash_original!S85)</f>
        <v>0</v>
      </c>
      <c r="T85" s="4">
        <f>IF(ISNUMBER(cash_original!T85),cash_original!T85/100000000,cash_original!T85)</f>
        <v>0</v>
      </c>
      <c r="U85" s="4">
        <f>IF(ISNUMBER(cash_original!U85),cash_original!U85/100000000,cash_original!U85)</f>
        <v>0</v>
      </c>
      <c r="V85" s="4">
        <f>IF(ISNUMBER(cash_original!V85),cash_original!V85/100000000,cash_original!V85)</f>
        <v>0</v>
      </c>
      <c r="W85" s="4">
        <f>IF(ISNUMBER(cash_original!W85),cash_original!W85/100000000,cash_original!W85)</f>
        <v>0</v>
      </c>
      <c r="X85" s="4">
        <f>IF(ISNUMBER(cash_original!X85),cash_original!X85/100000000,cash_original!X85)</f>
        <v>0</v>
      </c>
      <c r="Y85" s="4">
        <f>IF(ISNUMBER(cash_original!Y85),cash_original!Y85/100000000,cash_original!Y85)</f>
        <v>0</v>
      </c>
      <c r="Z85" s="4">
        <f>IF(ISNUMBER(cash_original!Z85),cash_original!Z85/100000000,cash_original!Z85)</f>
        <v>0</v>
      </c>
      <c r="AA85" s="4">
        <f>IF(ISNUMBER(cash_original!AA85),cash_original!AA85/100000000,cash_original!AA85)</f>
        <v>0</v>
      </c>
      <c r="AB85" s="4">
        <f>IF(ISNUMBER(cash_original!AB85),cash_original!AB85/100000000,cash_original!AB85)</f>
        <v>0</v>
      </c>
      <c r="AC85" s="4">
        <f>IF(ISNUMBER(cash_original!AC85),cash_original!AC85/100000000,cash_original!AC85)</f>
        <v>0</v>
      </c>
      <c r="AD85" s="4">
        <f>IF(ISNUMBER(cash_original!AD85),cash_original!AD85/100000000,cash_original!AD85)</f>
        <v>0</v>
      </c>
      <c r="AE85" s="4">
        <f>IF(ISNUMBER(cash_original!AE85),cash_original!AE85/100000000,cash_original!AE85)</f>
        <v>0</v>
      </c>
      <c r="AF85" s="4">
        <f>IF(ISNUMBER(cash_original!AF85),cash_original!AF85/100000000,cash_original!AF85)</f>
        <v>0</v>
      </c>
      <c r="AG85" s="4">
        <f>IF(ISNUMBER(cash_original!AG85),cash_original!AG85/100000000,cash_original!AG85)</f>
        <v>0</v>
      </c>
      <c r="AH85" s="4">
        <f>IF(ISNUMBER(cash_original!AH85),cash_original!AH85/100000000,cash_original!AH85)</f>
        <v>0</v>
      </c>
      <c r="AI85" s="4">
        <f>IF(ISNUMBER(cash_original!AI85),cash_original!AI85/100000000,cash_original!AI85)</f>
        <v>0</v>
      </c>
      <c r="AJ85" s="4">
        <f>IF(ISNUMBER(cash_original!AJ85),cash_original!AJ85/100000000,cash_original!AJ85)</f>
        <v>0</v>
      </c>
      <c r="AK85" s="4">
        <f>IF(ISNUMBER(cash_original!AK85),cash_original!AK85/100000000,cash_original!AK85)</f>
        <v>0</v>
      </c>
      <c r="AL85" s="4">
        <f>IF(ISNUMBER(cash_original!AL85),cash_original!AL85/100000000,cash_original!AL85)</f>
        <v>0</v>
      </c>
      <c r="AM85" s="4">
        <f>IF(ISNUMBER(cash_original!AM85),cash_original!AM85/100000000,cash_original!AM85)</f>
        <v>0</v>
      </c>
      <c r="AN85" s="4">
        <f>IF(ISNUMBER(cash_original!AN85),cash_original!AN85/100000000,cash_original!AN85)</f>
        <v>0</v>
      </c>
      <c r="AO85" s="4">
        <f>IF(ISNUMBER(cash_original!AO85),cash_original!AO85/100000000,cash_original!AO85)</f>
        <v>0</v>
      </c>
      <c r="AP85" s="4">
        <f>IF(ISNUMBER(cash_original!AP85),cash_original!AP85/100000000,cash_original!AP85)</f>
        <v>0</v>
      </c>
      <c r="AQ85" s="4">
        <f>IF(ISNUMBER(cash_original!AQ85),cash_original!AQ85/100000000,cash_original!AQ85)</f>
        <v>0</v>
      </c>
      <c r="AR85" s="4">
        <f>IF(ISNUMBER(cash_original!AR85),cash_original!AR85/100000000,cash_original!AR85)</f>
        <v>0</v>
      </c>
      <c r="AS85" s="4">
        <f>IF(ISNUMBER(cash_original!AS85),cash_original!AS85/100000000,cash_original!AS85)</f>
        <v>0</v>
      </c>
      <c r="AT85" s="4">
        <f>IF(ISNUMBER(cash_original!AT85),cash_original!AT85/100000000,cash_original!AT85)</f>
        <v>0</v>
      </c>
      <c r="AU85" s="4">
        <f>IF(ISNUMBER(cash_original!AU85),cash_original!AU85/100000000,cash_original!AU85)</f>
        <v>0</v>
      </c>
    </row>
    <row r="86" spans="2:47" x14ac:dyDescent="0.25">
      <c r="B86" s="4">
        <f>IF(ISNUMBER(cash_original!B86),cash_original!B86/100000000,cash_original!B86)</f>
        <v>0</v>
      </c>
      <c r="C86" s="4">
        <f>IF(ISNUMBER(cash_original!C86),cash_original!C86/100000000,cash_original!C86)</f>
        <v>0</v>
      </c>
      <c r="D86" s="4">
        <f>IF(ISNUMBER(cash_original!D86),cash_original!D86/100000000,cash_original!D86)</f>
        <v>0</v>
      </c>
      <c r="E86" s="4">
        <f>IF(ISNUMBER(cash_original!E86),cash_original!E86/100000000,cash_original!E86)</f>
        <v>0</v>
      </c>
      <c r="F86" s="4">
        <f>IF(ISNUMBER(cash_original!F86),cash_original!F86/100000000,cash_original!F86)</f>
        <v>0</v>
      </c>
      <c r="G86" s="4">
        <f>IF(ISNUMBER(cash_original!G86),cash_original!G86/100000000,cash_original!G86)</f>
        <v>0</v>
      </c>
      <c r="H86" s="4">
        <f>IF(ISNUMBER(cash_original!H86),cash_original!H86/100000000,cash_original!H86)</f>
        <v>0</v>
      </c>
      <c r="I86" s="4">
        <f>IF(ISNUMBER(cash_original!I86),cash_original!I86/100000000,cash_original!I86)</f>
        <v>0</v>
      </c>
      <c r="J86" s="4">
        <f>IF(ISNUMBER(cash_original!J86),cash_original!J86/100000000,cash_original!J86)</f>
        <v>0</v>
      </c>
      <c r="K86" s="4">
        <f>IF(ISNUMBER(cash_original!K86),cash_original!K86/100000000,cash_original!K86)</f>
        <v>0</v>
      </c>
      <c r="L86" s="4">
        <f>IF(ISNUMBER(cash_original!L86),cash_original!L86/100000000,cash_original!L86)</f>
        <v>0</v>
      </c>
      <c r="M86" s="4">
        <f>IF(ISNUMBER(cash_original!M86),cash_original!M86/100000000,cash_original!M86)</f>
        <v>0</v>
      </c>
      <c r="N86" s="4">
        <f>IF(ISNUMBER(cash_original!N86),cash_original!N86/100000000,cash_original!N86)</f>
        <v>0</v>
      </c>
      <c r="O86" s="4">
        <f>IF(ISNUMBER(cash_original!O86),cash_original!O86/100000000,cash_original!O86)</f>
        <v>0</v>
      </c>
      <c r="P86" s="4">
        <f>IF(ISNUMBER(cash_original!P86),cash_original!P86/100000000,cash_original!P86)</f>
        <v>0</v>
      </c>
      <c r="Q86" s="4">
        <f>IF(ISNUMBER(cash_original!Q86),cash_original!Q86/100000000,cash_original!Q86)</f>
        <v>0</v>
      </c>
      <c r="R86" s="4">
        <f>IF(ISNUMBER(cash_original!R86),cash_original!R86/100000000,cash_original!R86)</f>
        <v>0</v>
      </c>
      <c r="S86" s="4">
        <f>IF(ISNUMBER(cash_original!S86),cash_original!S86/100000000,cash_original!S86)</f>
        <v>0</v>
      </c>
      <c r="T86" s="4">
        <f>IF(ISNUMBER(cash_original!T86),cash_original!T86/100000000,cash_original!T86)</f>
        <v>0</v>
      </c>
      <c r="U86" s="4">
        <f>IF(ISNUMBER(cash_original!U86),cash_original!U86/100000000,cash_original!U86)</f>
        <v>0</v>
      </c>
      <c r="V86" s="4">
        <f>IF(ISNUMBER(cash_original!V86),cash_original!V86/100000000,cash_original!V86)</f>
        <v>0</v>
      </c>
      <c r="W86" s="4">
        <f>IF(ISNUMBER(cash_original!W86),cash_original!W86/100000000,cash_original!W86)</f>
        <v>0</v>
      </c>
      <c r="X86" s="4">
        <f>IF(ISNUMBER(cash_original!X86),cash_original!X86/100000000,cash_original!X86)</f>
        <v>0</v>
      </c>
      <c r="Y86" s="4">
        <f>IF(ISNUMBER(cash_original!Y86),cash_original!Y86/100000000,cash_original!Y86)</f>
        <v>0</v>
      </c>
      <c r="Z86" s="4">
        <f>IF(ISNUMBER(cash_original!Z86),cash_original!Z86/100000000,cash_original!Z86)</f>
        <v>0</v>
      </c>
      <c r="AA86" s="4">
        <f>IF(ISNUMBER(cash_original!AA86),cash_original!AA86/100000000,cash_original!AA86)</f>
        <v>0</v>
      </c>
      <c r="AB86" s="4">
        <f>IF(ISNUMBER(cash_original!AB86),cash_original!AB86/100000000,cash_original!AB86)</f>
        <v>0</v>
      </c>
      <c r="AC86" s="4">
        <f>IF(ISNUMBER(cash_original!AC86),cash_original!AC86/100000000,cash_original!AC86)</f>
        <v>0</v>
      </c>
      <c r="AD86" s="4">
        <f>IF(ISNUMBER(cash_original!AD86),cash_original!AD86/100000000,cash_original!AD86)</f>
        <v>0</v>
      </c>
      <c r="AE86" s="4">
        <f>IF(ISNUMBER(cash_original!AE86),cash_original!AE86/100000000,cash_original!AE86)</f>
        <v>0</v>
      </c>
      <c r="AF86" s="4">
        <f>IF(ISNUMBER(cash_original!AF86),cash_original!AF86/100000000,cash_original!AF86)</f>
        <v>0</v>
      </c>
      <c r="AG86" s="4">
        <f>IF(ISNUMBER(cash_original!AG86),cash_original!AG86/100000000,cash_original!AG86)</f>
        <v>0</v>
      </c>
      <c r="AH86" s="4">
        <f>IF(ISNUMBER(cash_original!AH86),cash_original!AH86/100000000,cash_original!AH86)</f>
        <v>0</v>
      </c>
      <c r="AI86" s="4">
        <f>IF(ISNUMBER(cash_original!AI86),cash_original!AI86/100000000,cash_original!AI86)</f>
        <v>0</v>
      </c>
      <c r="AJ86" s="4">
        <f>IF(ISNUMBER(cash_original!AJ86),cash_original!AJ86/100000000,cash_original!AJ86)</f>
        <v>0</v>
      </c>
      <c r="AK86" s="4">
        <f>IF(ISNUMBER(cash_original!AK86),cash_original!AK86/100000000,cash_original!AK86)</f>
        <v>0</v>
      </c>
      <c r="AL86" s="4">
        <f>IF(ISNUMBER(cash_original!AL86),cash_original!AL86/100000000,cash_original!AL86)</f>
        <v>0</v>
      </c>
      <c r="AM86" s="4">
        <f>IF(ISNUMBER(cash_original!AM86),cash_original!AM86/100000000,cash_original!AM86)</f>
        <v>0</v>
      </c>
      <c r="AN86" s="4">
        <f>IF(ISNUMBER(cash_original!AN86),cash_original!AN86/100000000,cash_original!AN86)</f>
        <v>0</v>
      </c>
      <c r="AO86" s="4">
        <f>IF(ISNUMBER(cash_original!AO86),cash_original!AO86/100000000,cash_original!AO86)</f>
        <v>0</v>
      </c>
      <c r="AP86" s="4">
        <f>IF(ISNUMBER(cash_original!AP86),cash_original!AP86/100000000,cash_original!AP86)</f>
        <v>0</v>
      </c>
      <c r="AQ86" s="4">
        <f>IF(ISNUMBER(cash_original!AQ86),cash_original!AQ86/100000000,cash_original!AQ86)</f>
        <v>0</v>
      </c>
      <c r="AR86" s="4">
        <f>IF(ISNUMBER(cash_original!AR86),cash_original!AR86/100000000,cash_original!AR86)</f>
        <v>0</v>
      </c>
      <c r="AS86" s="4">
        <f>IF(ISNUMBER(cash_original!AS86),cash_original!AS86/100000000,cash_original!AS86)</f>
        <v>0</v>
      </c>
      <c r="AT86" s="4">
        <f>IF(ISNUMBER(cash_original!AT86),cash_original!AT86/100000000,cash_original!AT86)</f>
        <v>0</v>
      </c>
      <c r="AU86" s="4">
        <f>IF(ISNUMBER(cash_original!AU86),cash_original!AU86/100000000,cash_original!AU86)</f>
        <v>0</v>
      </c>
    </row>
    <row r="87" spans="2:47" x14ac:dyDescent="0.25">
      <c r="B87" s="4">
        <f>IF(ISNUMBER(cash_original!B87),cash_original!B87/100000000,cash_original!B87)</f>
        <v>0</v>
      </c>
      <c r="C87" s="4">
        <f>IF(ISNUMBER(cash_original!C87),cash_original!C87/100000000,cash_original!C87)</f>
        <v>0</v>
      </c>
      <c r="D87" s="4">
        <f>IF(ISNUMBER(cash_original!D87),cash_original!D87/100000000,cash_original!D87)</f>
        <v>0</v>
      </c>
      <c r="E87" s="4">
        <f>IF(ISNUMBER(cash_original!E87),cash_original!E87/100000000,cash_original!E87)</f>
        <v>0</v>
      </c>
      <c r="F87" s="4">
        <f>IF(ISNUMBER(cash_original!F87),cash_original!F87/100000000,cash_original!F87)</f>
        <v>0</v>
      </c>
      <c r="G87" s="4">
        <f>IF(ISNUMBER(cash_original!G87),cash_original!G87/100000000,cash_original!G87)</f>
        <v>0</v>
      </c>
      <c r="H87" s="4">
        <f>IF(ISNUMBER(cash_original!H87),cash_original!H87/100000000,cash_original!H87)</f>
        <v>0</v>
      </c>
      <c r="I87" s="4">
        <f>IF(ISNUMBER(cash_original!I87),cash_original!I87/100000000,cash_original!I87)</f>
        <v>0</v>
      </c>
      <c r="J87" s="4">
        <f>IF(ISNUMBER(cash_original!J87),cash_original!J87/100000000,cash_original!J87)</f>
        <v>0</v>
      </c>
      <c r="K87" s="4">
        <f>IF(ISNUMBER(cash_original!K87),cash_original!K87/100000000,cash_original!K87)</f>
        <v>0</v>
      </c>
      <c r="L87" s="4">
        <f>IF(ISNUMBER(cash_original!L87),cash_original!L87/100000000,cash_original!L87)</f>
        <v>0</v>
      </c>
      <c r="M87" s="4">
        <f>IF(ISNUMBER(cash_original!M87),cash_original!M87/100000000,cash_original!M87)</f>
        <v>0</v>
      </c>
      <c r="N87" s="4">
        <f>IF(ISNUMBER(cash_original!N87),cash_original!N87/100000000,cash_original!N87)</f>
        <v>0</v>
      </c>
      <c r="O87" s="4">
        <f>IF(ISNUMBER(cash_original!O87),cash_original!O87/100000000,cash_original!O87)</f>
        <v>0</v>
      </c>
      <c r="P87" s="4">
        <f>IF(ISNUMBER(cash_original!P87),cash_original!P87/100000000,cash_original!P87)</f>
        <v>0</v>
      </c>
      <c r="Q87" s="4">
        <f>IF(ISNUMBER(cash_original!Q87),cash_original!Q87/100000000,cash_original!Q87)</f>
        <v>0</v>
      </c>
      <c r="R87" s="4">
        <f>IF(ISNUMBER(cash_original!R87),cash_original!R87/100000000,cash_original!R87)</f>
        <v>0</v>
      </c>
      <c r="S87" s="4">
        <f>IF(ISNUMBER(cash_original!S87),cash_original!S87/100000000,cash_original!S87)</f>
        <v>0</v>
      </c>
      <c r="T87" s="4">
        <f>IF(ISNUMBER(cash_original!T87),cash_original!T87/100000000,cash_original!T87)</f>
        <v>0</v>
      </c>
      <c r="U87" s="4">
        <f>IF(ISNUMBER(cash_original!U87),cash_original!U87/100000000,cash_original!U87)</f>
        <v>0</v>
      </c>
      <c r="V87" s="4">
        <f>IF(ISNUMBER(cash_original!V87),cash_original!V87/100000000,cash_original!V87)</f>
        <v>0</v>
      </c>
      <c r="W87" s="4">
        <f>IF(ISNUMBER(cash_original!W87),cash_original!W87/100000000,cash_original!W87)</f>
        <v>0</v>
      </c>
      <c r="X87" s="4">
        <f>IF(ISNUMBER(cash_original!X87),cash_original!X87/100000000,cash_original!X87)</f>
        <v>0</v>
      </c>
      <c r="Y87" s="4">
        <f>IF(ISNUMBER(cash_original!Y87),cash_original!Y87/100000000,cash_original!Y87)</f>
        <v>0</v>
      </c>
      <c r="Z87" s="4">
        <f>IF(ISNUMBER(cash_original!Z87),cash_original!Z87/100000000,cash_original!Z87)</f>
        <v>0</v>
      </c>
      <c r="AA87" s="4">
        <f>IF(ISNUMBER(cash_original!AA87),cash_original!AA87/100000000,cash_original!AA87)</f>
        <v>0</v>
      </c>
      <c r="AB87" s="4">
        <f>IF(ISNUMBER(cash_original!AB87),cash_original!AB87/100000000,cash_original!AB87)</f>
        <v>0</v>
      </c>
      <c r="AC87" s="4">
        <f>IF(ISNUMBER(cash_original!AC87),cash_original!AC87/100000000,cash_original!AC87)</f>
        <v>0</v>
      </c>
      <c r="AD87" s="4">
        <f>IF(ISNUMBER(cash_original!AD87),cash_original!AD87/100000000,cash_original!AD87)</f>
        <v>0</v>
      </c>
      <c r="AE87" s="4">
        <f>IF(ISNUMBER(cash_original!AE87),cash_original!AE87/100000000,cash_original!AE87)</f>
        <v>0</v>
      </c>
      <c r="AF87" s="4">
        <f>IF(ISNUMBER(cash_original!AF87),cash_original!AF87/100000000,cash_original!AF87)</f>
        <v>0</v>
      </c>
      <c r="AG87" s="4">
        <f>IF(ISNUMBER(cash_original!AG87),cash_original!AG87/100000000,cash_original!AG87)</f>
        <v>0</v>
      </c>
      <c r="AH87" s="4">
        <f>IF(ISNUMBER(cash_original!AH87),cash_original!AH87/100000000,cash_original!AH87)</f>
        <v>0</v>
      </c>
      <c r="AI87" s="4">
        <f>IF(ISNUMBER(cash_original!AI87),cash_original!AI87/100000000,cash_original!AI87)</f>
        <v>0</v>
      </c>
      <c r="AJ87" s="4">
        <f>IF(ISNUMBER(cash_original!AJ87),cash_original!AJ87/100000000,cash_original!AJ87)</f>
        <v>0</v>
      </c>
      <c r="AK87" s="4">
        <f>IF(ISNUMBER(cash_original!AK87),cash_original!AK87/100000000,cash_original!AK87)</f>
        <v>0</v>
      </c>
      <c r="AL87" s="4">
        <f>IF(ISNUMBER(cash_original!AL87),cash_original!AL87/100000000,cash_original!AL87)</f>
        <v>0</v>
      </c>
      <c r="AM87" s="4">
        <f>IF(ISNUMBER(cash_original!AM87),cash_original!AM87/100000000,cash_original!AM87)</f>
        <v>0</v>
      </c>
      <c r="AN87" s="4">
        <f>IF(ISNUMBER(cash_original!AN87),cash_original!AN87/100000000,cash_original!AN87)</f>
        <v>0</v>
      </c>
      <c r="AO87" s="4">
        <f>IF(ISNUMBER(cash_original!AO87),cash_original!AO87/100000000,cash_original!AO87)</f>
        <v>0</v>
      </c>
      <c r="AP87" s="4">
        <f>IF(ISNUMBER(cash_original!AP87),cash_original!AP87/100000000,cash_original!AP87)</f>
        <v>0</v>
      </c>
      <c r="AQ87" s="4">
        <f>IF(ISNUMBER(cash_original!AQ87),cash_original!AQ87/100000000,cash_original!AQ87)</f>
        <v>0</v>
      </c>
      <c r="AR87" s="4">
        <f>IF(ISNUMBER(cash_original!AR87),cash_original!AR87/100000000,cash_original!AR87)</f>
        <v>0</v>
      </c>
      <c r="AS87" s="4">
        <f>IF(ISNUMBER(cash_original!AS87),cash_original!AS87/100000000,cash_original!AS87)</f>
        <v>0</v>
      </c>
      <c r="AT87" s="4">
        <f>IF(ISNUMBER(cash_original!AT87),cash_original!AT87/100000000,cash_original!AT87)</f>
        <v>0</v>
      </c>
      <c r="AU87" s="4">
        <f>IF(ISNUMBER(cash_original!AU87),cash_original!AU87/100000000,cash_original!AU87)</f>
        <v>0</v>
      </c>
    </row>
    <row r="88" spans="2:47" x14ac:dyDescent="0.25">
      <c r="B88" s="4">
        <f>IF(ISNUMBER(cash_original!B88),cash_original!B88/100000000,cash_original!B88)</f>
        <v>0</v>
      </c>
      <c r="C88" s="4">
        <f>IF(ISNUMBER(cash_original!C88),cash_original!C88/100000000,cash_original!C88)</f>
        <v>0</v>
      </c>
      <c r="D88" s="4">
        <f>IF(ISNUMBER(cash_original!D88),cash_original!D88/100000000,cash_original!D88)</f>
        <v>0</v>
      </c>
      <c r="E88" s="4">
        <f>IF(ISNUMBER(cash_original!E88),cash_original!E88/100000000,cash_original!E88)</f>
        <v>0</v>
      </c>
      <c r="F88" s="4">
        <f>IF(ISNUMBER(cash_original!F88),cash_original!F88/100000000,cash_original!F88)</f>
        <v>0</v>
      </c>
      <c r="G88" s="4">
        <f>IF(ISNUMBER(cash_original!G88),cash_original!G88/100000000,cash_original!G88)</f>
        <v>0</v>
      </c>
      <c r="H88" s="4">
        <f>IF(ISNUMBER(cash_original!H88),cash_original!H88/100000000,cash_original!H88)</f>
        <v>0</v>
      </c>
      <c r="I88" s="4">
        <f>IF(ISNUMBER(cash_original!I88),cash_original!I88/100000000,cash_original!I88)</f>
        <v>0</v>
      </c>
      <c r="J88" s="4">
        <f>IF(ISNUMBER(cash_original!J88),cash_original!J88/100000000,cash_original!J88)</f>
        <v>0</v>
      </c>
      <c r="K88" s="4">
        <f>IF(ISNUMBER(cash_original!K88),cash_original!K88/100000000,cash_original!K88)</f>
        <v>0</v>
      </c>
      <c r="L88" s="4">
        <f>IF(ISNUMBER(cash_original!L88),cash_original!L88/100000000,cash_original!L88)</f>
        <v>0</v>
      </c>
      <c r="M88" s="4">
        <f>IF(ISNUMBER(cash_original!M88),cash_original!M88/100000000,cash_original!M88)</f>
        <v>0</v>
      </c>
      <c r="N88" s="4">
        <f>IF(ISNUMBER(cash_original!N88),cash_original!N88/100000000,cash_original!N88)</f>
        <v>0</v>
      </c>
      <c r="O88" s="4">
        <f>IF(ISNUMBER(cash_original!O88),cash_original!O88/100000000,cash_original!O88)</f>
        <v>0</v>
      </c>
      <c r="P88" s="4">
        <f>IF(ISNUMBER(cash_original!P88),cash_original!P88/100000000,cash_original!P88)</f>
        <v>0</v>
      </c>
      <c r="Q88" s="4">
        <f>IF(ISNUMBER(cash_original!Q88),cash_original!Q88/100000000,cash_original!Q88)</f>
        <v>0</v>
      </c>
      <c r="R88" s="4">
        <f>IF(ISNUMBER(cash_original!R88),cash_original!R88/100000000,cash_original!R88)</f>
        <v>0</v>
      </c>
      <c r="S88" s="4">
        <f>IF(ISNUMBER(cash_original!S88),cash_original!S88/100000000,cash_original!S88)</f>
        <v>0</v>
      </c>
      <c r="T88" s="4">
        <f>IF(ISNUMBER(cash_original!T88),cash_original!T88/100000000,cash_original!T88)</f>
        <v>0</v>
      </c>
      <c r="U88" s="4">
        <f>IF(ISNUMBER(cash_original!U88),cash_original!U88/100000000,cash_original!U88)</f>
        <v>0</v>
      </c>
      <c r="V88" s="4">
        <f>IF(ISNUMBER(cash_original!V88),cash_original!V88/100000000,cash_original!V88)</f>
        <v>0</v>
      </c>
      <c r="W88" s="4">
        <f>IF(ISNUMBER(cash_original!W88),cash_original!W88/100000000,cash_original!W88)</f>
        <v>0</v>
      </c>
      <c r="X88" s="4">
        <f>IF(ISNUMBER(cash_original!X88),cash_original!X88/100000000,cash_original!X88)</f>
        <v>0</v>
      </c>
      <c r="Y88" s="4">
        <f>IF(ISNUMBER(cash_original!Y88),cash_original!Y88/100000000,cash_original!Y88)</f>
        <v>0</v>
      </c>
      <c r="Z88" s="4">
        <f>IF(ISNUMBER(cash_original!Z88),cash_original!Z88/100000000,cash_original!Z88)</f>
        <v>0</v>
      </c>
      <c r="AA88" s="4">
        <f>IF(ISNUMBER(cash_original!AA88),cash_original!AA88/100000000,cash_original!AA88)</f>
        <v>0</v>
      </c>
      <c r="AB88" s="4">
        <f>IF(ISNUMBER(cash_original!AB88),cash_original!AB88/100000000,cash_original!AB88)</f>
        <v>0</v>
      </c>
      <c r="AC88" s="4">
        <f>IF(ISNUMBER(cash_original!AC88),cash_original!AC88/100000000,cash_original!AC88)</f>
        <v>0</v>
      </c>
      <c r="AD88" s="4">
        <f>IF(ISNUMBER(cash_original!AD88),cash_original!AD88/100000000,cash_original!AD88)</f>
        <v>0</v>
      </c>
      <c r="AE88" s="4">
        <f>IF(ISNUMBER(cash_original!AE88),cash_original!AE88/100000000,cash_original!AE88)</f>
        <v>0</v>
      </c>
      <c r="AF88" s="4">
        <f>IF(ISNUMBER(cash_original!AF88),cash_original!AF88/100000000,cash_original!AF88)</f>
        <v>0</v>
      </c>
      <c r="AG88" s="4">
        <f>IF(ISNUMBER(cash_original!AG88),cash_original!AG88/100000000,cash_original!AG88)</f>
        <v>0</v>
      </c>
      <c r="AH88" s="4">
        <f>IF(ISNUMBER(cash_original!AH88),cash_original!AH88/100000000,cash_original!AH88)</f>
        <v>0</v>
      </c>
      <c r="AI88" s="4">
        <f>IF(ISNUMBER(cash_original!AI88),cash_original!AI88/100000000,cash_original!AI88)</f>
        <v>0</v>
      </c>
      <c r="AJ88" s="4">
        <f>IF(ISNUMBER(cash_original!AJ88),cash_original!AJ88/100000000,cash_original!AJ88)</f>
        <v>0</v>
      </c>
      <c r="AK88" s="4">
        <f>IF(ISNUMBER(cash_original!AK88),cash_original!AK88/100000000,cash_original!AK88)</f>
        <v>0</v>
      </c>
      <c r="AL88" s="4">
        <f>IF(ISNUMBER(cash_original!AL88),cash_original!AL88/100000000,cash_original!AL88)</f>
        <v>0</v>
      </c>
      <c r="AM88" s="4">
        <f>IF(ISNUMBER(cash_original!AM88),cash_original!AM88/100000000,cash_original!AM88)</f>
        <v>0</v>
      </c>
      <c r="AN88" s="4">
        <f>IF(ISNUMBER(cash_original!AN88),cash_original!AN88/100000000,cash_original!AN88)</f>
        <v>0</v>
      </c>
      <c r="AO88" s="4">
        <f>IF(ISNUMBER(cash_original!AO88),cash_original!AO88/100000000,cash_original!AO88)</f>
        <v>0</v>
      </c>
      <c r="AP88" s="4">
        <f>IF(ISNUMBER(cash_original!AP88),cash_original!AP88/100000000,cash_original!AP88)</f>
        <v>0</v>
      </c>
      <c r="AQ88" s="4">
        <f>IF(ISNUMBER(cash_original!AQ88),cash_original!AQ88/100000000,cash_original!AQ88)</f>
        <v>0</v>
      </c>
      <c r="AR88" s="4">
        <f>IF(ISNUMBER(cash_original!AR88),cash_original!AR88/100000000,cash_original!AR88)</f>
        <v>0</v>
      </c>
      <c r="AS88" s="4">
        <f>IF(ISNUMBER(cash_original!AS88),cash_original!AS88/100000000,cash_original!AS88)</f>
        <v>0</v>
      </c>
      <c r="AT88" s="4">
        <f>IF(ISNUMBER(cash_original!AT88),cash_original!AT88/100000000,cash_original!AT88)</f>
        <v>0</v>
      </c>
      <c r="AU88" s="4">
        <f>IF(ISNUMBER(cash_original!AU88),cash_original!AU88/100000000,cash_original!AU88)</f>
        <v>0</v>
      </c>
    </row>
    <row r="89" spans="2:47" x14ac:dyDescent="0.25">
      <c r="B89" s="4">
        <f>IF(ISNUMBER(cash_original!B89),cash_original!B89/100000000,cash_original!B89)</f>
        <v>0</v>
      </c>
      <c r="C89" s="4">
        <f>IF(ISNUMBER(cash_original!C89),cash_original!C89/100000000,cash_original!C89)</f>
        <v>0</v>
      </c>
      <c r="D89" s="4">
        <f>IF(ISNUMBER(cash_original!D89),cash_original!D89/100000000,cash_original!D89)</f>
        <v>0</v>
      </c>
      <c r="E89" s="4">
        <f>IF(ISNUMBER(cash_original!E89),cash_original!E89/100000000,cash_original!E89)</f>
        <v>0</v>
      </c>
      <c r="F89" s="4">
        <f>IF(ISNUMBER(cash_original!F89),cash_original!F89/100000000,cash_original!F89)</f>
        <v>0</v>
      </c>
      <c r="G89" s="4">
        <f>IF(ISNUMBER(cash_original!G89),cash_original!G89/100000000,cash_original!G89)</f>
        <v>0</v>
      </c>
      <c r="H89" s="4">
        <f>IF(ISNUMBER(cash_original!H89),cash_original!H89/100000000,cash_original!H89)</f>
        <v>0</v>
      </c>
      <c r="I89" s="4">
        <f>IF(ISNUMBER(cash_original!I89),cash_original!I89/100000000,cash_original!I89)</f>
        <v>0</v>
      </c>
      <c r="J89" s="4">
        <f>IF(ISNUMBER(cash_original!J89),cash_original!J89/100000000,cash_original!J89)</f>
        <v>0</v>
      </c>
      <c r="K89" s="4">
        <f>IF(ISNUMBER(cash_original!K89),cash_original!K89/100000000,cash_original!K89)</f>
        <v>0</v>
      </c>
      <c r="L89" s="4">
        <f>IF(ISNUMBER(cash_original!L89),cash_original!L89/100000000,cash_original!L89)</f>
        <v>0</v>
      </c>
      <c r="M89" s="4">
        <f>IF(ISNUMBER(cash_original!M89),cash_original!M89/100000000,cash_original!M89)</f>
        <v>0</v>
      </c>
      <c r="N89" s="4">
        <f>IF(ISNUMBER(cash_original!N89),cash_original!N89/100000000,cash_original!N89)</f>
        <v>0</v>
      </c>
      <c r="O89" s="4">
        <f>IF(ISNUMBER(cash_original!O89),cash_original!O89/100000000,cash_original!O89)</f>
        <v>0</v>
      </c>
      <c r="P89" s="4">
        <f>IF(ISNUMBER(cash_original!P89),cash_original!P89/100000000,cash_original!P89)</f>
        <v>0</v>
      </c>
      <c r="Q89" s="4">
        <f>IF(ISNUMBER(cash_original!Q89),cash_original!Q89/100000000,cash_original!Q89)</f>
        <v>0</v>
      </c>
      <c r="R89" s="4">
        <f>IF(ISNUMBER(cash_original!R89),cash_original!R89/100000000,cash_original!R89)</f>
        <v>0</v>
      </c>
      <c r="S89" s="4">
        <f>IF(ISNUMBER(cash_original!S89),cash_original!S89/100000000,cash_original!S89)</f>
        <v>0</v>
      </c>
      <c r="T89" s="4">
        <f>IF(ISNUMBER(cash_original!T89),cash_original!T89/100000000,cash_original!T89)</f>
        <v>0</v>
      </c>
      <c r="U89" s="4">
        <f>IF(ISNUMBER(cash_original!U89),cash_original!U89/100000000,cash_original!U89)</f>
        <v>0</v>
      </c>
      <c r="V89" s="4">
        <f>IF(ISNUMBER(cash_original!V89),cash_original!V89/100000000,cash_original!V89)</f>
        <v>0</v>
      </c>
      <c r="W89" s="4">
        <f>IF(ISNUMBER(cash_original!W89),cash_original!W89/100000000,cash_original!W89)</f>
        <v>0</v>
      </c>
      <c r="X89" s="4">
        <f>IF(ISNUMBER(cash_original!X89),cash_original!X89/100000000,cash_original!X89)</f>
        <v>0</v>
      </c>
      <c r="Y89" s="4">
        <f>IF(ISNUMBER(cash_original!Y89),cash_original!Y89/100000000,cash_original!Y89)</f>
        <v>0</v>
      </c>
      <c r="Z89" s="4">
        <f>IF(ISNUMBER(cash_original!Z89),cash_original!Z89/100000000,cash_original!Z89)</f>
        <v>0</v>
      </c>
      <c r="AA89" s="4">
        <f>IF(ISNUMBER(cash_original!AA89),cash_original!AA89/100000000,cash_original!AA89)</f>
        <v>0</v>
      </c>
      <c r="AB89" s="4">
        <f>IF(ISNUMBER(cash_original!AB89),cash_original!AB89/100000000,cash_original!AB89)</f>
        <v>0</v>
      </c>
      <c r="AC89" s="4">
        <f>IF(ISNUMBER(cash_original!AC89),cash_original!AC89/100000000,cash_original!AC89)</f>
        <v>0</v>
      </c>
      <c r="AD89" s="4">
        <f>IF(ISNUMBER(cash_original!AD89),cash_original!AD89/100000000,cash_original!AD89)</f>
        <v>0</v>
      </c>
      <c r="AE89" s="4">
        <f>IF(ISNUMBER(cash_original!AE89),cash_original!AE89/100000000,cash_original!AE89)</f>
        <v>0</v>
      </c>
      <c r="AF89" s="4">
        <f>IF(ISNUMBER(cash_original!AF89),cash_original!AF89/100000000,cash_original!AF89)</f>
        <v>0</v>
      </c>
      <c r="AG89" s="4">
        <f>IF(ISNUMBER(cash_original!AG89),cash_original!AG89/100000000,cash_original!AG89)</f>
        <v>0</v>
      </c>
      <c r="AH89" s="4">
        <f>IF(ISNUMBER(cash_original!AH89),cash_original!AH89/100000000,cash_original!AH89)</f>
        <v>0</v>
      </c>
      <c r="AI89" s="4">
        <f>IF(ISNUMBER(cash_original!AI89),cash_original!AI89/100000000,cash_original!AI89)</f>
        <v>0</v>
      </c>
      <c r="AJ89" s="4">
        <f>IF(ISNUMBER(cash_original!AJ89),cash_original!AJ89/100000000,cash_original!AJ89)</f>
        <v>0</v>
      </c>
      <c r="AK89" s="4">
        <f>IF(ISNUMBER(cash_original!AK89),cash_original!AK89/100000000,cash_original!AK89)</f>
        <v>0</v>
      </c>
      <c r="AL89" s="4">
        <f>IF(ISNUMBER(cash_original!AL89),cash_original!AL89/100000000,cash_original!AL89)</f>
        <v>0</v>
      </c>
      <c r="AM89" s="4">
        <f>IF(ISNUMBER(cash_original!AM89),cash_original!AM89/100000000,cash_original!AM89)</f>
        <v>0</v>
      </c>
      <c r="AN89" s="4">
        <f>IF(ISNUMBER(cash_original!AN89),cash_original!AN89/100000000,cash_original!AN89)</f>
        <v>0</v>
      </c>
      <c r="AO89" s="4">
        <f>IF(ISNUMBER(cash_original!AO89),cash_original!AO89/100000000,cash_original!AO89)</f>
        <v>0</v>
      </c>
      <c r="AP89" s="4">
        <f>IF(ISNUMBER(cash_original!AP89),cash_original!AP89/100000000,cash_original!AP89)</f>
        <v>0</v>
      </c>
      <c r="AQ89" s="4">
        <f>IF(ISNUMBER(cash_original!AQ89),cash_original!AQ89/100000000,cash_original!AQ89)</f>
        <v>0</v>
      </c>
      <c r="AR89" s="4">
        <f>IF(ISNUMBER(cash_original!AR89),cash_original!AR89/100000000,cash_original!AR89)</f>
        <v>0</v>
      </c>
      <c r="AS89" s="4">
        <f>IF(ISNUMBER(cash_original!AS89),cash_original!AS89/100000000,cash_original!AS89)</f>
        <v>0</v>
      </c>
      <c r="AT89" s="4">
        <f>IF(ISNUMBER(cash_original!AT89),cash_original!AT89/100000000,cash_original!AT89)</f>
        <v>0</v>
      </c>
      <c r="AU89" s="4">
        <f>IF(ISNUMBER(cash_original!AU89),cash_original!AU89/100000000,cash_original!AU89)</f>
        <v>0</v>
      </c>
    </row>
    <row r="90" spans="2:47" x14ac:dyDescent="0.25">
      <c r="B90" s="4">
        <f>IF(ISNUMBER(cash_original!B90),cash_original!B90/100000000,cash_original!B90)</f>
        <v>0</v>
      </c>
      <c r="C90" s="4">
        <f>IF(ISNUMBER(cash_original!C90),cash_original!C90/100000000,cash_original!C90)</f>
        <v>0</v>
      </c>
      <c r="D90" s="4">
        <f>IF(ISNUMBER(cash_original!D90),cash_original!D90/100000000,cash_original!D90)</f>
        <v>0</v>
      </c>
      <c r="E90" s="4">
        <f>IF(ISNUMBER(cash_original!E90),cash_original!E90/100000000,cash_original!E90)</f>
        <v>0</v>
      </c>
      <c r="F90" s="4">
        <f>IF(ISNUMBER(cash_original!F90),cash_original!F90/100000000,cash_original!F90)</f>
        <v>0</v>
      </c>
      <c r="G90" s="4">
        <f>IF(ISNUMBER(cash_original!G90),cash_original!G90/100000000,cash_original!G90)</f>
        <v>0</v>
      </c>
      <c r="H90" s="4">
        <f>IF(ISNUMBER(cash_original!H90),cash_original!H90/100000000,cash_original!H90)</f>
        <v>0</v>
      </c>
      <c r="I90" s="4">
        <f>IF(ISNUMBER(cash_original!I90),cash_original!I90/100000000,cash_original!I90)</f>
        <v>0</v>
      </c>
      <c r="J90" s="4">
        <f>IF(ISNUMBER(cash_original!J90),cash_original!J90/100000000,cash_original!J90)</f>
        <v>0</v>
      </c>
      <c r="K90" s="4">
        <f>IF(ISNUMBER(cash_original!K90),cash_original!K90/100000000,cash_original!K90)</f>
        <v>0</v>
      </c>
      <c r="L90" s="4">
        <f>IF(ISNUMBER(cash_original!L90),cash_original!L90/100000000,cash_original!L90)</f>
        <v>0</v>
      </c>
      <c r="M90" s="4">
        <f>IF(ISNUMBER(cash_original!M90),cash_original!M90/100000000,cash_original!M90)</f>
        <v>0</v>
      </c>
      <c r="N90" s="4">
        <f>IF(ISNUMBER(cash_original!N90),cash_original!N90/100000000,cash_original!N90)</f>
        <v>0</v>
      </c>
      <c r="O90" s="4">
        <f>IF(ISNUMBER(cash_original!O90),cash_original!O90/100000000,cash_original!O90)</f>
        <v>0</v>
      </c>
      <c r="P90" s="4">
        <f>IF(ISNUMBER(cash_original!P90),cash_original!P90/100000000,cash_original!P90)</f>
        <v>0</v>
      </c>
      <c r="Q90" s="4">
        <f>IF(ISNUMBER(cash_original!Q90),cash_original!Q90/100000000,cash_original!Q90)</f>
        <v>0</v>
      </c>
      <c r="R90" s="4">
        <f>IF(ISNUMBER(cash_original!R90),cash_original!R90/100000000,cash_original!R90)</f>
        <v>0</v>
      </c>
      <c r="S90" s="4">
        <f>IF(ISNUMBER(cash_original!S90),cash_original!S90/100000000,cash_original!S90)</f>
        <v>0</v>
      </c>
      <c r="T90" s="4">
        <f>IF(ISNUMBER(cash_original!T90),cash_original!T90/100000000,cash_original!T90)</f>
        <v>0</v>
      </c>
      <c r="U90" s="4">
        <f>IF(ISNUMBER(cash_original!U90),cash_original!U90/100000000,cash_original!U90)</f>
        <v>0</v>
      </c>
      <c r="V90" s="4">
        <f>IF(ISNUMBER(cash_original!V90),cash_original!V90/100000000,cash_original!V90)</f>
        <v>0</v>
      </c>
      <c r="W90" s="4">
        <f>IF(ISNUMBER(cash_original!W90),cash_original!W90/100000000,cash_original!W90)</f>
        <v>0</v>
      </c>
      <c r="X90" s="4">
        <f>IF(ISNUMBER(cash_original!X90),cash_original!X90/100000000,cash_original!X90)</f>
        <v>0</v>
      </c>
      <c r="Y90" s="4">
        <f>IF(ISNUMBER(cash_original!Y90),cash_original!Y90/100000000,cash_original!Y90)</f>
        <v>0</v>
      </c>
      <c r="Z90" s="4">
        <f>IF(ISNUMBER(cash_original!Z90),cash_original!Z90/100000000,cash_original!Z90)</f>
        <v>0</v>
      </c>
      <c r="AA90" s="4">
        <f>IF(ISNUMBER(cash_original!AA90),cash_original!AA90/100000000,cash_original!AA90)</f>
        <v>0</v>
      </c>
      <c r="AB90" s="4">
        <f>IF(ISNUMBER(cash_original!AB90),cash_original!AB90/100000000,cash_original!AB90)</f>
        <v>0</v>
      </c>
      <c r="AC90" s="4">
        <f>IF(ISNUMBER(cash_original!AC90),cash_original!AC90/100000000,cash_original!AC90)</f>
        <v>0</v>
      </c>
      <c r="AD90" s="4">
        <f>IF(ISNUMBER(cash_original!AD90),cash_original!AD90/100000000,cash_original!AD90)</f>
        <v>0</v>
      </c>
      <c r="AE90" s="4">
        <f>IF(ISNUMBER(cash_original!AE90),cash_original!AE90/100000000,cash_original!AE90)</f>
        <v>0</v>
      </c>
      <c r="AF90" s="4">
        <f>IF(ISNUMBER(cash_original!AF90),cash_original!AF90/100000000,cash_original!AF90)</f>
        <v>0</v>
      </c>
      <c r="AG90" s="4">
        <f>IF(ISNUMBER(cash_original!AG90),cash_original!AG90/100000000,cash_original!AG90)</f>
        <v>0</v>
      </c>
      <c r="AH90" s="4">
        <f>IF(ISNUMBER(cash_original!AH90),cash_original!AH90/100000000,cash_original!AH90)</f>
        <v>0</v>
      </c>
      <c r="AI90" s="4">
        <f>IF(ISNUMBER(cash_original!AI90),cash_original!AI90/100000000,cash_original!AI90)</f>
        <v>0</v>
      </c>
      <c r="AJ90" s="4">
        <f>IF(ISNUMBER(cash_original!AJ90),cash_original!AJ90/100000000,cash_original!AJ90)</f>
        <v>0</v>
      </c>
      <c r="AK90" s="4">
        <f>IF(ISNUMBER(cash_original!AK90),cash_original!AK90/100000000,cash_original!AK90)</f>
        <v>0</v>
      </c>
      <c r="AL90" s="4">
        <f>IF(ISNUMBER(cash_original!AL90),cash_original!AL90/100000000,cash_original!AL90)</f>
        <v>0</v>
      </c>
      <c r="AM90" s="4">
        <f>IF(ISNUMBER(cash_original!AM90),cash_original!AM90/100000000,cash_original!AM90)</f>
        <v>0</v>
      </c>
      <c r="AN90" s="4">
        <f>IF(ISNUMBER(cash_original!AN90),cash_original!AN90/100000000,cash_original!AN90)</f>
        <v>0</v>
      </c>
      <c r="AO90" s="4">
        <f>IF(ISNUMBER(cash_original!AO90),cash_original!AO90/100000000,cash_original!AO90)</f>
        <v>0</v>
      </c>
      <c r="AP90" s="4">
        <f>IF(ISNUMBER(cash_original!AP90),cash_original!AP90/100000000,cash_original!AP90)</f>
        <v>0</v>
      </c>
      <c r="AQ90" s="4">
        <f>IF(ISNUMBER(cash_original!AQ90),cash_original!AQ90/100000000,cash_original!AQ90)</f>
        <v>0</v>
      </c>
      <c r="AR90" s="4">
        <f>IF(ISNUMBER(cash_original!AR90),cash_original!AR90/100000000,cash_original!AR90)</f>
        <v>0</v>
      </c>
      <c r="AS90" s="4">
        <f>IF(ISNUMBER(cash_original!AS90),cash_original!AS90/100000000,cash_original!AS90)</f>
        <v>0</v>
      </c>
      <c r="AT90" s="4">
        <f>IF(ISNUMBER(cash_original!AT90),cash_original!AT90/100000000,cash_original!AT90)</f>
        <v>0</v>
      </c>
      <c r="AU90" s="4">
        <f>IF(ISNUMBER(cash_original!AU90),cash_original!AU90/100000000,cash_original!AU90)</f>
        <v>0</v>
      </c>
    </row>
    <row r="91" spans="2:47" x14ac:dyDescent="0.25">
      <c r="B91" s="4">
        <f>IF(ISNUMBER(cash_original!B91),cash_original!B91/100000000,cash_original!B91)</f>
        <v>0</v>
      </c>
      <c r="C91" s="4">
        <f>IF(ISNUMBER(cash_original!C91),cash_original!C91/100000000,cash_original!C91)</f>
        <v>0</v>
      </c>
      <c r="D91" s="4">
        <f>IF(ISNUMBER(cash_original!D91),cash_original!D91/100000000,cash_original!D91)</f>
        <v>0</v>
      </c>
      <c r="E91" s="4">
        <f>IF(ISNUMBER(cash_original!E91),cash_original!E91/100000000,cash_original!E91)</f>
        <v>0</v>
      </c>
      <c r="F91" s="4">
        <f>IF(ISNUMBER(cash_original!F91),cash_original!F91/100000000,cash_original!F91)</f>
        <v>0</v>
      </c>
      <c r="G91" s="4">
        <f>IF(ISNUMBER(cash_original!G91),cash_original!G91/100000000,cash_original!G91)</f>
        <v>0</v>
      </c>
      <c r="H91" s="4">
        <f>IF(ISNUMBER(cash_original!H91),cash_original!H91/100000000,cash_original!H91)</f>
        <v>0</v>
      </c>
      <c r="I91" s="4">
        <f>IF(ISNUMBER(cash_original!I91),cash_original!I91/100000000,cash_original!I91)</f>
        <v>0</v>
      </c>
      <c r="J91" s="4">
        <f>IF(ISNUMBER(cash_original!J91),cash_original!J91/100000000,cash_original!J91)</f>
        <v>0</v>
      </c>
      <c r="K91" s="4">
        <f>IF(ISNUMBER(cash_original!K91),cash_original!K91/100000000,cash_original!K91)</f>
        <v>0</v>
      </c>
      <c r="L91" s="4">
        <f>IF(ISNUMBER(cash_original!L91),cash_original!L91/100000000,cash_original!L91)</f>
        <v>0</v>
      </c>
      <c r="M91" s="4">
        <f>IF(ISNUMBER(cash_original!M91),cash_original!M91/100000000,cash_original!M91)</f>
        <v>0</v>
      </c>
      <c r="N91" s="4">
        <f>IF(ISNUMBER(cash_original!N91),cash_original!N91/100000000,cash_original!N91)</f>
        <v>0</v>
      </c>
      <c r="O91" s="4">
        <f>IF(ISNUMBER(cash_original!O91),cash_original!O91/100000000,cash_original!O91)</f>
        <v>0</v>
      </c>
      <c r="P91" s="4">
        <f>IF(ISNUMBER(cash_original!P91),cash_original!P91/100000000,cash_original!P91)</f>
        <v>0</v>
      </c>
      <c r="Q91" s="4">
        <f>IF(ISNUMBER(cash_original!Q91),cash_original!Q91/100000000,cash_original!Q91)</f>
        <v>0</v>
      </c>
      <c r="R91" s="4">
        <f>IF(ISNUMBER(cash_original!R91),cash_original!R91/100000000,cash_original!R91)</f>
        <v>0</v>
      </c>
      <c r="S91" s="4">
        <f>IF(ISNUMBER(cash_original!S91),cash_original!S91/100000000,cash_original!S91)</f>
        <v>0</v>
      </c>
      <c r="T91" s="4">
        <f>IF(ISNUMBER(cash_original!T91),cash_original!T91/100000000,cash_original!T91)</f>
        <v>0</v>
      </c>
      <c r="U91" s="4">
        <f>IF(ISNUMBER(cash_original!U91),cash_original!U91/100000000,cash_original!U91)</f>
        <v>0</v>
      </c>
      <c r="V91" s="4">
        <f>IF(ISNUMBER(cash_original!V91),cash_original!V91/100000000,cash_original!V91)</f>
        <v>0</v>
      </c>
      <c r="W91" s="4">
        <f>IF(ISNUMBER(cash_original!W91),cash_original!W91/100000000,cash_original!W91)</f>
        <v>0</v>
      </c>
      <c r="X91" s="4">
        <f>IF(ISNUMBER(cash_original!X91),cash_original!X91/100000000,cash_original!X91)</f>
        <v>0</v>
      </c>
      <c r="Y91" s="4">
        <f>IF(ISNUMBER(cash_original!Y91),cash_original!Y91/100000000,cash_original!Y91)</f>
        <v>0</v>
      </c>
      <c r="Z91" s="4">
        <f>IF(ISNUMBER(cash_original!Z91),cash_original!Z91/100000000,cash_original!Z91)</f>
        <v>0</v>
      </c>
      <c r="AA91" s="4">
        <f>IF(ISNUMBER(cash_original!AA91),cash_original!AA91/100000000,cash_original!AA91)</f>
        <v>0</v>
      </c>
      <c r="AB91" s="4">
        <f>IF(ISNUMBER(cash_original!AB91),cash_original!AB91/100000000,cash_original!AB91)</f>
        <v>0</v>
      </c>
      <c r="AC91" s="4">
        <f>IF(ISNUMBER(cash_original!AC91),cash_original!AC91/100000000,cash_original!AC91)</f>
        <v>0</v>
      </c>
      <c r="AD91" s="4">
        <f>IF(ISNUMBER(cash_original!AD91),cash_original!AD91/100000000,cash_original!AD91)</f>
        <v>0</v>
      </c>
      <c r="AE91" s="4">
        <f>IF(ISNUMBER(cash_original!AE91),cash_original!AE91/100000000,cash_original!AE91)</f>
        <v>0</v>
      </c>
      <c r="AF91" s="4">
        <f>IF(ISNUMBER(cash_original!AF91),cash_original!AF91/100000000,cash_original!AF91)</f>
        <v>0</v>
      </c>
      <c r="AG91" s="4">
        <f>IF(ISNUMBER(cash_original!AG91),cash_original!AG91/100000000,cash_original!AG91)</f>
        <v>0</v>
      </c>
      <c r="AH91" s="4">
        <f>IF(ISNUMBER(cash_original!AH91),cash_original!AH91/100000000,cash_original!AH91)</f>
        <v>0</v>
      </c>
      <c r="AI91" s="4">
        <f>IF(ISNUMBER(cash_original!AI91),cash_original!AI91/100000000,cash_original!AI91)</f>
        <v>0</v>
      </c>
      <c r="AJ91" s="4">
        <f>IF(ISNUMBER(cash_original!AJ91),cash_original!AJ91/100000000,cash_original!AJ91)</f>
        <v>0</v>
      </c>
      <c r="AK91" s="4">
        <f>IF(ISNUMBER(cash_original!AK91),cash_original!AK91/100000000,cash_original!AK91)</f>
        <v>0</v>
      </c>
      <c r="AL91" s="4">
        <f>IF(ISNUMBER(cash_original!AL91),cash_original!AL91/100000000,cash_original!AL91)</f>
        <v>0</v>
      </c>
      <c r="AM91" s="4">
        <f>IF(ISNUMBER(cash_original!AM91),cash_original!AM91/100000000,cash_original!AM91)</f>
        <v>0</v>
      </c>
      <c r="AN91" s="4">
        <f>IF(ISNUMBER(cash_original!AN91),cash_original!AN91/100000000,cash_original!AN91)</f>
        <v>0</v>
      </c>
      <c r="AO91" s="4">
        <f>IF(ISNUMBER(cash_original!AO91),cash_original!AO91/100000000,cash_original!AO91)</f>
        <v>0</v>
      </c>
      <c r="AP91" s="4">
        <f>IF(ISNUMBER(cash_original!AP91),cash_original!AP91/100000000,cash_original!AP91)</f>
        <v>0</v>
      </c>
      <c r="AQ91" s="4">
        <f>IF(ISNUMBER(cash_original!AQ91),cash_original!AQ91/100000000,cash_original!AQ91)</f>
        <v>0</v>
      </c>
      <c r="AR91" s="4">
        <f>IF(ISNUMBER(cash_original!AR91),cash_original!AR91/100000000,cash_original!AR91)</f>
        <v>0</v>
      </c>
      <c r="AS91" s="4">
        <f>IF(ISNUMBER(cash_original!AS91),cash_original!AS91/100000000,cash_original!AS91)</f>
        <v>0</v>
      </c>
      <c r="AT91" s="4">
        <f>IF(ISNUMBER(cash_original!AT91),cash_original!AT91/100000000,cash_original!AT91)</f>
        <v>0</v>
      </c>
      <c r="AU91" s="4">
        <f>IF(ISNUMBER(cash_original!AU91),cash_original!AU91/100000000,cash_original!AU91)</f>
        <v>0</v>
      </c>
    </row>
    <row r="92" spans="2:47" x14ac:dyDescent="0.25">
      <c r="B92" s="4">
        <f>IF(ISNUMBER(cash_original!B92),cash_original!B92/100000000,cash_original!B92)</f>
        <v>0</v>
      </c>
      <c r="C92" s="4">
        <f>IF(ISNUMBER(cash_original!C92),cash_original!C92/100000000,cash_original!C92)</f>
        <v>0</v>
      </c>
      <c r="D92" s="4">
        <f>IF(ISNUMBER(cash_original!D92),cash_original!D92/100000000,cash_original!D92)</f>
        <v>0</v>
      </c>
      <c r="E92" s="4">
        <f>IF(ISNUMBER(cash_original!E92),cash_original!E92/100000000,cash_original!E92)</f>
        <v>0</v>
      </c>
      <c r="F92" s="4">
        <f>IF(ISNUMBER(cash_original!F92),cash_original!F92/100000000,cash_original!F92)</f>
        <v>0</v>
      </c>
      <c r="G92" s="4">
        <f>IF(ISNUMBER(cash_original!G92),cash_original!G92/100000000,cash_original!G92)</f>
        <v>0</v>
      </c>
      <c r="H92" s="4">
        <f>IF(ISNUMBER(cash_original!H92),cash_original!H92/100000000,cash_original!H92)</f>
        <v>0</v>
      </c>
      <c r="I92" s="4">
        <f>IF(ISNUMBER(cash_original!I92),cash_original!I92/100000000,cash_original!I92)</f>
        <v>0</v>
      </c>
      <c r="J92" s="4">
        <f>IF(ISNUMBER(cash_original!J92),cash_original!J92/100000000,cash_original!J92)</f>
        <v>0</v>
      </c>
      <c r="K92" s="4">
        <f>IF(ISNUMBER(cash_original!K92),cash_original!K92/100000000,cash_original!K92)</f>
        <v>0</v>
      </c>
      <c r="L92" s="4">
        <f>IF(ISNUMBER(cash_original!L92),cash_original!L92/100000000,cash_original!L92)</f>
        <v>0</v>
      </c>
      <c r="M92" s="4">
        <f>IF(ISNUMBER(cash_original!M92),cash_original!M92/100000000,cash_original!M92)</f>
        <v>0</v>
      </c>
      <c r="N92" s="4">
        <f>IF(ISNUMBER(cash_original!N92),cash_original!N92/100000000,cash_original!N92)</f>
        <v>0</v>
      </c>
      <c r="O92" s="4">
        <f>IF(ISNUMBER(cash_original!O92),cash_original!O92/100000000,cash_original!O92)</f>
        <v>0</v>
      </c>
      <c r="P92" s="4">
        <f>IF(ISNUMBER(cash_original!P92),cash_original!P92/100000000,cash_original!P92)</f>
        <v>0</v>
      </c>
      <c r="Q92" s="4">
        <f>IF(ISNUMBER(cash_original!Q92),cash_original!Q92/100000000,cash_original!Q92)</f>
        <v>0</v>
      </c>
      <c r="R92" s="4">
        <f>IF(ISNUMBER(cash_original!R92),cash_original!R92/100000000,cash_original!R92)</f>
        <v>0</v>
      </c>
      <c r="S92" s="4">
        <f>IF(ISNUMBER(cash_original!S92),cash_original!S92/100000000,cash_original!S92)</f>
        <v>0</v>
      </c>
      <c r="T92" s="4">
        <f>IF(ISNUMBER(cash_original!T92),cash_original!T92/100000000,cash_original!T92)</f>
        <v>0</v>
      </c>
      <c r="U92" s="4">
        <f>IF(ISNUMBER(cash_original!U92),cash_original!U92/100000000,cash_original!U92)</f>
        <v>0</v>
      </c>
      <c r="V92" s="4">
        <f>IF(ISNUMBER(cash_original!V92),cash_original!V92/100000000,cash_original!V92)</f>
        <v>0</v>
      </c>
      <c r="W92" s="4">
        <f>IF(ISNUMBER(cash_original!W92),cash_original!W92/100000000,cash_original!W92)</f>
        <v>0</v>
      </c>
      <c r="X92" s="4">
        <f>IF(ISNUMBER(cash_original!X92),cash_original!X92/100000000,cash_original!X92)</f>
        <v>0</v>
      </c>
      <c r="Y92" s="4">
        <f>IF(ISNUMBER(cash_original!Y92),cash_original!Y92/100000000,cash_original!Y92)</f>
        <v>0</v>
      </c>
      <c r="Z92" s="4">
        <f>IF(ISNUMBER(cash_original!Z92),cash_original!Z92/100000000,cash_original!Z92)</f>
        <v>0</v>
      </c>
      <c r="AA92" s="4">
        <f>IF(ISNUMBER(cash_original!AA92),cash_original!AA92/100000000,cash_original!AA92)</f>
        <v>0</v>
      </c>
      <c r="AB92" s="4">
        <f>IF(ISNUMBER(cash_original!AB92),cash_original!AB92/100000000,cash_original!AB92)</f>
        <v>0</v>
      </c>
      <c r="AC92" s="4">
        <f>IF(ISNUMBER(cash_original!AC92),cash_original!AC92/100000000,cash_original!AC92)</f>
        <v>0</v>
      </c>
      <c r="AD92" s="4">
        <f>IF(ISNUMBER(cash_original!AD92),cash_original!AD92/100000000,cash_original!AD92)</f>
        <v>0</v>
      </c>
      <c r="AE92" s="4">
        <f>IF(ISNUMBER(cash_original!AE92),cash_original!AE92/100000000,cash_original!AE92)</f>
        <v>0</v>
      </c>
      <c r="AF92" s="4">
        <f>IF(ISNUMBER(cash_original!AF92),cash_original!AF92/100000000,cash_original!AF92)</f>
        <v>0</v>
      </c>
      <c r="AG92" s="4">
        <f>IF(ISNUMBER(cash_original!AG92),cash_original!AG92/100000000,cash_original!AG92)</f>
        <v>0</v>
      </c>
      <c r="AH92" s="4">
        <f>IF(ISNUMBER(cash_original!AH92),cash_original!AH92/100000000,cash_original!AH92)</f>
        <v>0</v>
      </c>
      <c r="AI92" s="4">
        <f>IF(ISNUMBER(cash_original!AI92),cash_original!AI92/100000000,cash_original!AI92)</f>
        <v>0</v>
      </c>
      <c r="AJ92" s="4">
        <f>IF(ISNUMBER(cash_original!AJ92),cash_original!AJ92/100000000,cash_original!AJ92)</f>
        <v>0</v>
      </c>
      <c r="AK92" s="4">
        <f>IF(ISNUMBER(cash_original!AK92),cash_original!AK92/100000000,cash_original!AK92)</f>
        <v>0</v>
      </c>
      <c r="AL92" s="4">
        <f>IF(ISNUMBER(cash_original!AL92),cash_original!AL92/100000000,cash_original!AL92)</f>
        <v>0</v>
      </c>
      <c r="AM92" s="4">
        <f>IF(ISNUMBER(cash_original!AM92),cash_original!AM92/100000000,cash_original!AM92)</f>
        <v>0</v>
      </c>
      <c r="AN92" s="4">
        <f>IF(ISNUMBER(cash_original!AN92),cash_original!AN92/100000000,cash_original!AN92)</f>
        <v>0</v>
      </c>
      <c r="AO92" s="4">
        <f>IF(ISNUMBER(cash_original!AO92),cash_original!AO92/100000000,cash_original!AO92)</f>
        <v>0</v>
      </c>
      <c r="AP92" s="4">
        <f>IF(ISNUMBER(cash_original!AP92),cash_original!AP92/100000000,cash_original!AP92)</f>
        <v>0</v>
      </c>
      <c r="AQ92" s="4">
        <f>IF(ISNUMBER(cash_original!AQ92),cash_original!AQ92/100000000,cash_original!AQ92)</f>
        <v>0</v>
      </c>
      <c r="AR92" s="4">
        <f>IF(ISNUMBER(cash_original!AR92),cash_original!AR92/100000000,cash_original!AR92)</f>
        <v>0</v>
      </c>
      <c r="AS92" s="4">
        <f>IF(ISNUMBER(cash_original!AS92),cash_original!AS92/100000000,cash_original!AS92)</f>
        <v>0</v>
      </c>
      <c r="AT92" s="4">
        <f>IF(ISNUMBER(cash_original!AT92),cash_original!AT92/100000000,cash_original!AT92)</f>
        <v>0</v>
      </c>
      <c r="AU92" s="4">
        <f>IF(ISNUMBER(cash_original!AU92),cash_original!AU92/100000000,cash_original!AU92)</f>
        <v>0</v>
      </c>
    </row>
    <row r="93" spans="2:47" x14ac:dyDescent="0.25">
      <c r="B93" s="4">
        <f>IF(ISNUMBER(cash_original!B93),cash_original!B93/100000000,cash_original!B93)</f>
        <v>0</v>
      </c>
      <c r="C93" s="4">
        <f>IF(ISNUMBER(cash_original!C93),cash_original!C93/100000000,cash_original!C93)</f>
        <v>0</v>
      </c>
      <c r="D93" s="4">
        <f>IF(ISNUMBER(cash_original!D93),cash_original!D93/100000000,cash_original!D93)</f>
        <v>0</v>
      </c>
      <c r="E93" s="4">
        <f>IF(ISNUMBER(cash_original!E93),cash_original!E93/100000000,cash_original!E93)</f>
        <v>0</v>
      </c>
      <c r="F93" s="4">
        <f>IF(ISNUMBER(cash_original!F93),cash_original!F93/100000000,cash_original!F93)</f>
        <v>0</v>
      </c>
      <c r="G93" s="4">
        <f>IF(ISNUMBER(cash_original!G93),cash_original!G93/100000000,cash_original!G93)</f>
        <v>0</v>
      </c>
      <c r="H93" s="4">
        <f>IF(ISNUMBER(cash_original!H93),cash_original!H93/100000000,cash_original!H93)</f>
        <v>0</v>
      </c>
      <c r="I93" s="4">
        <f>IF(ISNUMBER(cash_original!I93),cash_original!I93/100000000,cash_original!I93)</f>
        <v>0</v>
      </c>
      <c r="J93" s="4">
        <f>IF(ISNUMBER(cash_original!J93),cash_original!J93/100000000,cash_original!J93)</f>
        <v>0</v>
      </c>
      <c r="K93" s="4">
        <f>IF(ISNUMBER(cash_original!K93),cash_original!K93/100000000,cash_original!K93)</f>
        <v>0</v>
      </c>
      <c r="L93" s="4">
        <f>IF(ISNUMBER(cash_original!L93),cash_original!L93/100000000,cash_original!L93)</f>
        <v>0</v>
      </c>
      <c r="M93" s="4">
        <f>IF(ISNUMBER(cash_original!M93),cash_original!M93/100000000,cash_original!M93)</f>
        <v>0</v>
      </c>
      <c r="N93" s="4">
        <f>IF(ISNUMBER(cash_original!N93),cash_original!N93/100000000,cash_original!N93)</f>
        <v>0</v>
      </c>
      <c r="O93" s="4">
        <f>IF(ISNUMBER(cash_original!O93),cash_original!O93/100000000,cash_original!O93)</f>
        <v>0</v>
      </c>
      <c r="P93" s="4">
        <f>IF(ISNUMBER(cash_original!P93),cash_original!P93/100000000,cash_original!P93)</f>
        <v>0</v>
      </c>
      <c r="Q93" s="4">
        <f>IF(ISNUMBER(cash_original!Q93),cash_original!Q93/100000000,cash_original!Q93)</f>
        <v>0</v>
      </c>
      <c r="R93" s="4">
        <f>IF(ISNUMBER(cash_original!R93),cash_original!R93/100000000,cash_original!R93)</f>
        <v>0</v>
      </c>
      <c r="S93" s="4">
        <f>IF(ISNUMBER(cash_original!S93),cash_original!S93/100000000,cash_original!S93)</f>
        <v>0</v>
      </c>
      <c r="T93" s="4">
        <f>IF(ISNUMBER(cash_original!T93),cash_original!T93/100000000,cash_original!T93)</f>
        <v>0</v>
      </c>
      <c r="U93" s="4">
        <f>IF(ISNUMBER(cash_original!U93),cash_original!U93/100000000,cash_original!U93)</f>
        <v>0</v>
      </c>
      <c r="V93" s="4">
        <f>IF(ISNUMBER(cash_original!V93),cash_original!V93/100000000,cash_original!V93)</f>
        <v>0</v>
      </c>
      <c r="W93" s="4">
        <f>IF(ISNUMBER(cash_original!W93),cash_original!W93/100000000,cash_original!W93)</f>
        <v>0</v>
      </c>
      <c r="X93" s="4">
        <f>IF(ISNUMBER(cash_original!X93),cash_original!X93/100000000,cash_original!X93)</f>
        <v>0</v>
      </c>
      <c r="Y93" s="4">
        <f>IF(ISNUMBER(cash_original!Y93),cash_original!Y93/100000000,cash_original!Y93)</f>
        <v>0</v>
      </c>
      <c r="Z93" s="4">
        <f>IF(ISNUMBER(cash_original!Z93),cash_original!Z93/100000000,cash_original!Z93)</f>
        <v>0</v>
      </c>
      <c r="AA93" s="4">
        <f>IF(ISNUMBER(cash_original!AA93),cash_original!AA93/100000000,cash_original!AA93)</f>
        <v>0</v>
      </c>
      <c r="AB93" s="4">
        <f>IF(ISNUMBER(cash_original!AB93),cash_original!AB93/100000000,cash_original!AB93)</f>
        <v>0</v>
      </c>
      <c r="AC93" s="4">
        <f>IF(ISNUMBER(cash_original!AC93),cash_original!AC93/100000000,cash_original!AC93)</f>
        <v>0</v>
      </c>
      <c r="AD93" s="4">
        <f>IF(ISNUMBER(cash_original!AD93),cash_original!AD93/100000000,cash_original!AD93)</f>
        <v>0</v>
      </c>
      <c r="AE93" s="4">
        <f>IF(ISNUMBER(cash_original!AE93),cash_original!AE93/100000000,cash_original!AE93)</f>
        <v>0</v>
      </c>
      <c r="AF93" s="4">
        <f>IF(ISNUMBER(cash_original!AF93),cash_original!AF93/100000000,cash_original!AF93)</f>
        <v>0</v>
      </c>
      <c r="AG93" s="4">
        <f>IF(ISNUMBER(cash_original!AG93),cash_original!AG93/100000000,cash_original!AG93)</f>
        <v>0</v>
      </c>
      <c r="AH93" s="4">
        <f>IF(ISNUMBER(cash_original!AH93),cash_original!AH93/100000000,cash_original!AH93)</f>
        <v>0</v>
      </c>
      <c r="AI93" s="4">
        <f>IF(ISNUMBER(cash_original!AI93),cash_original!AI93/100000000,cash_original!AI93)</f>
        <v>0</v>
      </c>
      <c r="AJ93" s="4">
        <f>IF(ISNUMBER(cash_original!AJ93),cash_original!AJ93/100000000,cash_original!AJ93)</f>
        <v>0</v>
      </c>
      <c r="AK93" s="4">
        <f>IF(ISNUMBER(cash_original!AK93),cash_original!AK93/100000000,cash_original!AK93)</f>
        <v>0</v>
      </c>
      <c r="AL93" s="4">
        <f>IF(ISNUMBER(cash_original!AL93),cash_original!AL93/100000000,cash_original!AL93)</f>
        <v>0</v>
      </c>
      <c r="AM93" s="4">
        <f>IF(ISNUMBER(cash_original!AM93),cash_original!AM93/100000000,cash_original!AM93)</f>
        <v>0</v>
      </c>
      <c r="AN93" s="4">
        <f>IF(ISNUMBER(cash_original!AN93),cash_original!AN93/100000000,cash_original!AN93)</f>
        <v>0</v>
      </c>
      <c r="AO93" s="4">
        <f>IF(ISNUMBER(cash_original!AO93),cash_original!AO93/100000000,cash_original!AO93)</f>
        <v>0</v>
      </c>
      <c r="AP93" s="4">
        <f>IF(ISNUMBER(cash_original!AP93),cash_original!AP93/100000000,cash_original!AP93)</f>
        <v>0</v>
      </c>
      <c r="AQ93" s="4">
        <f>IF(ISNUMBER(cash_original!AQ93),cash_original!AQ93/100000000,cash_original!AQ93)</f>
        <v>0</v>
      </c>
      <c r="AR93" s="4">
        <f>IF(ISNUMBER(cash_original!AR93),cash_original!AR93/100000000,cash_original!AR93)</f>
        <v>0</v>
      </c>
      <c r="AS93" s="4">
        <f>IF(ISNUMBER(cash_original!AS93),cash_original!AS93/100000000,cash_original!AS93)</f>
        <v>0</v>
      </c>
      <c r="AT93" s="4">
        <f>IF(ISNUMBER(cash_original!AT93),cash_original!AT93/100000000,cash_original!AT93)</f>
        <v>0</v>
      </c>
      <c r="AU93" s="4">
        <f>IF(ISNUMBER(cash_original!AU93),cash_original!AU93/100000000,cash_original!AU93)</f>
        <v>0</v>
      </c>
    </row>
    <row r="94" spans="2:47" x14ac:dyDescent="0.25">
      <c r="B94" s="4">
        <f>IF(ISNUMBER(cash_original!B94),cash_original!B94/100000000,cash_original!B94)</f>
        <v>0</v>
      </c>
      <c r="C94" s="4">
        <f>IF(ISNUMBER(cash_original!C94),cash_original!C94/100000000,cash_original!C94)</f>
        <v>0</v>
      </c>
      <c r="D94" s="4">
        <f>IF(ISNUMBER(cash_original!D94),cash_original!D94/100000000,cash_original!D94)</f>
        <v>0</v>
      </c>
      <c r="E94" s="4">
        <f>IF(ISNUMBER(cash_original!E94),cash_original!E94/100000000,cash_original!E94)</f>
        <v>0</v>
      </c>
      <c r="F94" s="4">
        <f>IF(ISNUMBER(cash_original!F94),cash_original!F94/100000000,cash_original!F94)</f>
        <v>0</v>
      </c>
      <c r="G94" s="4">
        <f>IF(ISNUMBER(cash_original!G94),cash_original!G94/100000000,cash_original!G94)</f>
        <v>0</v>
      </c>
      <c r="H94" s="4">
        <f>IF(ISNUMBER(cash_original!H94),cash_original!H94/100000000,cash_original!H94)</f>
        <v>0</v>
      </c>
      <c r="I94" s="4">
        <f>IF(ISNUMBER(cash_original!I94),cash_original!I94/100000000,cash_original!I94)</f>
        <v>0</v>
      </c>
      <c r="J94" s="4">
        <f>IF(ISNUMBER(cash_original!J94),cash_original!J94/100000000,cash_original!J94)</f>
        <v>0</v>
      </c>
      <c r="K94" s="4">
        <f>IF(ISNUMBER(cash_original!K94),cash_original!K94/100000000,cash_original!K94)</f>
        <v>0</v>
      </c>
      <c r="L94" s="4">
        <f>IF(ISNUMBER(cash_original!L94),cash_original!L94/100000000,cash_original!L94)</f>
        <v>0</v>
      </c>
      <c r="M94" s="4">
        <f>IF(ISNUMBER(cash_original!M94),cash_original!M94/100000000,cash_original!M94)</f>
        <v>0</v>
      </c>
      <c r="N94" s="4">
        <f>IF(ISNUMBER(cash_original!N94),cash_original!N94/100000000,cash_original!N94)</f>
        <v>0</v>
      </c>
      <c r="O94" s="4">
        <f>IF(ISNUMBER(cash_original!O94),cash_original!O94/100000000,cash_original!O94)</f>
        <v>0</v>
      </c>
      <c r="P94" s="4">
        <f>IF(ISNUMBER(cash_original!P94),cash_original!P94/100000000,cash_original!P94)</f>
        <v>0</v>
      </c>
      <c r="Q94" s="4">
        <f>IF(ISNUMBER(cash_original!Q94),cash_original!Q94/100000000,cash_original!Q94)</f>
        <v>0</v>
      </c>
      <c r="R94" s="4">
        <f>IF(ISNUMBER(cash_original!R94),cash_original!R94/100000000,cash_original!R94)</f>
        <v>0</v>
      </c>
      <c r="S94" s="4">
        <f>IF(ISNUMBER(cash_original!S94),cash_original!S94/100000000,cash_original!S94)</f>
        <v>0</v>
      </c>
      <c r="T94" s="4">
        <f>IF(ISNUMBER(cash_original!T94),cash_original!T94/100000000,cash_original!T94)</f>
        <v>0</v>
      </c>
      <c r="U94" s="4">
        <f>IF(ISNUMBER(cash_original!U94),cash_original!U94/100000000,cash_original!U94)</f>
        <v>0</v>
      </c>
      <c r="V94" s="4">
        <f>IF(ISNUMBER(cash_original!V94),cash_original!V94/100000000,cash_original!V94)</f>
        <v>0</v>
      </c>
      <c r="W94" s="4">
        <f>IF(ISNUMBER(cash_original!W94),cash_original!W94/100000000,cash_original!W94)</f>
        <v>0</v>
      </c>
      <c r="X94" s="4">
        <f>IF(ISNUMBER(cash_original!X94),cash_original!X94/100000000,cash_original!X94)</f>
        <v>0</v>
      </c>
      <c r="Y94" s="4">
        <f>IF(ISNUMBER(cash_original!Y94),cash_original!Y94/100000000,cash_original!Y94)</f>
        <v>0</v>
      </c>
      <c r="Z94" s="4">
        <f>IF(ISNUMBER(cash_original!Z94),cash_original!Z94/100000000,cash_original!Z94)</f>
        <v>0</v>
      </c>
      <c r="AA94" s="4">
        <f>IF(ISNUMBER(cash_original!AA94),cash_original!AA94/100000000,cash_original!AA94)</f>
        <v>0</v>
      </c>
      <c r="AB94" s="4">
        <f>IF(ISNUMBER(cash_original!AB94),cash_original!AB94/100000000,cash_original!AB94)</f>
        <v>0</v>
      </c>
      <c r="AC94" s="4">
        <f>IF(ISNUMBER(cash_original!AC94),cash_original!AC94/100000000,cash_original!AC94)</f>
        <v>0</v>
      </c>
      <c r="AD94" s="4">
        <f>IF(ISNUMBER(cash_original!AD94),cash_original!AD94/100000000,cash_original!AD94)</f>
        <v>0</v>
      </c>
      <c r="AE94" s="4">
        <f>IF(ISNUMBER(cash_original!AE94),cash_original!AE94/100000000,cash_original!AE94)</f>
        <v>0</v>
      </c>
      <c r="AF94" s="4">
        <f>IF(ISNUMBER(cash_original!AF94),cash_original!AF94/100000000,cash_original!AF94)</f>
        <v>0</v>
      </c>
      <c r="AG94" s="4">
        <f>IF(ISNUMBER(cash_original!AG94),cash_original!AG94/100000000,cash_original!AG94)</f>
        <v>0</v>
      </c>
      <c r="AH94" s="4">
        <f>IF(ISNUMBER(cash_original!AH94),cash_original!AH94/100000000,cash_original!AH94)</f>
        <v>0</v>
      </c>
      <c r="AI94" s="4">
        <f>IF(ISNUMBER(cash_original!AI94),cash_original!AI94/100000000,cash_original!AI94)</f>
        <v>0</v>
      </c>
      <c r="AJ94" s="4">
        <f>IF(ISNUMBER(cash_original!AJ94),cash_original!AJ94/100000000,cash_original!AJ94)</f>
        <v>0</v>
      </c>
      <c r="AK94" s="4">
        <f>IF(ISNUMBER(cash_original!AK94),cash_original!AK94/100000000,cash_original!AK94)</f>
        <v>0</v>
      </c>
      <c r="AL94" s="4">
        <f>IF(ISNUMBER(cash_original!AL94),cash_original!AL94/100000000,cash_original!AL94)</f>
        <v>0</v>
      </c>
      <c r="AM94" s="4">
        <f>IF(ISNUMBER(cash_original!AM94),cash_original!AM94/100000000,cash_original!AM94)</f>
        <v>0</v>
      </c>
      <c r="AN94" s="4">
        <f>IF(ISNUMBER(cash_original!AN94),cash_original!AN94/100000000,cash_original!AN94)</f>
        <v>0</v>
      </c>
      <c r="AO94" s="4">
        <f>IF(ISNUMBER(cash_original!AO94),cash_original!AO94/100000000,cash_original!AO94)</f>
        <v>0</v>
      </c>
      <c r="AP94" s="4">
        <f>IF(ISNUMBER(cash_original!AP94),cash_original!AP94/100000000,cash_original!AP94)</f>
        <v>0</v>
      </c>
      <c r="AQ94" s="4">
        <f>IF(ISNUMBER(cash_original!AQ94),cash_original!AQ94/100000000,cash_original!AQ94)</f>
        <v>0</v>
      </c>
      <c r="AR94" s="4">
        <f>IF(ISNUMBER(cash_original!AR94),cash_original!AR94/100000000,cash_original!AR94)</f>
        <v>0</v>
      </c>
      <c r="AS94" s="4">
        <f>IF(ISNUMBER(cash_original!AS94),cash_original!AS94/100000000,cash_original!AS94)</f>
        <v>0</v>
      </c>
      <c r="AT94" s="4">
        <f>IF(ISNUMBER(cash_original!AT94),cash_original!AT94/100000000,cash_original!AT94)</f>
        <v>0</v>
      </c>
      <c r="AU94" s="4">
        <f>IF(ISNUMBER(cash_original!AU94),cash_original!AU94/100000000,cash_original!AU94)</f>
        <v>0</v>
      </c>
    </row>
    <row r="95" spans="2:47" x14ac:dyDescent="0.25">
      <c r="B95" s="4">
        <f>IF(ISNUMBER(cash_original!B95),cash_original!B95/100000000,cash_original!B95)</f>
        <v>0</v>
      </c>
      <c r="C95" s="4">
        <f>IF(ISNUMBER(cash_original!C95),cash_original!C95/100000000,cash_original!C95)</f>
        <v>0</v>
      </c>
      <c r="D95" s="4">
        <f>IF(ISNUMBER(cash_original!D95),cash_original!D95/100000000,cash_original!D95)</f>
        <v>0</v>
      </c>
      <c r="E95" s="4">
        <f>IF(ISNUMBER(cash_original!E95),cash_original!E95/100000000,cash_original!E95)</f>
        <v>0</v>
      </c>
      <c r="F95" s="4">
        <f>IF(ISNUMBER(cash_original!F95),cash_original!F95/100000000,cash_original!F95)</f>
        <v>0</v>
      </c>
      <c r="G95" s="4">
        <f>IF(ISNUMBER(cash_original!G95),cash_original!G95/100000000,cash_original!G95)</f>
        <v>0</v>
      </c>
      <c r="H95" s="4">
        <f>IF(ISNUMBER(cash_original!H95),cash_original!H95/100000000,cash_original!H95)</f>
        <v>0</v>
      </c>
      <c r="I95" s="4">
        <f>IF(ISNUMBER(cash_original!I95),cash_original!I95/100000000,cash_original!I95)</f>
        <v>0</v>
      </c>
      <c r="J95" s="4">
        <f>IF(ISNUMBER(cash_original!J95),cash_original!J95/100000000,cash_original!J95)</f>
        <v>0</v>
      </c>
      <c r="K95" s="4">
        <f>IF(ISNUMBER(cash_original!K95),cash_original!K95/100000000,cash_original!K95)</f>
        <v>0</v>
      </c>
      <c r="L95" s="4">
        <f>IF(ISNUMBER(cash_original!L95),cash_original!L95/100000000,cash_original!L95)</f>
        <v>0</v>
      </c>
      <c r="M95" s="4">
        <f>IF(ISNUMBER(cash_original!M95),cash_original!M95/100000000,cash_original!M95)</f>
        <v>0</v>
      </c>
      <c r="N95" s="4">
        <f>IF(ISNUMBER(cash_original!N95),cash_original!N95/100000000,cash_original!N95)</f>
        <v>0</v>
      </c>
      <c r="O95" s="4">
        <f>IF(ISNUMBER(cash_original!O95),cash_original!O95/100000000,cash_original!O95)</f>
        <v>0</v>
      </c>
      <c r="P95" s="4">
        <f>IF(ISNUMBER(cash_original!P95),cash_original!P95/100000000,cash_original!P95)</f>
        <v>0</v>
      </c>
      <c r="Q95" s="4">
        <f>IF(ISNUMBER(cash_original!Q95),cash_original!Q95/100000000,cash_original!Q95)</f>
        <v>0</v>
      </c>
      <c r="R95" s="4">
        <f>IF(ISNUMBER(cash_original!R95),cash_original!R95/100000000,cash_original!R95)</f>
        <v>0</v>
      </c>
      <c r="S95" s="4">
        <f>IF(ISNUMBER(cash_original!S95),cash_original!S95/100000000,cash_original!S95)</f>
        <v>0</v>
      </c>
      <c r="T95" s="4">
        <f>IF(ISNUMBER(cash_original!T95),cash_original!T95/100000000,cash_original!T95)</f>
        <v>0</v>
      </c>
      <c r="U95" s="4">
        <f>IF(ISNUMBER(cash_original!U95),cash_original!U95/100000000,cash_original!U95)</f>
        <v>0</v>
      </c>
      <c r="V95" s="4">
        <f>IF(ISNUMBER(cash_original!V95),cash_original!V95/100000000,cash_original!V95)</f>
        <v>0</v>
      </c>
      <c r="W95" s="4">
        <f>IF(ISNUMBER(cash_original!W95),cash_original!W95/100000000,cash_original!W95)</f>
        <v>0</v>
      </c>
      <c r="X95" s="4">
        <f>IF(ISNUMBER(cash_original!X95),cash_original!X95/100000000,cash_original!X95)</f>
        <v>0</v>
      </c>
      <c r="Y95" s="4">
        <f>IF(ISNUMBER(cash_original!Y95),cash_original!Y95/100000000,cash_original!Y95)</f>
        <v>0</v>
      </c>
      <c r="Z95" s="4">
        <f>IF(ISNUMBER(cash_original!Z95),cash_original!Z95/100000000,cash_original!Z95)</f>
        <v>0</v>
      </c>
      <c r="AA95" s="4">
        <f>IF(ISNUMBER(cash_original!AA95),cash_original!AA95/100000000,cash_original!AA95)</f>
        <v>0</v>
      </c>
      <c r="AB95" s="4">
        <f>IF(ISNUMBER(cash_original!AB95),cash_original!AB95/100000000,cash_original!AB95)</f>
        <v>0</v>
      </c>
      <c r="AC95" s="4">
        <f>IF(ISNUMBER(cash_original!AC95),cash_original!AC95/100000000,cash_original!AC95)</f>
        <v>0</v>
      </c>
      <c r="AD95" s="4">
        <f>IF(ISNUMBER(cash_original!AD95),cash_original!AD95/100000000,cash_original!AD95)</f>
        <v>0</v>
      </c>
      <c r="AE95" s="4">
        <f>IF(ISNUMBER(cash_original!AE95),cash_original!AE95/100000000,cash_original!AE95)</f>
        <v>0</v>
      </c>
      <c r="AF95" s="4">
        <f>IF(ISNUMBER(cash_original!AF95),cash_original!AF95/100000000,cash_original!AF95)</f>
        <v>0</v>
      </c>
      <c r="AG95" s="4">
        <f>IF(ISNUMBER(cash_original!AG95),cash_original!AG95/100000000,cash_original!AG95)</f>
        <v>0</v>
      </c>
      <c r="AH95" s="4">
        <f>IF(ISNUMBER(cash_original!AH95),cash_original!AH95/100000000,cash_original!AH95)</f>
        <v>0</v>
      </c>
      <c r="AI95" s="4">
        <f>IF(ISNUMBER(cash_original!AI95),cash_original!AI95/100000000,cash_original!AI95)</f>
        <v>0</v>
      </c>
      <c r="AJ95" s="4">
        <f>IF(ISNUMBER(cash_original!AJ95),cash_original!AJ95/100000000,cash_original!AJ95)</f>
        <v>0</v>
      </c>
      <c r="AK95" s="4">
        <f>IF(ISNUMBER(cash_original!AK95),cash_original!AK95/100000000,cash_original!AK95)</f>
        <v>0</v>
      </c>
      <c r="AL95" s="4">
        <f>IF(ISNUMBER(cash_original!AL95),cash_original!AL95/100000000,cash_original!AL95)</f>
        <v>0</v>
      </c>
      <c r="AM95" s="4">
        <f>IF(ISNUMBER(cash_original!AM95),cash_original!AM95/100000000,cash_original!AM95)</f>
        <v>0</v>
      </c>
      <c r="AN95" s="4">
        <f>IF(ISNUMBER(cash_original!AN95),cash_original!AN95/100000000,cash_original!AN95)</f>
        <v>0</v>
      </c>
      <c r="AO95" s="4">
        <f>IF(ISNUMBER(cash_original!AO95),cash_original!AO95/100000000,cash_original!AO95)</f>
        <v>0</v>
      </c>
      <c r="AP95" s="4">
        <f>IF(ISNUMBER(cash_original!AP95),cash_original!AP95/100000000,cash_original!AP95)</f>
        <v>0</v>
      </c>
      <c r="AQ95" s="4">
        <f>IF(ISNUMBER(cash_original!AQ95),cash_original!AQ95/100000000,cash_original!AQ95)</f>
        <v>0</v>
      </c>
      <c r="AR95" s="4">
        <f>IF(ISNUMBER(cash_original!AR95),cash_original!AR95/100000000,cash_original!AR95)</f>
        <v>0</v>
      </c>
      <c r="AS95" s="4">
        <f>IF(ISNUMBER(cash_original!AS95),cash_original!AS95/100000000,cash_original!AS95)</f>
        <v>0</v>
      </c>
      <c r="AT95" s="4">
        <f>IF(ISNUMBER(cash_original!AT95),cash_original!AT95/100000000,cash_original!AT95)</f>
        <v>0</v>
      </c>
      <c r="AU95" s="4">
        <f>IF(ISNUMBER(cash_original!AU95),cash_original!AU95/100000000,cash_original!AU95)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B50D1-181E-4312-AF58-138251725DE7}">
  <sheetPr codeName="Sheet9"/>
  <dimension ref="A2:BY76"/>
  <sheetViews>
    <sheetView workbookViewId="0">
      <selection activeCell="B34" sqref="B34"/>
    </sheetView>
  </sheetViews>
  <sheetFormatPr defaultRowHeight="15" x14ac:dyDescent="0.25"/>
  <cols>
    <col min="1" max="1" width="25" style="2" customWidth="1"/>
    <col min="2" max="77" width="10" style="2" customWidth="1"/>
    <col min="78" max="256" width="9.140625" style="2"/>
    <col min="257" max="257" width="25" style="2" customWidth="1"/>
    <col min="258" max="333" width="10" style="2" customWidth="1"/>
    <col min="334" max="512" width="9.140625" style="2"/>
    <col min="513" max="513" width="25" style="2" customWidth="1"/>
    <col min="514" max="589" width="10" style="2" customWidth="1"/>
    <col min="590" max="768" width="9.140625" style="2"/>
    <col min="769" max="769" width="25" style="2" customWidth="1"/>
    <col min="770" max="845" width="10" style="2" customWidth="1"/>
    <col min="846" max="1024" width="9.140625" style="2"/>
    <col min="1025" max="1025" width="25" style="2" customWidth="1"/>
    <col min="1026" max="1101" width="10" style="2" customWidth="1"/>
    <col min="1102" max="1280" width="9.140625" style="2"/>
    <col min="1281" max="1281" width="25" style="2" customWidth="1"/>
    <col min="1282" max="1357" width="10" style="2" customWidth="1"/>
    <col min="1358" max="1536" width="9.140625" style="2"/>
    <col min="1537" max="1537" width="25" style="2" customWidth="1"/>
    <col min="1538" max="1613" width="10" style="2" customWidth="1"/>
    <col min="1614" max="1792" width="9.140625" style="2"/>
    <col min="1793" max="1793" width="25" style="2" customWidth="1"/>
    <col min="1794" max="1869" width="10" style="2" customWidth="1"/>
    <col min="1870" max="2048" width="9.140625" style="2"/>
    <col min="2049" max="2049" width="25" style="2" customWidth="1"/>
    <col min="2050" max="2125" width="10" style="2" customWidth="1"/>
    <col min="2126" max="2304" width="9.140625" style="2"/>
    <col min="2305" max="2305" width="25" style="2" customWidth="1"/>
    <col min="2306" max="2381" width="10" style="2" customWidth="1"/>
    <col min="2382" max="2560" width="9.140625" style="2"/>
    <col min="2561" max="2561" width="25" style="2" customWidth="1"/>
    <col min="2562" max="2637" width="10" style="2" customWidth="1"/>
    <col min="2638" max="2816" width="9.140625" style="2"/>
    <col min="2817" max="2817" width="25" style="2" customWidth="1"/>
    <col min="2818" max="2893" width="10" style="2" customWidth="1"/>
    <col min="2894" max="3072" width="9.140625" style="2"/>
    <col min="3073" max="3073" width="25" style="2" customWidth="1"/>
    <col min="3074" max="3149" width="10" style="2" customWidth="1"/>
    <col min="3150" max="3328" width="9.140625" style="2"/>
    <col min="3329" max="3329" width="25" style="2" customWidth="1"/>
    <col min="3330" max="3405" width="10" style="2" customWidth="1"/>
    <col min="3406" max="3584" width="9.140625" style="2"/>
    <col min="3585" max="3585" width="25" style="2" customWidth="1"/>
    <col min="3586" max="3661" width="10" style="2" customWidth="1"/>
    <col min="3662" max="3840" width="9.140625" style="2"/>
    <col min="3841" max="3841" width="25" style="2" customWidth="1"/>
    <col min="3842" max="3917" width="10" style="2" customWidth="1"/>
    <col min="3918" max="4096" width="9.140625" style="2"/>
    <col min="4097" max="4097" width="25" style="2" customWidth="1"/>
    <col min="4098" max="4173" width="10" style="2" customWidth="1"/>
    <col min="4174" max="4352" width="9.140625" style="2"/>
    <col min="4353" max="4353" width="25" style="2" customWidth="1"/>
    <col min="4354" max="4429" width="10" style="2" customWidth="1"/>
    <col min="4430" max="4608" width="9.140625" style="2"/>
    <col min="4609" max="4609" width="25" style="2" customWidth="1"/>
    <col min="4610" max="4685" width="10" style="2" customWidth="1"/>
    <col min="4686" max="4864" width="9.140625" style="2"/>
    <col min="4865" max="4865" width="25" style="2" customWidth="1"/>
    <col min="4866" max="4941" width="10" style="2" customWidth="1"/>
    <col min="4942" max="5120" width="9.140625" style="2"/>
    <col min="5121" max="5121" width="25" style="2" customWidth="1"/>
    <col min="5122" max="5197" width="10" style="2" customWidth="1"/>
    <col min="5198" max="5376" width="9.140625" style="2"/>
    <col min="5377" max="5377" width="25" style="2" customWidth="1"/>
    <col min="5378" max="5453" width="10" style="2" customWidth="1"/>
    <col min="5454" max="5632" width="9.140625" style="2"/>
    <col min="5633" max="5633" width="25" style="2" customWidth="1"/>
    <col min="5634" max="5709" width="10" style="2" customWidth="1"/>
    <col min="5710" max="5888" width="9.140625" style="2"/>
    <col min="5889" max="5889" width="25" style="2" customWidth="1"/>
    <col min="5890" max="5965" width="10" style="2" customWidth="1"/>
    <col min="5966" max="6144" width="9.140625" style="2"/>
    <col min="6145" max="6145" width="25" style="2" customWidth="1"/>
    <col min="6146" max="6221" width="10" style="2" customWidth="1"/>
    <col min="6222" max="6400" width="9.140625" style="2"/>
    <col min="6401" max="6401" width="25" style="2" customWidth="1"/>
    <col min="6402" max="6477" width="10" style="2" customWidth="1"/>
    <col min="6478" max="6656" width="9.140625" style="2"/>
    <col min="6657" max="6657" width="25" style="2" customWidth="1"/>
    <col min="6658" max="6733" width="10" style="2" customWidth="1"/>
    <col min="6734" max="6912" width="9.140625" style="2"/>
    <col min="6913" max="6913" width="25" style="2" customWidth="1"/>
    <col min="6914" max="6989" width="10" style="2" customWidth="1"/>
    <col min="6990" max="7168" width="9.140625" style="2"/>
    <col min="7169" max="7169" width="25" style="2" customWidth="1"/>
    <col min="7170" max="7245" width="10" style="2" customWidth="1"/>
    <col min="7246" max="7424" width="9.140625" style="2"/>
    <col min="7425" max="7425" width="25" style="2" customWidth="1"/>
    <col min="7426" max="7501" width="10" style="2" customWidth="1"/>
    <col min="7502" max="7680" width="9.140625" style="2"/>
    <col min="7681" max="7681" width="25" style="2" customWidth="1"/>
    <col min="7682" max="7757" width="10" style="2" customWidth="1"/>
    <col min="7758" max="7936" width="9.140625" style="2"/>
    <col min="7937" max="7937" width="25" style="2" customWidth="1"/>
    <col min="7938" max="8013" width="10" style="2" customWidth="1"/>
    <col min="8014" max="8192" width="9.140625" style="2"/>
    <col min="8193" max="8193" width="25" style="2" customWidth="1"/>
    <col min="8194" max="8269" width="10" style="2" customWidth="1"/>
    <col min="8270" max="8448" width="9.140625" style="2"/>
    <col min="8449" max="8449" width="25" style="2" customWidth="1"/>
    <col min="8450" max="8525" width="10" style="2" customWidth="1"/>
    <col min="8526" max="8704" width="9.140625" style="2"/>
    <col min="8705" max="8705" width="25" style="2" customWidth="1"/>
    <col min="8706" max="8781" width="10" style="2" customWidth="1"/>
    <col min="8782" max="8960" width="9.140625" style="2"/>
    <col min="8961" max="8961" width="25" style="2" customWidth="1"/>
    <col min="8962" max="9037" width="10" style="2" customWidth="1"/>
    <col min="9038" max="9216" width="9.140625" style="2"/>
    <col min="9217" max="9217" width="25" style="2" customWidth="1"/>
    <col min="9218" max="9293" width="10" style="2" customWidth="1"/>
    <col min="9294" max="9472" width="9.140625" style="2"/>
    <col min="9473" max="9473" width="25" style="2" customWidth="1"/>
    <col min="9474" max="9549" width="10" style="2" customWidth="1"/>
    <col min="9550" max="9728" width="9.140625" style="2"/>
    <col min="9729" max="9729" width="25" style="2" customWidth="1"/>
    <col min="9730" max="9805" width="10" style="2" customWidth="1"/>
    <col min="9806" max="9984" width="9.140625" style="2"/>
    <col min="9985" max="9985" width="25" style="2" customWidth="1"/>
    <col min="9986" max="10061" width="10" style="2" customWidth="1"/>
    <col min="10062" max="10240" width="9.140625" style="2"/>
    <col min="10241" max="10241" width="25" style="2" customWidth="1"/>
    <col min="10242" max="10317" width="10" style="2" customWidth="1"/>
    <col min="10318" max="10496" width="9.140625" style="2"/>
    <col min="10497" max="10497" width="25" style="2" customWidth="1"/>
    <col min="10498" max="10573" width="10" style="2" customWidth="1"/>
    <col min="10574" max="10752" width="9.140625" style="2"/>
    <col min="10753" max="10753" width="25" style="2" customWidth="1"/>
    <col min="10754" max="10829" width="10" style="2" customWidth="1"/>
    <col min="10830" max="11008" width="9.140625" style="2"/>
    <col min="11009" max="11009" width="25" style="2" customWidth="1"/>
    <col min="11010" max="11085" width="10" style="2" customWidth="1"/>
    <col min="11086" max="11264" width="9.140625" style="2"/>
    <col min="11265" max="11265" width="25" style="2" customWidth="1"/>
    <col min="11266" max="11341" width="10" style="2" customWidth="1"/>
    <col min="11342" max="11520" width="9.140625" style="2"/>
    <col min="11521" max="11521" width="25" style="2" customWidth="1"/>
    <col min="11522" max="11597" width="10" style="2" customWidth="1"/>
    <col min="11598" max="11776" width="9.140625" style="2"/>
    <col min="11777" max="11777" width="25" style="2" customWidth="1"/>
    <col min="11778" max="11853" width="10" style="2" customWidth="1"/>
    <col min="11854" max="12032" width="9.140625" style="2"/>
    <col min="12033" max="12033" width="25" style="2" customWidth="1"/>
    <col min="12034" max="12109" width="10" style="2" customWidth="1"/>
    <col min="12110" max="12288" width="9.140625" style="2"/>
    <col min="12289" max="12289" width="25" style="2" customWidth="1"/>
    <col min="12290" max="12365" width="10" style="2" customWidth="1"/>
    <col min="12366" max="12544" width="9.140625" style="2"/>
    <col min="12545" max="12545" width="25" style="2" customWidth="1"/>
    <col min="12546" max="12621" width="10" style="2" customWidth="1"/>
    <col min="12622" max="12800" width="9.140625" style="2"/>
    <col min="12801" max="12801" width="25" style="2" customWidth="1"/>
    <col min="12802" max="12877" width="10" style="2" customWidth="1"/>
    <col min="12878" max="13056" width="9.140625" style="2"/>
    <col min="13057" max="13057" width="25" style="2" customWidth="1"/>
    <col min="13058" max="13133" width="10" style="2" customWidth="1"/>
    <col min="13134" max="13312" width="9.140625" style="2"/>
    <col min="13313" max="13313" width="25" style="2" customWidth="1"/>
    <col min="13314" max="13389" width="10" style="2" customWidth="1"/>
    <col min="13390" max="13568" width="9.140625" style="2"/>
    <col min="13569" max="13569" width="25" style="2" customWidth="1"/>
    <col min="13570" max="13645" width="10" style="2" customWidth="1"/>
    <col min="13646" max="13824" width="9.140625" style="2"/>
    <col min="13825" max="13825" width="25" style="2" customWidth="1"/>
    <col min="13826" max="13901" width="10" style="2" customWidth="1"/>
    <col min="13902" max="14080" width="9.140625" style="2"/>
    <col min="14081" max="14081" width="25" style="2" customWidth="1"/>
    <col min="14082" max="14157" width="10" style="2" customWidth="1"/>
    <col min="14158" max="14336" width="9.140625" style="2"/>
    <col min="14337" max="14337" width="25" style="2" customWidth="1"/>
    <col min="14338" max="14413" width="10" style="2" customWidth="1"/>
    <col min="14414" max="14592" width="9.140625" style="2"/>
    <col min="14593" max="14593" width="25" style="2" customWidth="1"/>
    <col min="14594" max="14669" width="10" style="2" customWidth="1"/>
    <col min="14670" max="14848" width="9.140625" style="2"/>
    <col min="14849" max="14849" width="25" style="2" customWidth="1"/>
    <col min="14850" max="14925" width="10" style="2" customWidth="1"/>
    <col min="14926" max="15104" width="9.140625" style="2"/>
    <col min="15105" max="15105" width="25" style="2" customWidth="1"/>
    <col min="15106" max="15181" width="10" style="2" customWidth="1"/>
    <col min="15182" max="15360" width="9.140625" style="2"/>
    <col min="15361" max="15361" width="25" style="2" customWidth="1"/>
    <col min="15362" max="15437" width="10" style="2" customWidth="1"/>
    <col min="15438" max="15616" width="9.140625" style="2"/>
    <col min="15617" max="15617" width="25" style="2" customWidth="1"/>
    <col min="15618" max="15693" width="10" style="2" customWidth="1"/>
    <col min="15694" max="15872" width="9.140625" style="2"/>
    <col min="15873" max="15873" width="25" style="2" customWidth="1"/>
    <col min="15874" max="15949" width="10" style="2" customWidth="1"/>
    <col min="15950" max="16128" width="9.140625" style="2"/>
    <col min="16129" max="16129" width="25" style="2" customWidth="1"/>
    <col min="16130" max="16205" width="10" style="2" customWidth="1"/>
    <col min="16206" max="16384" width="9.140625" style="2"/>
  </cols>
  <sheetData>
    <row r="2" spans="1:77" x14ac:dyDescent="0.25">
      <c r="A2" s="2" t="s">
        <v>10</v>
      </c>
      <c r="B2" s="2" t="s">
        <v>56</v>
      </c>
      <c r="C2" s="2" t="s">
        <v>57</v>
      </c>
      <c r="D2" s="2" t="s">
        <v>58</v>
      </c>
      <c r="E2" s="2" t="s">
        <v>59</v>
      </c>
      <c r="F2" s="2" t="s">
        <v>60</v>
      </c>
      <c r="G2" s="2" t="s">
        <v>61</v>
      </c>
      <c r="H2" s="2" t="s">
        <v>62</v>
      </c>
      <c r="I2" s="2" t="s">
        <v>63</v>
      </c>
      <c r="J2" s="2" t="s">
        <v>64</v>
      </c>
      <c r="K2" s="2" t="s">
        <v>65</v>
      </c>
      <c r="L2" s="2" t="s">
        <v>66</v>
      </c>
      <c r="M2" s="2" t="s">
        <v>67</v>
      </c>
      <c r="N2" s="2" t="s">
        <v>68</v>
      </c>
      <c r="O2" s="2" t="s">
        <v>69</v>
      </c>
      <c r="P2" s="2" t="s">
        <v>70</v>
      </c>
      <c r="Q2" s="2" t="s">
        <v>71</v>
      </c>
      <c r="R2" s="2" t="s">
        <v>72</v>
      </c>
      <c r="S2" s="2" t="s">
        <v>73</v>
      </c>
      <c r="T2" s="2" t="s">
        <v>74</v>
      </c>
      <c r="U2" s="2" t="s">
        <v>75</v>
      </c>
      <c r="V2" s="2" t="s">
        <v>76</v>
      </c>
      <c r="W2" s="2" t="s">
        <v>77</v>
      </c>
      <c r="X2" s="2" t="s">
        <v>78</v>
      </c>
      <c r="Y2" s="2" t="s">
        <v>79</v>
      </c>
      <c r="Z2" s="2" t="s">
        <v>80</v>
      </c>
      <c r="AA2" s="2" t="s">
        <v>81</v>
      </c>
      <c r="AB2" s="2" t="s">
        <v>82</v>
      </c>
      <c r="AC2" s="2" t="s">
        <v>83</v>
      </c>
      <c r="AD2" s="2" t="s">
        <v>84</v>
      </c>
      <c r="AE2" s="2" t="s">
        <v>85</v>
      </c>
      <c r="AF2" s="2" t="s">
        <v>86</v>
      </c>
      <c r="AG2" s="2" t="s">
        <v>87</v>
      </c>
      <c r="AH2" s="2" t="s">
        <v>88</v>
      </c>
      <c r="AI2" s="2" t="s">
        <v>89</v>
      </c>
      <c r="AJ2" s="2" t="s">
        <v>90</v>
      </c>
      <c r="AK2" s="2" t="s">
        <v>91</v>
      </c>
      <c r="AL2" s="2" t="s">
        <v>92</v>
      </c>
      <c r="AM2" s="2" t="s">
        <v>93</v>
      </c>
      <c r="AN2" s="2" t="s">
        <v>94</v>
      </c>
      <c r="AO2" s="2" t="s">
        <v>95</v>
      </c>
      <c r="AP2" s="2" t="s">
        <v>96</v>
      </c>
      <c r="AQ2" s="2" t="s">
        <v>97</v>
      </c>
      <c r="AR2" s="2" t="s">
        <v>98</v>
      </c>
      <c r="AS2" s="2" t="s">
        <v>99</v>
      </c>
      <c r="AT2" s="2" t="s">
        <v>100</v>
      </c>
      <c r="AU2" s="2" t="s">
        <v>101</v>
      </c>
      <c r="AV2" s="2" t="s">
        <v>102</v>
      </c>
      <c r="AW2" s="2" t="s">
        <v>103</v>
      </c>
      <c r="AX2" s="2" t="s">
        <v>104</v>
      </c>
      <c r="AY2" s="2" t="s">
        <v>105</v>
      </c>
      <c r="AZ2" s="2" t="s">
        <v>106</v>
      </c>
      <c r="BA2" s="2" t="s">
        <v>107</v>
      </c>
      <c r="BB2" s="2" t="s">
        <v>108</v>
      </c>
      <c r="BC2" s="2" t="s">
        <v>109</v>
      </c>
      <c r="BD2" s="2" t="s">
        <v>110</v>
      </c>
      <c r="BE2" s="2" t="s">
        <v>111</v>
      </c>
      <c r="BF2" s="2" t="s">
        <v>112</v>
      </c>
      <c r="BG2" s="2" t="s">
        <v>113</v>
      </c>
      <c r="BH2" s="2" t="s">
        <v>114</v>
      </c>
      <c r="BI2" s="2" t="s">
        <v>115</v>
      </c>
      <c r="BJ2" s="2" t="s">
        <v>116</v>
      </c>
      <c r="BK2" s="2" t="s">
        <v>117</v>
      </c>
      <c r="BL2" s="2" t="s">
        <v>118</v>
      </c>
      <c r="BM2" s="2" t="s">
        <v>119</v>
      </c>
      <c r="BN2" s="2" t="s">
        <v>120</v>
      </c>
      <c r="BO2" s="2" t="s">
        <v>121</v>
      </c>
      <c r="BP2" s="2" t="s">
        <v>122</v>
      </c>
      <c r="BQ2" s="2" t="s">
        <v>123</v>
      </c>
      <c r="BR2" s="2" t="s">
        <v>124</v>
      </c>
      <c r="BS2" s="2" t="s">
        <v>125</v>
      </c>
      <c r="BT2" s="2" t="s">
        <v>126</v>
      </c>
      <c r="BU2" s="2" t="s">
        <v>127</v>
      </c>
      <c r="BV2" s="2" t="s">
        <v>128</v>
      </c>
      <c r="BW2" s="2" t="s">
        <v>129</v>
      </c>
      <c r="BX2" s="2" t="s">
        <v>130</v>
      </c>
      <c r="BY2" s="2" t="s">
        <v>131</v>
      </c>
    </row>
    <row r="3" spans="1:77" x14ac:dyDescent="0.25">
      <c r="A3" s="3" t="s">
        <v>132</v>
      </c>
      <c r="B3" s="4">
        <f>IF(ISNUMBER(benefit_original!B3),benefit_original!B3/100000000,benefit_original!B3)</f>
        <v>239.4050558495</v>
      </c>
      <c r="C3" s="4">
        <f>IF(ISNUMBER(benefit_original!C3),benefit_original!C3/100000000,benefit_original!C3)</f>
        <v>203.35879249639999</v>
      </c>
      <c r="D3" s="4">
        <f>IF(ISNUMBER(benefit_original!D3),benefit_original!D3/100000000,benefit_original!D3)</f>
        <v>252.98492025939998</v>
      </c>
      <c r="E3" s="4">
        <f>IF(ISNUMBER(benefit_original!E3),benefit_original!E3/100000000,benefit_original!E3)</f>
        <v>253.45674442060002</v>
      </c>
      <c r="F3" s="4">
        <f>IF(ISNUMBER(benefit_original!F3),benefit_original!F3/100000000,benefit_original!F3)</f>
        <v>223.35981736759999</v>
      </c>
      <c r="G3" s="4">
        <f>IF(ISNUMBER(benefit_original!G3),benefit_original!G3/100000000,benefit_original!G3)</f>
        <v>186.92156055250001</v>
      </c>
      <c r="H3" s="4">
        <f>IF(ISNUMBER(benefit_original!H3),benefit_original!H3/100000000,benefit_original!H3)</f>
        <v>224.80525254689999</v>
      </c>
      <c r="I3" s="4">
        <f>IF(ISNUMBER(benefit_original!I3),benefit_original!I3/100000000,benefit_original!I3)</f>
        <v>222.301176588</v>
      </c>
      <c r="J3" s="4">
        <f>IF(ISNUMBER(benefit_original!J3),benefit_original!J3/100000000,benefit_original!J3)</f>
        <v>197.17801668090001</v>
      </c>
      <c r="K3" s="4">
        <f>IF(ISNUMBER(benefit_original!K3),benefit_original!K3/100000000,benefit_original!K3)</f>
        <v>168.56207937370002</v>
      </c>
      <c r="L3" s="4">
        <f>IF(ISNUMBER(benefit_original!L3),benefit_original!L3/100000000,benefit_original!L3)</f>
        <v>183.9525684596</v>
      </c>
      <c r="M3" s="4">
        <f>IF(ISNUMBER(benefit_original!M3),benefit_original!M3/100000000,benefit_original!M3)</f>
        <v>165.75382294720001</v>
      </c>
      <c r="N3" s="4">
        <f>IF(ISNUMBER(benefit_original!N3),benefit_original!N3/100000000,benefit_original!N3)</f>
        <v>189.9347782641</v>
      </c>
      <c r="O3" s="4">
        <f>IF(ISNUMBER(benefit_original!O3),benefit_original!O3/100000000,benefit_original!O3)</f>
        <v>115.80485375729999</v>
      </c>
      <c r="P3" s="4">
        <f>IF(ISNUMBER(benefit_original!P3),benefit_original!P3/100000000,benefit_original!P3)</f>
        <v>139.13411369299999</v>
      </c>
      <c r="Q3" s="4">
        <f>IF(ISNUMBER(benefit_original!Q3),benefit_original!Q3/100000000,benefit_original!Q3)</f>
        <v>126.2234926191</v>
      </c>
      <c r="R3" s="4">
        <f>IF(ISNUMBER(benefit_original!R3),benefit_original!R3/100000000,benefit_original!R3)</f>
        <v>87.951180592000014</v>
      </c>
      <c r="S3" s="4">
        <f>IF(ISNUMBER(benefit_original!S3),benefit_original!S3/100000000,benefit_original!S3)</f>
        <v>84.867495081300007</v>
      </c>
      <c r="T3" s="4">
        <f>IF(ISNUMBER(benefit_original!T3),benefit_original!T3/100000000,benefit_original!T3)</f>
        <v>102.50867583690001</v>
      </c>
      <c r="U3" s="4">
        <f>IF(ISNUMBER(benefit_original!U3),benefit_original!U3/100000000,benefit_original!U3)</f>
        <v>97.125397951000011</v>
      </c>
      <c r="V3" s="4">
        <f>IF(ISNUMBER(benefit_original!V3),benefit_original!V3/100000000,benefit_original!V3)</f>
        <v>75.486676810100008</v>
      </c>
      <c r="W3" s="4">
        <f>IF(ISNUMBER(benefit_original!W3),benefit_original!W3/100000000,benefit_original!W3)</f>
        <v>74.252836412500002</v>
      </c>
      <c r="X3" s="4">
        <f>IF(ISNUMBER(benefit_original!X3),benefit_original!X3/100000000,benefit_original!X3)</f>
        <v>87.603679282199991</v>
      </c>
      <c r="Y3" s="4">
        <f>IF(ISNUMBER(benefit_original!Y3),benefit_original!Y3/100000000,benefit_original!Y3)</f>
        <v>100.43956018760001</v>
      </c>
      <c r="Z3" s="4">
        <f>IF(ISNUMBER(benefit_original!Z3),benefit_original!Z3/100000000,benefit_original!Z3)</f>
        <v>75.576184642100003</v>
      </c>
      <c r="AA3" s="4">
        <f>IF(ISNUMBER(benefit_original!AA3),benefit_original!AA3/100000000,benefit_original!AA3)</f>
        <v>70.338996239700009</v>
      </c>
      <c r="AB3" s="4">
        <f>IF(ISNUMBER(benefit_original!AB3),benefit_original!AB3/100000000,benefit_original!AB3)</f>
        <v>75.817396341399999</v>
      </c>
      <c r="AC3" s="4">
        <f>IF(ISNUMBER(benefit_original!AC3),benefit_original!AC3/100000000,benefit_original!AC3)</f>
        <v>90.682148510700003</v>
      </c>
      <c r="AD3" s="4">
        <f>IF(ISNUMBER(benefit_original!AD3),benefit_original!AD3/100000000,benefit_original!AD3)</f>
        <v>78.649496345700001</v>
      </c>
      <c r="AE3" s="4">
        <f>IF(ISNUMBER(benefit_original!AE3),benefit_original!AE3/100000000,benefit_original!AE3)</f>
        <v>69.716458849799992</v>
      </c>
      <c r="AF3" s="4">
        <f>IF(ISNUMBER(benefit_original!AF3),benefit_original!AF3/100000000,benefit_original!AF3)</f>
        <v>71.657858516099992</v>
      </c>
      <c r="AG3" s="4">
        <f>IF(ISNUMBER(benefit_original!AG3),benefit_original!AG3/100000000,benefit_original!AG3)</f>
        <v>65.238965525099999</v>
      </c>
      <c r="AH3" s="4">
        <f>IF(ISNUMBER(benefit_original!AH3),benefit_original!AH3/100000000,benefit_original!AH3)</f>
        <v>66.670007640699993</v>
      </c>
      <c r="AI3" s="4">
        <f>IF(ISNUMBER(benefit_original!AI3),benefit_original!AI3/100000000,benefit_original!AI3)</f>
        <v>72.484700947899995</v>
      </c>
      <c r="AJ3" s="4">
        <f>IF(ISNUMBER(benefit_original!AJ3),benefit_original!AJ3/100000000,benefit_original!AJ3)</f>
        <v>60.159677416199997</v>
      </c>
      <c r="AK3" s="4">
        <f>IF(ISNUMBER(benefit_original!AK3),benefit_original!AK3/100000000,benefit_original!AK3)</f>
        <v>47.602797272299995</v>
      </c>
      <c r="AL3" s="4">
        <f>IF(ISNUMBER(benefit_original!AL3),benefit_original!AL3/100000000,benefit_original!AL3)</f>
        <v>38.1625205299</v>
      </c>
      <c r="AM3" s="4">
        <f>IF(ISNUMBER(benefit_original!AM3),benefit_original!AM3/100000000,benefit_original!AM3)</f>
        <v>56.052343291400007</v>
      </c>
      <c r="AN3" s="4">
        <f>IF(ISNUMBER(benefit_original!AN3),benefit_original!AN3/100000000,benefit_original!AN3)</f>
        <v>42.205890979400003</v>
      </c>
      <c r="AO3" s="4">
        <f>IF(ISNUMBER(benefit_original!AO3),benefit_original!AO3/100000000,benefit_original!AO3)</f>
        <v>23.057059560599999</v>
      </c>
      <c r="AP3" s="4">
        <f>IF(ISNUMBER(benefit_original!AP3),benefit_original!AP3/100000000,benefit_original!AP3)</f>
        <v>27.403114213400002</v>
      </c>
      <c r="AQ3" s="4">
        <f>IF(ISNUMBER(benefit_original!AQ3),benefit_original!AQ3/100000000,benefit_original!AQ3)</f>
        <v>35.473602623699996</v>
      </c>
      <c r="AR3" s="3">
        <v>3039906100.4099998</v>
      </c>
      <c r="AS3" s="3">
        <v>1862796679.6099999</v>
      </c>
      <c r="AT3" s="3">
        <v>2261196354.4899998</v>
      </c>
      <c r="AU3" s="3">
        <v>3033468864.0900002</v>
      </c>
      <c r="AV3" s="3">
        <v>2512537167.1999998</v>
      </c>
      <c r="AW3" s="3">
        <v>1755168283.0999999</v>
      </c>
      <c r="AX3" s="3">
        <v>1866799971.4100001</v>
      </c>
      <c r="AY3" s="3">
        <v>2626220914.1399999</v>
      </c>
      <c r="AZ3" s="3">
        <v>1993496395.46</v>
      </c>
      <c r="BA3" s="3">
        <v>2779048497.8600001</v>
      </c>
      <c r="BB3" s="3">
        <v>1829293372.8399999</v>
      </c>
      <c r="BC3" s="3">
        <v>1041550780.74</v>
      </c>
      <c r="BD3" s="3">
        <v>1587538095.6800001</v>
      </c>
      <c r="BE3" s="3">
        <v>1650991953.6600001</v>
      </c>
      <c r="BF3" s="3">
        <v>1238891283.6900001</v>
      </c>
      <c r="BG3" s="3">
        <v>660486658.28999996</v>
      </c>
      <c r="BH3" s="3">
        <v>1353005869.77</v>
      </c>
      <c r="BI3" s="3">
        <v>1350196364.3599999</v>
      </c>
      <c r="BJ3" s="3">
        <v>894174531.34000003</v>
      </c>
      <c r="BK3" s="3">
        <v>542127021.28999996</v>
      </c>
      <c r="BL3" s="3">
        <v>1144017320.6199999</v>
      </c>
      <c r="BM3" s="3">
        <v>939355347.26999998</v>
      </c>
      <c r="BN3" s="3">
        <v>756328963.59000003</v>
      </c>
      <c r="BO3" s="3">
        <v>460677303.19999999</v>
      </c>
      <c r="BP3" s="3">
        <v>853431905.86000001</v>
      </c>
      <c r="BQ3" s="3">
        <v>848273574.83000004</v>
      </c>
      <c r="BR3" s="3">
        <v>543696794.62</v>
      </c>
      <c r="BS3" s="3">
        <v>275158309.58999997</v>
      </c>
      <c r="BT3" s="3">
        <v>733889255.88999999</v>
      </c>
      <c r="BU3" s="3">
        <v>471012070.57999998</v>
      </c>
      <c r="BV3" s="3">
        <v>408232011.69999999</v>
      </c>
      <c r="BW3" s="3">
        <v>237639354.09</v>
      </c>
      <c r="BX3" s="3">
        <v>718014858.52999997</v>
      </c>
      <c r="BY3" s="3" t="s">
        <v>133</v>
      </c>
    </row>
    <row r="4" spans="1:77" x14ac:dyDescent="0.25">
      <c r="A4" s="3" t="s">
        <v>134</v>
      </c>
      <c r="B4" s="4">
        <f>IF(ISNUMBER(benefit_original!B4),benefit_original!B4/100000000,benefit_original!B4)</f>
        <v>232.62139974979999</v>
      </c>
      <c r="C4" s="4">
        <f>IF(ISNUMBER(benefit_original!C4),benefit_original!C4/100000000,benefit_original!C4)</f>
        <v>195.47410128169997</v>
      </c>
      <c r="D4" s="4">
        <f>IF(ISNUMBER(benefit_original!D4),benefit_original!D4/100000000,benefit_original!D4)</f>
        <v>244.05394535330001</v>
      </c>
      <c r="E4" s="4">
        <f>IF(ISNUMBER(benefit_original!E4),benefit_original!E4/100000000,benefit_original!E4)</f>
        <v>244.94915396389999</v>
      </c>
      <c r="F4" s="4">
        <f>IF(ISNUMBER(benefit_original!F4),benefit_original!F4/100000000,benefit_original!F4)</f>
        <v>214.4686973112</v>
      </c>
      <c r="G4" s="4">
        <f>IF(ISNUMBER(benefit_original!G4),benefit_original!G4/100000000,benefit_original!G4)</f>
        <v>178.4378562688</v>
      </c>
      <c r="H4" s="4">
        <f>IF(ISNUMBER(benefit_original!H4),benefit_original!H4/100000000,benefit_original!H4)</f>
        <v>216.44002712860001</v>
      </c>
      <c r="I4" s="4">
        <f>IF(ISNUMBER(benefit_original!I4),benefit_original!I4/100000000,benefit_original!I4)</f>
        <v>213.9720240202</v>
      </c>
      <c r="J4" s="4">
        <f>IF(ISNUMBER(benefit_original!J4),benefit_original!J4/100000000,benefit_original!J4)</f>
        <v>188.44960092900001</v>
      </c>
      <c r="K4" s="4">
        <f>IF(ISNUMBER(benefit_original!K4),benefit_original!K4/100000000,benefit_original!K4)</f>
        <v>159.30543508150001</v>
      </c>
      <c r="L4" s="4">
        <f>IF(ISNUMBER(benefit_original!L4),benefit_original!L4/100000000,benefit_original!L4)</f>
        <v>174.66166384959999</v>
      </c>
      <c r="M4" s="4">
        <f>IF(ISNUMBER(benefit_original!M4),benefit_original!M4/100000000,benefit_original!M4)</f>
        <v>157.67393814159999</v>
      </c>
      <c r="N4" s="4">
        <f>IF(ISNUMBER(benefit_original!N4),benefit_original!N4/100000000,benefit_original!N4)</f>
        <v>182.6043728105</v>
      </c>
      <c r="O4" s="4">
        <f>IF(ISNUMBER(benefit_original!O4),benefit_original!O4/100000000,benefit_original!O4)</f>
        <v>108.81391134090001</v>
      </c>
      <c r="P4" s="4">
        <f>IF(ISNUMBER(benefit_original!P4),benefit_original!P4/100000000,benefit_original!P4)</f>
        <v>133.08639084870001</v>
      </c>
      <c r="Q4" s="4">
        <f>IF(ISNUMBER(benefit_original!Q4),benefit_original!Q4/100000000,benefit_original!Q4)</f>
        <v>122.30305961409999</v>
      </c>
      <c r="R4" s="4">
        <f>IF(ISNUMBER(benefit_original!R4),benefit_original!R4/100000000,benefit_original!R4)</f>
        <v>84.586493589900002</v>
      </c>
      <c r="S4" s="4">
        <f>IF(ISNUMBER(benefit_original!S4),benefit_original!S4/100000000,benefit_original!S4)</f>
        <v>81.844809424700003</v>
      </c>
      <c r="T4" s="4">
        <f>IF(ISNUMBER(benefit_original!T4),benefit_original!T4/100000000,benefit_original!T4)</f>
        <v>99.887537309699994</v>
      </c>
      <c r="U4" s="4">
        <f>IF(ISNUMBER(benefit_original!U4),benefit_original!U4/100000000,benefit_original!U4)</f>
        <v>95.108947643899995</v>
      </c>
      <c r="V4" s="4">
        <f>IF(ISNUMBER(benefit_original!V4),benefit_original!V4/100000000,benefit_original!V4)</f>
        <v>73.700414949399999</v>
      </c>
      <c r="W4" s="4">
        <f>IF(ISNUMBER(benefit_original!W4),benefit_original!W4/100000000,benefit_original!W4)</f>
        <v>72.343740299499999</v>
      </c>
      <c r="X4" s="4">
        <f>IF(ISNUMBER(benefit_original!X4),benefit_original!X4/100000000,benefit_original!X4)</f>
        <v>85.442734360000003</v>
      </c>
      <c r="Y4" s="4">
        <f>IF(ISNUMBER(benefit_original!Y4),benefit_original!Y4/100000000,benefit_original!Y4)</f>
        <v>98.557393633299995</v>
      </c>
      <c r="Z4" s="4">
        <f>IF(ISNUMBER(benefit_original!Z4),benefit_original!Z4/100000000,benefit_original!Z4)</f>
        <v>73.965607645200009</v>
      </c>
      <c r="AA4" s="4">
        <f>IF(ISNUMBER(benefit_original!AA4),benefit_original!AA4/100000000,benefit_original!AA4)</f>
        <v>68.718026524500004</v>
      </c>
      <c r="AB4" s="4">
        <f>IF(ISNUMBER(benefit_original!AB4),benefit_original!AB4/100000000,benefit_original!AB4)</f>
        <v>74.498257506400009</v>
      </c>
      <c r="AC4" s="4">
        <f>IF(ISNUMBER(benefit_original!AC4),benefit_original!AC4/100000000,benefit_original!AC4)</f>
        <v>89.860882713600006</v>
      </c>
      <c r="AD4" s="4">
        <f>IF(ISNUMBER(benefit_original!AD4),benefit_original!AD4/100000000,benefit_original!AD4)</f>
        <v>78.078458541299995</v>
      </c>
      <c r="AE4" s="4">
        <f>IF(ISNUMBER(benefit_original!AE4),benefit_original!AE4/100000000,benefit_original!AE4)</f>
        <v>69.620813394999999</v>
      </c>
      <c r="AF4" s="4">
        <f>IF(ISNUMBER(benefit_original!AF4),benefit_original!AF4/100000000,benefit_original!AF4)</f>
        <v>71.657858516099992</v>
      </c>
      <c r="AG4" s="4">
        <f>IF(ISNUMBER(benefit_original!AG4),benefit_original!AG4/100000000,benefit_original!AG4)</f>
        <v>65.238965525099999</v>
      </c>
      <c r="AH4" s="4">
        <f>IF(ISNUMBER(benefit_original!AH4),benefit_original!AH4/100000000,benefit_original!AH4)</f>
        <v>66.670007640699993</v>
      </c>
      <c r="AI4" s="4">
        <f>IF(ISNUMBER(benefit_original!AI4),benefit_original!AI4/100000000,benefit_original!AI4)</f>
        <v>72.484700947899995</v>
      </c>
      <c r="AJ4" s="4">
        <f>IF(ISNUMBER(benefit_original!AJ4),benefit_original!AJ4/100000000,benefit_original!AJ4)</f>
        <v>60.159677416199997</v>
      </c>
      <c r="AK4" s="4">
        <f>IF(ISNUMBER(benefit_original!AK4),benefit_original!AK4/100000000,benefit_original!AK4)</f>
        <v>47.602797272299995</v>
      </c>
      <c r="AL4" s="4">
        <f>IF(ISNUMBER(benefit_original!AL4),benefit_original!AL4/100000000,benefit_original!AL4)</f>
        <v>38.1625205299</v>
      </c>
      <c r="AM4" s="4">
        <f>IF(ISNUMBER(benefit_original!AM4),benefit_original!AM4/100000000,benefit_original!AM4)</f>
        <v>56.052343291400007</v>
      </c>
      <c r="AN4" s="4">
        <f>IF(ISNUMBER(benefit_original!AN4),benefit_original!AN4/100000000,benefit_original!AN4)</f>
        <v>42.205890979400003</v>
      </c>
      <c r="AO4" s="4">
        <f>IF(ISNUMBER(benefit_original!AO4),benefit_original!AO4/100000000,benefit_original!AO4)</f>
        <v>23.057059560599999</v>
      </c>
      <c r="AP4" s="4">
        <f>IF(ISNUMBER(benefit_original!AP4),benefit_original!AP4/100000000,benefit_original!AP4)</f>
        <v>27.403114213400002</v>
      </c>
      <c r="AQ4" s="4">
        <f>IF(ISNUMBER(benefit_original!AQ4),benefit_original!AQ4/100000000,benefit_original!AQ4)</f>
        <v>35.473602623699996</v>
      </c>
      <c r="AR4" s="3">
        <v>3039906100.4099998</v>
      </c>
      <c r="AS4" s="3">
        <v>1862796679.6099999</v>
      </c>
      <c r="AT4" s="3">
        <v>2261196354.4899998</v>
      </c>
      <c r="AU4" s="3">
        <v>3033468864.0900002</v>
      </c>
      <c r="AV4" s="3">
        <v>2512537167.1999998</v>
      </c>
      <c r="AW4" s="3">
        <v>1755168283.0999999</v>
      </c>
      <c r="AX4" s="3">
        <v>1866799971.4100001</v>
      </c>
      <c r="AY4" s="3">
        <v>2626220914.1399999</v>
      </c>
      <c r="AZ4" s="3">
        <v>1993496395.46</v>
      </c>
      <c r="BA4" s="3">
        <v>2779048497.8600001</v>
      </c>
      <c r="BB4" s="3">
        <v>1829293372.8399999</v>
      </c>
      <c r="BC4" s="3">
        <v>1041550780.74</v>
      </c>
      <c r="BD4" s="3">
        <v>1587538095.6800001</v>
      </c>
      <c r="BE4" s="3">
        <v>1650991953.6600001</v>
      </c>
      <c r="BF4" s="3">
        <v>1238891283.6900001</v>
      </c>
      <c r="BG4" s="3">
        <v>660486658.28999996</v>
      </c>
      <c r="BH4" s="3">
        <v>1353005869.77</v>
      </c>
      <c r="BI4" s="3">
        <v>1350196364.3599999</v>
      </c>
      <c r="BJ4" s="3">
        <v>894174531.34000003</v>
      </c>
      <c r="BK4" s="3">
        <v>542127021.28999996</v>
      </c>
      <c r="BL4" s="3">
        <v>1144017320.6199999</v>
      </c>
      <c r="BM4" s="3">
        <v>939355347.26999998</v>
      </c>
      <c r="BN4" s="3">
        <v>756328963.59000003</v>
      </c>
      <c r="BO4" s="3">
        <v>460677303.19999999</v>
      </c>
      <c r="BP4" s="3">
        <v>853431905.86000001</v>
      </c>
      <c r="BQ4" s="3">
        <v>848273574.83000004</v>
      </c>
      <c r="BR4" s="3">
        <v>543696794.62</v>
      </c>
      <c r="BS4" s="3">
        <v>275158309.58999997</v>
      </c>
      <c r="BT4" s="3">
        <v>733889255.88999999</v>
      </c>
      <c r="BU4" s="3">
        <v>471012070.57999998</v>
      </c>
      <c r="BV4" s="3">
        <v>408232011.69999999</v>
      </c>
      <c r="BW4" s="3">
        <v>237639354.09</v>
      </c>
      <c r="BX4" s="3">
        <v>718014858.52999997</v>
      </c>
      <c r="BY4" s="3" t="s">
        <v>133</v>
      </c>
    </row>
    <row r="5" spans="1:77" x14ac:dyDescent="0.25">
      <c r="A5" s="3" t="s">
        <v>135</v>
      </c>
      <c r="B5" s="4">
        <f>IF(ISNUMBER(benefit_original!B5),benefit_original!B5/100000000,benefit_original!B5)</f>
        <v>80.356371999999993</v>
      </c>
      <c r="C5" s="4">
        <f>IF(ISNUMBER(benefit_original!C5),benefit_original!C5/100000000,benefit_original!C5)</f>
        <v>68.343827000000005</v>
      </c>
      <c r="D5" s="4">
        <f>IF(ISNUMBER(benefit_original!D5),benefit_original!D5/100000000,benefit_original!D5)</f>
        <v>67.379379</v>
      </c>
      <c r="E5" s="4">
        <f>IF(ISNUMBER(benefit_original!E5),benefit_original!E5/100000000,benefit_original!E5)</f>
        <v>97.302492999999998</v>
      </c>
      <c r="F5" s="4">
        <f>IF(ISNUMBER(benefit_original!F5),benefit_original!F5/100000000,benefit_original!F5)</f>
        <v>73.067222000000001</v>
      </c>
      <c r="G5" s="4">
        <f>IF(ISNUMBER(benefit_original!G5),benefit_original!G5/100000000,benefit_original!G5)</f>
        <v>62.962919999999997</v>
      </c>
      <c r="H5" s="4">
        <f>IF(ISNUMBER(benefit_original!H5),benefit_original!H5/100000000,benefit_original!H5)</f>
        <v>64.843029999999999</v>
      </c>
      <c r="I5" s="4">
        <f>IF(ISNUMBER(benefit_original!I5),benefit_original!I5/100000000,benefit_original!I5)</f>
        <v>67.346833000000004</v>
      </c>
      <c r="J5" s="4">
        <f>IF(ISNUMBER(benefit_original!J5),benefit_original!J5/100000000,benefit_original!J5)</f>
        <v>67.597783000000007</v>
      </c>
      <c r="K5" s="4">
        <f>IF(ISNUMBER(benefit_original!K5),benefit_original!K5/100000000,benefit_original!K5)</f>
        <v>61.539904999999997</v>
      </c>
      <c r="L5" s="4">
        <f>IF(ISNUMBER(benefit_original!L5),benefit_original!L5/100000000,benefit_original!L5)</f>
        <v>62.175784999999998</v>
      </c>
      <c r="M5" s="4">
        <f>IF(ISNUMBER(benefit_original!M5),benefit_original!M5/100000000,benefit_original!M5)</f>
        <v>62.723180999999997</v>
      </c>
      <c r="N5" s="4">
        <f>IF(ISNUMBER(benefit_original!N5),benefit_original!N5/100000000,benefit_original!N5)</f>
        <v>64.803044</v>
      </c>
      <c r="O5" s="4">
        <f>IF(ISNUMBER(benefit_original!O5),benefit_original!O5/100000000,benefit_original!O5)</f>
        <v>42.468682000000001</v>
      </c>
      <c r="P5" s="4">
        <f>IF(ISNUMBER(benefit_original!P5),benefit_original!P5/100000000,benefit_original!P5)</f>
        <v>51.232585999999998</v>
      </c>
      <c r="Q5" s="4">
        <f>IF(ISNUMBER(benefit_original!Q5),benefit_original!Q5/100000000,benefit_original!Q5)</f>
        <v>65.063023000000001</v>
      </c>
      <c r="R5" s="4">
        <f>IF(ISNUMBER(benefit_original!R5),benefit_original!R5/100000000,benefit_original!R5)</f>
        <v>34.056632999999998</v>
      </c>
      <c r="S5" s="4">
        <f>IF(ISNUMBER(benefit_original!S5),benefit_original!S5/100000000,benefit_original!S5)</f>
        <v>29.291891</v>
      </c>
      <c r="T5" s="4">
        <f>IF(ISNUMBER(benefit_original!T5),benefit_original!T5/100000000,benefit_original!T5)</f>
        <v>30.483045000000001</v>
      </c>
      <c r="U5" s="4">
        <f>IF(ISNUMBER(benefit_original!U5),benefit_original!U5/100000000,benefit_original!U5)</f>
        <v>38.485273999999997</v>
      </c>
      <c r="V5" s="4">
        <f>IF(ISNUMBER(benefit_original!V5),benefit_original!V5/100000000,benefit_original!V5)</f>
        <v>24.058291000000001</v>
      </c>
      <c r="W5" s="4">
        <f>IF(ISNUMBER(benefit_original!W5),benefit_original!W5/100000000,benefit_original!W5)</f>
        <v>24.810117999999999</v>
      </c>
      <c r="X5" s="4">
        <f>IF(ISNUMBER(benefit_original!X5),benefit_original!X5/100000000,benefit_original!X5)</f>
        <v>25.563680999999999</v>
      </c>
      <c r="Y5" s="4">
        <f>IF(ISNUMBER(benefit_original!Y5),benefit_original!Y5/100000000,benefit_original!Y5)</f>
        <v>32.575127999999999</v>
      </c>
      <c r="Z5" s="4">
        <f>IF(ISNUMBER(benefit_original!Z5),benefit_original!Z5/100000000,benefit_original!Z5)</f>
        <v>24.921506999999998</v>
      </c>
      <c r="AA5" s="4">
        <f>IF(ISNUMBER(benefit_original!AA5),benefit_original!AA5/100000000,benefit_original!AA5)</f>
        <v>21.058522</v>
      </c>
      <c r="AB5" s="4">
        <f>IF(ISNUMBER(benefit_original!AB5),benefit_original!AB5/100000000,benefit_original!AB5)</f>
        <v>22.618200999999999</v>
      </c>
      <c r="AC5" s="4">
        <f>IF(ISNUMBER(benefit_original!AC5),benefit_original!AC5/100000000,benefit_original!AC5)</f>
        <v>32.898794000000002</v>
      </c>
      <c r="AD5" s="4">
        <f>IF(ISNUMBER(benefit_original!AD5),benefit_original!AD5/100000000,benefit_original!AD5)</f>
        <v>22.494865000000001</v>
      </c>
      <c r="AE5" s="4">
        <f>IF(ISNUMBER(benefit_original!AE5),benefit_original!AE5/100000000,benefit_original!AE5)</f>
        <v>19.470891999999999</v>
      </c>
      <c r="AF5" s="4">
        <f>IF(ISNUMBER(benefit_original!AF5),benefit_original!AF5/100000000,benefit_original!AF5)</f>
        <v>17.956060999999998</v>
      </c>
      <c r="AG5" s="4">
        <f>IF(ISNUMBER(benefit_original!AG5),benefit_original!AG5/100000000,benefit_original!AG5)</f>
        <v>23.804501999999999</v>
      </c>
      <c r="AH5" s="4">
        <f>IF(ISNUMBER(benefit_original!AH5),benefit_original!AH5/100000000,benefit_original!AH5)</f>
        <v>17.793963999999999</v>
      </c>
      <c r="AI5" s="4">
        <f>IF(ISNUMBER(benefit_original!AI5),benefit_original!AI5/100000000,benefit_original!AI5)</f>
        <v>16.24803</v>
      </c>
      <c r="AJ5" s="4">
        <f>IF(ISNUMBER(benefit_original!AJ5),benefit_original!AJ5/100000000,benefit_original!AJ5)</f>
        <v>18.430491</v>
      </c>
      <c r="AK5" s="4">
        <f>IF(ISNUMBER(benefit_original!AK5),benefit_original!AK5/100000000,benefit_original!AK5)</f>
        <v>17.066019000000001</v>
      </c>
      <c r="AL5" s="4">
        <f>IF(ISNUMBER(benefit_original!AL5),benefit_original!AL5/100000000,benefit_original!AL5)</f>
        <v>14.235450999999999</v>
      </c>
      <c r="AM5" s="4">
        <f>IF(ISNUMBER(benefit_original!AM5),benefit_original!AM5/100000000,benefit_original!AM5)</f>
        <v>13.710228000000001</v>
      </c>
      <c r="AN5" s="4">
        <f>IF(ISNUMBER(benefit_original!AN5),benefit_original!AN5/100000000,benefit_original!AN5)</f>
        <v>15.68404</v>
      </c>
      <c r="AO5" s="4">
        <f>IF(ISNUMBER(benefit_original!AO5),benefit_original!AO5/100000000,benefit_original!AO5)</f>
        <v>10.424007</v>
      </c>
      <c r="AP5" s="4">
        <f>IF(ISNUMBER(benefit_original!AP5),benefit_original!AP5/100000000,benefit_original!AP5)</f>
        <v>12.236523999999999</v>
      </c>
      <c r="AQ5" s="4">
        <f>IF(ISNUMBER(benefit_original!AQ5),benefit_original!AQ5/100000000,benefit_original!AQ5)</f>
        <v>9.6245770000000004</v>
      </c>
      <c r="AR5" s="3">
        <v>1244335800</v>
      </c>
      <c r="AS5" s="3">
        <v>1093472600</v>
      </c>
      <c r="AT5" s="3">
        <v>860421000</v>
      </c>
      <c r="AU5" s="3">
        <v>833767700</v>
      </c>
      <c r="AV5" s="3">
        <v>808026700</v>
      </c>
      <c r="AW5" s="3">
        <v>776430300</v>
      </c>
      <c r="AX5" s="3">
        <v>599878000</v>
      </c>
      <c r="AY5" s="3">
        <v>704386600</v>
      </c>
      <c r="AZ5" s="3">
        <v>771928100</v>
      </c>
      <c r="BA5" s="3">
        <v>760385600</v>
      </c>
      <c r="BB5" s="3">
        <v>682464300</v>
      </c>
      <c r="BC5" s="3">
        <v>556577700</v>
      </c>
      <c r="BD5" s="3">
        <v>714477100</v>
      </c>
      <c r="BE5" s="3">
        <v>853895000</v>
      </c>
      <c r="BF5" s="3">
        <v>508816000</v>
      </c>
      <c r="BG5" s="3">
        <v>372664900</v>
      </c>
      <c r="BH5" s="3">
        <v>682652600</v>
      </c>
      <c r="BI5" s="3">
        <v>580790600</v>
      </c>
      <c r="BJ5" s="3">
        <v>500322000</v>
      </c>
      <c r="BK5" s="3">
        <v>344265500</v>
      </c>
      <c r="BL5" s="3">
        <v>586333600</v>
      </c>
      <c r="BM5" s="3">
        <v>327175200</v>
      </c>
      <c r="BN5" s="3">
        <v>450399000</v>
      </c>
      <c r="BO5" s="3">
        <v>292154100</v>
      </c>
      <c r="BP5" s="3">
        <v>452275200</v>
      </c>
      <c r="BQ5" s="3">
        <v>466886000</v>
      </c>
      <c r="BR5" s="3">
        <v>359659200</v>
      </c>
      <c r="BS5" s="3">
        <v>206233100</v>
      </c>
      <c r="BT5" s="3">
        <v>393885300</v>
      </c>
      <c r="BU5" s="3">
        <v>351715900</v>
      </c>
      <c r="BV5" s="3">
        <v>283646300</v>
      </c>
      <c r="BW5" s="3">
        <v>173722000</v>
      </c>
      <c r="BX5" s="3">
        <v>380838500</v>
      </c>
      <c r="BY5" s="3" t="s">
        <v>133</v>
      </c>
    </row>
    <row r="6" spans="1:77" x14ac:dyDescent="0.25">
      <c r="A6" s="3" t="s">
        <v>11</v>
      </c>
      <c r="B6" s="4">
        <f>IF(ISNUMBER(benefit_original!B6),benefit_original!B6/100000000,benefit_original!B6)</f>
        <v>20.785698</v>
      </c>
      <c r="C6" s="4">
        <f>IF(ISNUMBER(benefit_original!C6),benefit_original!C6/100000000,benefit_original!C6)</f>
        <v>17.198830999999998</v>
      </c>
      <c r="D6" s="4">
        <f>IF(ISNUMBER(benefit_original!D6),benefit_original!D6/100000000,benefit_original!D6)</f>
        <v>20.324435000000001</v>
      </c>
      <c r="E6" s="4">
        <f>IF(ISNUMBER(benefit_original!E6),benefit_original!E6/100000000,benefit_original!E6)</f>
        <v>22.441326</v>
      </c>
      <c r="F6" s="4">
        <f>IF(ISNUMBER(benefit_original!F6),benefit_original!F6/100000000,benefit_original!F6)</f>
        <v>19.742612000000001</v>
      </c>
      <c r="G6" s="4">
        <f>IF(ISNUMBER(benefit_original!G6),benefit_original!G6/100000000,benefit_original!G6)</f>
        <v>15.041793999999999</v>
      </c>
      <c r="H6" s="4">
        <f>IF(ISNUMBER(benefit_original!H6),benefit_original!H6/100000000,benefit_original!H6)</f>
        <v>17.074407000000001</v>
      </c>
      <c r="I6" s="4">
        <f>IF(ISNUMBER(benefit_original!I6),benefit_original!I6/100000000,benefit_original!I6)</f>
        <v>18.858664000000001</v>
      </c>
      <c r="J6" s="4">
        <f>IF(ISNUMBER(benefit_original!J6),benefit_original!J6/100000000,benefit_original!J6)</f>
        <v>16.120303</v>
      </c>
      <c r="K6" s="4">
        <f>IF(ISNUMBER(benefit_original!K6),benefit_original!K6/100000000,benefit_original!K6)</f>
        <v>15.064322000000001</v>
      </c>
      <c r="L6" s="4">
        <f>IF(ISNUMBER(benefit_original!L6),benefit_original!L6/100000000,benefit_original!L6)</f>
        <v>15.185929</v>
      </c>
      <c r="M6" s="4">
        <f>IF(ISNUMBER(benefit_original!M6),benefit_original!M6/100000000,benefit_original!M6)</f>
        <v>16.669981</v>
      </c>
      <c r="N6" s="4">
        <f>IF(ISNUMBER(benefit_original!N6),benefit_original!N6/100000000,benefit_original!N6)</f>
        <v>17.622098999999999</v>
      </c>
      <c r="O6" s="4">
        <f>IF(ISNUMBER(benefit_original!O6),benefit_original!O6/100000000,benefit_original!O6)</f>
        <v>13.342307</v>
      </c>
      <c r="P6" s="4">
        <f>IF(ISNUMBER(benefit_original!P6),benefit_original!P6/100000000,benefit_original!P6)</f>
        <v>11.769977000000001</v>
      </c>
      <c r="Q6" s="4">
        <f>IF(ISNUMBER(benefit_original!Q6),benefit_original!Q6/100000000,benefit_original!Q6)</f>
        <v>11.847054</v>
      </c>
      <c r="R6" s="4">
        <f>IF(ISNUMBER(benefit_original!R6),benefit_original!R6/100000000,benefit_original!R6)</f>
        <v>7.4999099999999999</v>
      </c>
      <c r="S6" s="4">
        <f>IF(ISNUMBER(benefit_original!S6),benefit_original!S6/100000000,benefit_original!S6)</f>
        <v>7.1040570000000001</v>
      </c>
      <c r="T6" s="4">
        <f>IF(ISNUMBER(benefit_original!T6),benefit_original!T6/100000000,benefit_original!T6)</f>
        <v>7.6500199999999996</v>
      </c>
      <c r="U6" s="4">
        <f>IF(ISNUMBER(benefit_original!U6),benefit_original!U6/100000000,benefit_original!U6)</f>
        <v>7.9128980000000002</v>
      </c>
      <c r="V6" s="4">
        <f>IF(ISNUMBER(benefit_original!V6),benefit_original!V6/100000000,benefit_original!V6)</f>
        <v>5.8116969999999997</v>
      </c>
      <c r="W6" s="4">
        <f>IF(ISNUMBER(benefit_original!W6),benefit_original!W6/100000000,benefit_original!W6)</f>
        <v>5.860811</v>
      </c>
      <c r="X6" s="4">
        <f>IF(ISNUMBER(benefit_original!X6),benefit_original!X6/100000000,benefit_original!X6)</f>
        <v>5.7979690000000002</v>
      </c>
      <c r="Y6" s="4">
        <f>IF(ISNUMBER(benefit_original!Y6),benefit_original!Y6/100000000,benefit_original!Y6)</f>
        <v>7.4524319999999999</v>
      </c>
      <c r="Z6" s="4">
        <f>IF(ISNUMBER(benefit_original!Z6),benefit_original!Z6/100000000,benefit_original!Z6)</f>
        <v>6.0576400000000001</v>
      </c>
      <c r="AA6" s="4">
        <f>IF(ISNUMBER(benefit_original!AA6),benefit_original!AA6/100000000,benefit_original!AA6)</f>
        <v>4.8060809999999998</v>
      </c>
      <c r="AB6" s="4">
        <f>IF(ISNUMBER(benefit_original!AB6),benefit_original!AB6/100000000,benefit_original!AB6)</f>
        <v>5.0693520000000003</v>
      </c>
      <c r="AC6" s="4">
        <f>IF(ISNUMBER(benefit_original!AC6),benefit_original!AC6/100000000,benefit_original!AC6)</f>
        <v>7.5305530000000003</v>
      </c>
      <c r="AD6" s="4">
        <f>IF(ISNUMBER(benefit_original!AD6),benefit_original!AD6/100000000,benefit_original!AD6)</f>
        <v>5.0829829999999996</v>
      </c>
      <c r="AE6" s="4">
        <f>IF(ISNUMBER(benefit_original!AE6),benefit_original!AE6/100000000,benefit_original!AE6)</f>
        <v>4.5144539999999997</v>
      </c>
      <c r="AF6" s="4">
        <f>IF(ISNUMBER(benefit_original!AF6),benefit_original!AF6/100000000,benefit_original!AF6)</f>
        <v>4.8112120000000003</v>
      </c>
      <c r="AG6" s="4">
        <f>IF(ISNUMBER(benefit_original!AG6),benefit_original!AG6/100000000,benefit_original!AG6)</f>
        <v>4.1543039999999998</v>
      </c>
      <c r="AH6" s="4">
        <f>IF(ISNUMBER(benefit_original!AH6),benefit_original!AH6/100000000,benefit_original!AH6)</f>
        <v>5.6923069999999996</v>
      </c>
      <c r="AI6" s="4">
        <f>IF(ISNUMBER(benefit_original!AI6),benefit_original!AI6/100000000,benefit_original!AI6)</f>
        <v>5.7758989999999999</v>
      </c>
      <c r="AJ6" s="4">
        <f>IF(ISNUMBER(benefit_original!AJ6),benefit_original!AJ6/100000000,benefit_original!AJ6)</f>
        <v>4.8205539999999996</v>
      </c>
      <c r="AK6" s="4">
        <f>IF(ISNUMBER(benefit_original!AK6),benefit_original!AK6/100000000,benefit_original!AK6)</f>
        <v>3.9538690000000001</v>
      </c>
      <c r="AL6" s="4">
        <f>IF(ISNUMBER(benefit_original!AL6),benefit_original!AL6/100000000,benefit_original!AL6)</f>
        <v>3.1077469999999998</v>
      </c>
      <c r="AM6" s="4">
        <f>IF(ISNUMBER(benefit_original!AM6),benefit_original!AM6/100000000,benefit_original!AM6)</f>
        <v>4.5300929999999999</v>
      </c>
      <c r="AN6" s="4">
        <f>IF(ISNUMBER(benefit_original!AN6),benefit_original!AN6/100000000,benefit_original!AN6)</f>
        <v>3.9206310000000002</v>
      </c>
      <c r="AO6" s="4">
        <f>IF(ISNUMBER(benefit_original!AO6),benefit_original!AO6/100000000,benefit_original!AO6)</f>
        <v>2.3163649999999998</v>
      </c>
      <c r="AP6" s="4">
        <f>IF(ISNUMBER(benefit_original!AP6),benefit_original!AP6/100000000,benefit_original!AP6)</f>
        <v>2.5210490000000001</v>
      </c>
      <c r="AQ6" s="4">
        <f>IF(ISNUMBER(benefit_original!AQ6),benefit_original!AQ6/100000000,benefit_original!AQ6)</f>
        <v>2.7380339999999999</v>
      </c>
      <c r="AR6" s="3">
        <v>295386800</v>
      </c>
      <c r="AS6" s="3">
        <v>207465300</v>
      </c>
      <c r="AT6" s="3">
        <v>211587400</v>
      </c>
      <c r="AU6" s="3">
        <v>280171800</v>
      </c>
      <c r="AV6" s="3">
        <v>251448300</v>
      </c>
      <c r="AW6" s="3">
        <v>184773200</v>
      </c>
      <c r="AX6" s="3">
        <v>172885400</v>
      </c>
      <c r="AY6" s="3">
        <v>241244000</v>
      </c>
      <c r="AZ6" s="3">
        <v>200810700</v>
      </c>
      <c r="BA6" s="3">
        <v>209007100</v>
      </c>
      <c r="BB6" s="3">
        <v>273419700</v>
      </c>
      <c r="BC6" s="3">
        <v>151511800</v>
      </c>
      <c r="BD6" s="3">
        <v>237705000</v>
      </c>
      <c r="BE6" s="3">
        <v>251506600</v>
      </c>
      <c r="BF6" s="3">
        <v>200185000</v>
      </c>
      <c r="BG6" s="3">
        <v>109908900</v>
      </c>
      <c r="BH6" s="3">
        <v>224939700</v>
      </c>
      <c r="BI6" s="3">
        <v>236610300</v>
      </c>
      <c r="BJ6" s="3">
        <v>156367700</v>
      </c>
      <c r="BK6" s="3">
        <v>97413800</v>
      </c>
      <c r="BL6" s="3">
        <v>196715000</v>
      </c>
      <c r="BM6" s="3">
        <v>167121800</v>
      </c>
      <c r="BN6" s="3">
        <v>137993000</v>
      </c>
      <c r="BO6" s="3">
        <v>78697700</v>
      </c>
      <c r="BP6" s="3">
        <v>151243800</v>
      </c>
      <c r="BQ6" s="3">
        <v>174654800</v>
      </c>
      <c r="BR6" s="3">
        <v>105794500</v>
      </c>
      <c r="BS6" s="3">
        <v>60857900</v>
      </c>
      <c r="BT6" s="3">
        <v>136080900</v>
      </c>
      <c r="BU6" s="3">
        <v>109760700</v>
      </c>
      <c r="BV6" s="3">
        <v>72427200</v>
      </c>
      <c r="BW6" s="3">
        <v>42816700</v>
      </c>
      <c r="BX6" s="3">
        <v>115551800</v>
      </c>
      <c r="BY6" s="3" t="s">
        <v>133</v>
      </c>
    </row>
    <row r="7" spans="1:77" x14ac:dyDescent="0.25">
      <c r="A7" s="3" t="s">
        <v>136</v>
      </c>
      <c r="B7" s="4">
        <f>IF(ISNUMBER(benefit_original!B7),benefit_original!B7/100000000,benefit_original!B7)</f>
        <v>38.108386000000003</v>
      </c>
      <c r="C7" s="4">
        <f>IF(ISNUMBER(benefit_original!C7),benefit_original!C7/100000000,benefit_original!C7)</f>
        <v>31.557770000000001</v>
      </c>
      <c r="D7" s="4">
        <f>IF(ISNUMBER(benefit_original!D7),benefit_original!D7/100000000,benefit_original!D7)</f>
        <v>24.477429000000001</v>
      </c>
      <c r="E7" s="4">
        <f>IF(ISNUMBER(benefit_original!E7),benefit_original!E7/100000000,benefit_original!E7)</f>
        <v>47.861277000000001</v>
      </c>
      <c r="F7" s="4">
        <f>IF(ISNUMBER(benefit_original!F7),benefit_original!F7/100000000,benefit_original!F7)</f>
        <v>32.080010000000001</v>
      </c>
      <c r="G7" s="4">
        <f>IF(ISNUMBER(benefit_original!G7),benefit_original!G7/100000000,benefit_original!G7)</f>
        <v>23.320038</v>
      </c>
      <c r="H7" s="4">
        <f>IF(ISNUMBER(benefit_original!H7),benefit_original!H7/100000000,benefit_original!H7)</f>
        <v>24.071598999999999</v>
      </c>
      <c r="I7" s="4">
        <f>IF(ISNUMBER(benefit_original!I7),benefit_original!I7/100000000,benefit_original!I7)</f>
        <v>34.332414</v>
      </c>
      <c r="J7" s="4">
        <f>IF(ISNUMBER(benefit_original!J7),benefit_original!J7/100000000,benefit_original!J7)</f>
        <v>32.156855999999998</v>
      </c>
      <c r="K7" s="4">
        <f>IF(ISNUMBER(benefit_original!K7),benefit_original!K7/100000000,benefit_original!K7)</f>
        <v>21.144292</v>
      </c>
      <c r="L7" s="4">
        <f>IF(ISNUMBER(benefit_original!L7),benefit_original!L7/100000000,benefit_original!L7)</f>
        <v>25.255706</v>
      </c>
      <c r="M7" s="4">
        <f>IF(ISNUMBER(benefit_original!M7),benefit_original!M7/100000000,benefit_original!M7)</f>
        <v>19.802382999999999</v>
      </c>
      <c r="N7" s="4">
        <f>IF(ISNUMBER(benefit_original!N7),benefit_original!N7/100000000,benefit_original!N7)</f>
        <v>30.045597000000001</v>
      </c>
      <c r="O7" s="4">
        <f>IF(ISNUMBER(benefit_original!O7),benefit_original!O7/100000000,benefit_original!O7)</f>
        <v>14.461149000000001</v>
      </c>
      <c r="P7" s="4">
        <f>IF(ISNUMBER(benefit_original!P7),benefit_original!P7/100000000,benefit_original!P7)</f>
        <v>19.733017</v>
      </c>
      <c r="Q7" s="4">
        <f>IF(ISNUMBER(benefit_original!Q7),benefit_original!Q7/100000000,benefit_original!Q7)</f>
        <v>28.850425000000001</v>
      </c>
      <c r="R7" s="4">
        <f>IF(ISNUMBER(benefit_original!R7),benefit_original!R7/100000000,benefit_original!R7)</f>
        <v>14.182252</v>
      </c>
      <c r="S7" s="4">
        <f>IF(ISNUMBER(benefit_original!S7),benefit_original!S7/100000000,benefit_original!S7)</f>
        <v>10.250356999999999</v>
      </c>
      <c r="T7" s="4">
        <f>IF(ISNUMBER(benefit_original!T7),benefit_original!T7/100000000,benefit_original!T7)</f>
        <v>11.806229</v>
      </c>
      <c r="U7" s="4">
        <f>IF(ISNUMBER(benefit_original!U7),benefit_original!U7/100000000,benefit_original!U7)</f>
        <v>12.775651999999999</v>
      </c>
      <c r="V7" s="4">
        <f>IF(ISNUMBER(benefit_original!V7),benefit_original!V7/100000000,benefit_original!V7)</f>
        <v>7.2846539999999997</v>
      </c>
      <c r="W7" s="4">
        <f>IF(ISNUMBER(benefit_original!W7),benefit_original!W7/100000000,benefit_original!W7)</f>
        <v>6.3660220000000001</v>
      </c>
      <c r="X7" s="4">
        <f>IF(ISNUMBER(benefit_original!X7),benefit_original!X7/100000000,benefit_original!X7)</f>
        <v>8.0653780000000008</v>
      </c>
      <c r="Y7" s="4">
        <f>IF(ISNUMBER(benefit_original!Y7),benefit_original!Y7/100000000,benefit_original!Y7)</f>
        <v>7.8468559999999998</v>
      </c>
      <c r="Z7" s="4">
        <f>IF(ISNUMBER(benefit_original!Z7),benefit_original!Z7/100000000,benefit_original!Z7)</f>
        <v>7.3898700000000002</v>
      </c>
      <c r="AA7" s="4">
        <f>IF(ISNUMBER(benefit_original!AA7),benefit_original!AA7/100000000,benefit_original!AA7)</f>
        <v>5.6058070000000004</v>
      </c>
      <c r="AB7" s="4">
        <f>IF(ISNUMBER(benefit_original!AB7),benefit_original!AB7/100000000,benefit_original!AB7)</f>
        <v>7.0474119999999996</v>
      </c>
      <c r="AC7" s="4">
        <f>IF(ISNUMBER(benefit_original!AC7),benefit_original!AC7/100000000,benefit_original!AC7)</f>
        <v>8.1806929999999998</v>
      </c>
      <c r="AD7" s="4">
        <f>IF(ISNUMBER(benefit_original!AD7),benefit_original!AD7/100000000,benefit_original!AD7)</f>
        <v>8.7349209999999999</v>
      </c>
      <c r="AE7" s="4">
        <f>IF(ISNUMBER(benefit_original!AE7),benefit_original!AE7/100000000,benefit_original!AE7)</f>
        <v>5.1265359999999998</v>
      </c>
      <c r="AF7" s="4">
        <f>IF(ISNUMBER(benefit_original!AF7),benefit_original!AF7/100000000,benefit_original!AF7)</f>
        <v>5.865329</v>
      </c>
      <c r="AG7" s="4">
        <f>IF(ISNUMBER(benefit_original!AG7),benefit_original!AG7/100000000,benefit_original!AG7)</f>
        <v>7.8794820000000003</v>
      </c>
      <c r="AH7" s="4">
        <f>IF(ISNUMBER(benefit_original!AH7),benefit_original!AH7/100000000,benefit_original!AH7)</f>
        <v>4.2848709999999999</v>
      </c>
      <c r="AI7" s="4">
        <f>IF(ISNUMBER(benefit_original!AI7),benefit_original!AI7/100000000,benefit_original!AI7)</f>
        <v>5.4785620000000002</v>
      </c>
      <c r="AJ7" s="4">
        <f>IF(ISNUMBER(benefit_original!AJ7),benefit_original!AJ7/100000000,benefit_original!AJ7)</f>
        <v>8.0835329999999992</v>
      </c>
      <c r="AK7" s="4">
        <f>IF(ISNUMBER(benefit_original!AK7),benefit_original!AK7/100000000,benefit_original!AK7)</f>
        <v>5.4595120000000001</v>
      </c>
      <c r="AL7" s="4">
        <f>IF(ISNUMBER(benefit_original!AL7),benefit_original!AL7/100000000,benefit_original!AL7)</f>
        <v>6.5418329999999996</v>
      </c>
      <c r="AM7" s="4">
        <f>IF(ISNUMBER(benefit_original!AM7),benefit_original!AM7/100000000,benefit_original!AM7)</f>
        <v>5.6868210000000001</v>
      </c>
      <c r="AN7" s="4">
        <f>IF(ISNUMBER(benefit_original!AN7),benefit_original!AN7/100000000,benefit_original!AN7)</f>
        <v>7.0857520000000003</v>
      </c>
      <c r="AO7" s="4">
        <f>IF(ISNUMBER(benefit_original!AO7),benefit_original!AO7/100000000,benefit_original!AO7)</f>
        <v>1.6711910000000001</v>
      </c>
      <c r="AP7" s="4">
        <f>IF(ISNUMBER(benefit_original!AP7),benefit_original!AP7/100000000,benefit_original!AP7)</f>
        <v>5.5091359999999998</v>
      </c>
      <c r="AQ7" s="4">
        <f>IF(ISNUMBER(benefit_original!AQ7),benefit_original!AQ7/100000000,benefit_original!AQ7)</f>
        <v>3.182118</v>
      </c>
      <c r="AR7" s="3">
        <v>540768500</v>
      </c>
      <c r="AS7" s="3">
        <v>264315500</v>
      </c>
      <c r="AT7" s="3">
        <v>258164500</v>
      </c>
      <c r="AU7" s="3">
        <v>183319800</v>
      </c>
      <c r="AV7" s="3">
        <v>234708700</v>
      </c>
      <c r="AW7" s="3">
        <v>148043100</v>
      </c>
      <c r="AX7" s="3">
        <v>163246500</v>
      </c>
      <c r="AY7" s="3">
        <v>171826300</v>
      </c>
      <c r="AZ7" s="3">
        <v>198645600</v>
      </c>
      <c r="BA7" s="3">
        <v>191844500</v>
      </c>
      <c r="BB7" s="3">
        <v>120347400</v>
      </c>
      <c r="BC7" s="3">
        <v>100380400</v>
      </c>
      <c r="BD7" s="3">
        <v>191506700</v>
      </c>
      <c r="BE7" s="3">
        <v>152675900</v>
      </c>
      <c r="BF7" s="3">
        <v>124156600</v>
      </c>
      <c r="BG7" s="3">
        <v>119694200</v>
      </c>
      <c r="BH7" s="3">
        <v>178364100</v>
      </c>
      <c r="BI7" s="3">
        <v>123319700</v>
      </c>
      <c r="BJ7" s="3">
        <v>141327200</v>
      </c>
      <c r="BK7" s="3">
        <v>99682300</v>
      </c>
      <c r="BL7" s="3">
        <v>165915900</v>
      </c>
      <c r="BM7" s="3">
        <v>4460700</v>
      </c>
      <c r="BN7" s="3">
        <v>122310800</v>
      </c>
      <c r="BO7" s="3">
        <v>78267000</v>
      </c>
      <c r="BP7" s="3">
        <v>119817100</v>
      </c>
      <c r="BQ7" s="3">
        <v>39982600</v>
      </c>
      <c r="BR7" s="3">
        <v>106360300</v>
      </c>
      <c r="BS7" s="3">
        <v>40738400</v>
      </c>
      <c r="BT7" s="3">
        <v>121107800</v>
      </c>
      <c r="BU7" s="3">
        <v>91993300</v>
      </c>
      <c r="BV7" s="3">
        <v>67238600</v>
      </c>
      <c r="BW7" s="3">
        <v>36030100</v>
      </c>
      <c r="BX7" s="3">
        <v>124848200</v>
      </c>
      <c r="BY7" s="3" t="s">
        <v>133</v>
      </c>
    </row>
    <row r="8" spans="1:77" x14ac:dyDescent="0.25">
      <c r="A8" s="3" t="s">
        <v>12</v>
      </c>
      <c r="B8" s="4">
        <f>IF(ISNUMBER(benefit_original!B8),benefit_original!B8/100000000,benefit_original!B8)</f>
        <v>6.1252310000000003</v>
      </c>
      <c r="C8" s="4">
        <f>IF(ISNUMBER(benefit_original!C8),benefit_original!C8/100000000,benefit_original!C8)</f>
        <v>5.0202799999999996</v>
      </c>
      <c r="D8" s="4">
        <f>IF(ISNUMBER(benefit_original!D8),benefit_original!D8/100000000,benefit_original!D8)</f>
        <v>6.6130560000000003</v>
      </c>
      <c r="E8" s="4">
        <f>IF(ISNUMBER(benefit_original!E8),benefit_original!E8/100000000,benefit_original!E8)</f>
        <v>6.6500260000000004</v>
      </c>
      <c r="F8" s="4">
        <f>IF(ISNUMBER(benefit_original!F8),benefit_original!F8/100000000,benefit_original!F8)</f>
        <v>6.2702910000000003</v>
      </c>
      <c r="G8" s="4">
        <f>IF(ISNUMBER(benefit_original!G8),benefit_original!G8/100000000,benefit_original!G8)</f>
        <v>11.154560999999999</v>
      </c>
      <c r="H8" s="4">
        <f>IF(ISNUMBER(benefit_original!H8),benefit_original!H8/100000000,benefit_original!H8)</f>
        <v>8.7150309999999998</v>
      </c>
      <c r="I8" s="4">
        <f>IF(ISNUMBER(benefit_original!I8),benefit_original!I8/100000000,benefit_original!I8)</f>
        <v>-2.7349969999999999</v>
      </c>
      <c r="J8" s="4">
        <f>IF(ISNUMBER(benefit_original!J8),benefit_original!J8/100000000,benefit_original!J8)</f>
        <v>6.459886</v>
      </c>
      <c r="K8" s="4">
        <f>IF(ISNUMBER(benefit_original!K8),benefit_original!K8/100000000,benefit_original!K8)</f>
        <v>12.544975000000001</v>
      </c>
      <c r="L8" s="4">
        <f>IF(ISNUMBER(benefit_original!L8),benefit_original!L8/100000000,benefit_original!L8)</f>
        <v>9.4509050000000006</v>
      </c>
      <c r="M8" s="4">
        <f>IF(ISNUMBER(benefit_original!M8),benefit_original!M8/100000000,benefit_original!M8)</f>
        <v>10.081576</v>
      </c>
      <c r="N8" s="4">
        <f>IF(ISNUMBER(benefit_original!N8),benefit_original!N8/100000000,benefit_original!N8)</f>
        <v>5.9904039999999998</v>
      </c>
      <c r="O8" s="4">
        <f>IF(ISNUMBER(benefit_original!O8),benefit_original!O8/100000000,benefit_original!O8)</f>
        <v>5.2643639999999996</v>
      </c>
      <c r="P8" s="4">
        <f>IF(ISNUMBER(benefit_original!P8),benefit_original!P8/100000000,benefit_original!P8)</f>
        <v>8.5243409999999997</v>
      </c>
      <c r="Q8" s="4">
        <f>IF(ISNUMBER(benefit_original!Q8),benefit_original!Q8/100000000,benefit_original!Q8)</f>
        <v>10.259416999999999</v>
      </c>
      <c r="R8" s="4">
        <f>IF(ISNUMBER(benefit_original!R8),benefit_original!R8/100000000,benefit_original!R8)</f>
        <v>2.6768860000000001</v>
      </c>
      <c r="S8" s="4">
        <f>IF(ISNUMBER(benefit_original!S8),benefit_original!S8/100000000,benefit_original!S8)</f>
        <v>2.1703619999999999</v>
      </c>
      <c r="T8" s="4">
        <f>IF(ISNUMBER(benefit_original!T8),benefit_original!T8/100000000,benefit_original!T8)</f>
        <v>1.703854</v>
      </c>
      <c r="U8" s="4">
        <f>IF(ISNUMBER(benefit_original!U8),benefit_original!U8/100000000,benefit_original!U8)</f>
        <v>5.4955999999999996</v>
      </c>
      <c r="V8" s="4">
        <f>IF(ISNUMBER(benefit_original!V8),benefit_original!V8/100000000,benefit_original!V8)</f>
        <v>3.433875</v>
      </c>
      <c r="W8" s="4">
        <f>IF(ISNUMBER(benefit_original!W8),benefit_original!W8/100000000,benefit_original!W8)</f>
        <v>3.4941420000000001</v>
      </c>
      <c r="X8" s="4">
        <f>IF(ISNUMBER(benefit_original!X8),benefit_original!X8/100000000,benefit_original!X8)</f>
        <v>2.4259979999999999</v>
      </c>
      <c r="Y8" s="4">
        <f>IF(ISNUMBER(benefit_original!Y8),benefit_original!Y8/100000000,benefit_original!Y8)</f>
        <v>6.9802210000000002</v>
      </c>
      <c r="Z8" s="4">
        <f>IF(ISNUMBER(benefit_original!Z8),benefit_original!Z8/100000000,benefit_original!Z8)</f>
        <v>3.2990520000000001</v>
      </c>
      <c r="AA8" s="4">
        <f>IF(ISNUMBER(benefit_original!AA8),benefit_original!AA8/100000000,benefit_original!AA8)</f>
        <v>3.1766019999999999</v>
      </c>
      <c r="AB8" s="4">
        <f>IF(ISNUMBER(benefit_original!AB8),benefit_original!AB8/100000000,benefit_original!AB8)</f>
        <v>3.2914590000000001</v>
      </c>
      <c r="AC8" s="4">
        <f>IF(ISNUMBER(benefit_original!AC8),benefit_original!AC8/100000000,benefit_original!AC8)</f>
        <v>6.9258280000000001</v>
      </c>
      <c r="AD8" s="4">
        <f>IF(ISNUMBER(benefit_original!AD8),benefit_original!AD8/100000000,benefit_original!AD8)</f>
        <v>3.6575340000000001</v>
      </c>
      <c r="AE8" s="4">
        <f>IF(ISNUMBER(benefit_original!AE8),benefit_original!AE8/100000000,benefit_original!AE8)</f>
        <v>5.1576630000000003</v>
      </c>
      <c r="AF8" s="4">
        <f>IF(ISNUMBER(benefit_original!AF8),benefit_original!AF8/100000000,benefit_original!AF8)</f>
        <v>2.840303</v>
      </c>
      <c r="AG8" s="4">
        <f>IF(ISNUMBER(benefit_original!AG8),benefit_original!AG8/100000000,benefit_original!AG8)</f>
        <v>3.8250229999999998</v>
      </c>
      <c r="AH8" s="4">
        <f>IF(ISNUMBER(benefit_original!AH8),benefit_original!AH8/100000000,benefit_original!AH8)</f>
        <v>4.3547169999999999</v>
      </c>
      <c r="AI8" s="4">
        <f>IF(ISNUMBER(benefit_original!AI8),benefit_original!AI8/100000000,benefit_original!AI8)</f>
        <v>2.1644749999999999</v>
      </c>
      <c r="AJ8" s="4">
        <f>IF(ISNUMBER(benefit_original!AJ8),benefit_original!AJ8/100000000,benefit_original!AJ8)</f>
        <v>1.901319</v>
      </c>
      <c r="AK8" s="4">
        <f>IF(ISNUMBER(benefit_original!AK8),benefit_original!AK8/100000000,benefit_original!AK8)</f>
        <v>2.265504</v>
      </c>
      <c r="AL8" s="4">
        <f>IF(ISNUMBER(benefit_original!AL8),benefit_original!AL8/100000000,benefit_original!AL8)</f>
        <v>1.6917930000000001</v>
      </c>
      <c r="AM8" s="4">
        <f>IF(ISNUMBER(benefit_original!AM8),benefit_original!AM8/100000000,benefit_original!AM8)</f>
        <v>1.5738780000000001</v>
      </c>
      <c r="AN8" s="4">
        <f>IF(ISNUMBER(benefit_original!AN8),benefit_original!AN8/100000000,benefit_original!AN8)</f>
        <v>1.672102</v>
      </c>
      <c r="AO8" s="4">
        <f>IF(ISNUMBER(benefit_original!AO8),benefit_original!AO8/100000000,benefit_original!AO8)</f>
        <v>1.939587</v>
      </c>
      <c r="AP8" s="4">
        <f>IF(ISNUMBER(benefit_original!AP8),benefit_original!AP8/100000000,benefit_original!AP8)</f>
        <v>1.6781630000000001</v>
      </c>
      <c r="AQ8" s="4">
        <f>IF(ISNUMBER(benefit_original!AQ8),benefit_original!AQ8/100000000,benefit_original!AQ8)</f>
        <v>1.7003699999999999</v>
      </c>
      <c r="AR8" s="3">
        <v>144719700</v>
      </c>
      <c r="AS8" s="3">
        <v>181630800</v>
      </c>
      <c r="AT8" s="3">
        <v>124069500</v>
      </c>
      <c r="AU8" s="3">
        <v>134934900</v>
      </c>
      <c r="AV8" s="3">
        <v>180649100</v>
      </c>
      <c r="AW8" s="3">
        <v>76973000</v>
      </c>
      <c r="AX8" s="3">
        <v>113438800</v>
      </c>
      <c r="AY8" s="3">
        <v>97909100</v>
      </c>
      <c r="AZ8" s="3">
        <v>243703700</v>
      </c>
      <c r="BA8" s="3">
        <v>120689600</v>
      </c>
      <c r="BB8" s="3">
        <v>95962500</v>
      </c>
      <c r="BC8" s="3">
        <v>131255300</v>
      </c>
      <c r="BD8" s="3">
        <v>212477800</v>
      </c>
      <c r="BE8" s="3">
        <v>222760400</v>
      </c>
      <c r="BF8" s="3">
        <v>89749100</v>
      </c>
      <c r="BG8" s="3">
        <v>73201900</v>
      </c>
      <c r="BH8" s="3">
        <v>199195000</v>
      </c>
      <c r="BI8" s="3">
        <v>104718800</v>
      </c>
      <c r="BJ8" s="3">
        <v>134741700</v>
      </c>
      <c r="BK8" s="3">
        <v>82820500</v>
      </c>
      <c r="BL8" s="3">
        <v>153658400</v>
      </c>
      <c r="BM8" s="3">
        <v>38341000</v>
      </c>
      <c r="BN8" s="3">
        <v>138244800</v>
      </c>
      <c r="BO8" s="3">
        <v>60175900</v>
      </c>
      <c r="BP8" s="3">
        <v>139760600</v>
      </c>
      <c r="BQ8" s="3">
        <v>117497600</v>
      </c>
      <c r="BR8" s="3">
        <v>99287400</v>
      </c>
      <c r="BS8" s="3">
        <v>48515400</v>
      </c>
      <c r="BT8" s="3">
        <v>99955900</v>
      </c>
      <c r="BU8" s="3">
        <v>67810900</v>
      </c>
      <c r="BV8" s="3">
        <v>73044700</v>
      </c>
      <c r="BW8" s="3">
        <v>63384800</v>
      </c>
      <c r="BX8" s="3">
        <v>103936000</v>
      </c>
      <c r="BY8" s="3" t="s">
        <v>133</v>
      </c>
    </row>
    <row r="9" spans="1:77" x14ac:dyDescent="0.25">
      <c r="A9" s="3" t="s">
        <v>13</v>
      </c>
      <c r="B9" s="4">
        <f>IF(ISNUMBER(benefit_original!B9),benefit_original!B9/100000000,benefit_original!B9)</f>
        <v>15.769019</v>
      </c>
      <c r="C9" s="4">
        <f>IF(ISNUMBER(benefit_original!C9),benefit_original!C9/100000000,benefit_original!C9)</f>
        <v>14.127605000000001</v>
      </c>
      <c r="D9" s="4">
        <f>IF(ISNUMBER(benefit_original!D9),benefit_original!D9/100000000,benefit_original!D9)</f>
        <v>15.598532000000001</v>
      </c>
      <c r="E9" s="4">
        <f>IF(ISNUMBER(benefit_original!E9),benefit_original!E9/100000000,benefit_original!E9)</f>
        <v>20.285748999999999</v>
      </c>
      <c r="F9" s="4">
        <f>IF(ISNUMBER(benefit_original!F9),benefit_original!F9/100000000,benefit_original!F9)</f>
        <v>14.235493</v>
      </c>
      <c r="G9" s="4">
        <f>IF(ISNUMBER(benefit_original!G9),benefit_original!G9/100000000,benefit_original!G9)</f>
        <v>12.590555999999999</v>
      </c>
      <c r="H9" s="4">
        <f>IF(ISNUMBER(benefit_original!H9),benefit_original!H9/100000000,benefit_original!H9)</f>
        <v>14.56803</v>
      </c>
      <c r="I9" s="4">
        <f>IF(ISNUMBER(benefit_original!I9),benefit_original!I9/100000000,benefit_original!I9)</f>
        <v>16.416501</v>
      </c>
      <c r="J9" s="4">
        <f>IF(ISNUMBER(benefit_original!J9),benefit_original!J9/100000000,benefit_original!J9)</f>
        <v>12.311441</v>
      </c>
      <c r="K9" s="4">
        <f>IF(ISNUMBER(benefit_original!K9),benefit_original!K9/100000000,benefit_original!K9)</f>
        <v>12.516550000000001</v>
      </c>
      <c r="L9" s="4">
        <f>IF(ISNUMBER(benefit_original!L9),benefit_original!L9/100000000,benefit_original!L9)</f>
        <v>12.014915999999999</v>
      </c>
      <c r="M9" s="4">
        <f>IF(ISNUMBER(benefit_original!M9),benefit_original!M9/100000000,benefit_original!M9)</f>
        <v>15.980229</v>
      </c>
      <c r="N9" s="4">
        <f>IF(ISNUMBER(benefit_original!N9),benefit_original!N9/100000000,benefit_original!N9)</f>
        <v>10.715265</v>
      </c>
      <c r="O9" s="4">
        <f>IF(ISNUMBER(benefit_original!O9),benefit_original!O9/100000000,benefit_original!O9)</f>
        <v>9.1001569999999994</v>
      </c>
      <c r="P9" s="4">
        <f>IF(ISNUMBER(benefit_original!P9),benefit_original!P9/100000000,benefit_original!P9)</f>
        <v>11.222305</v>
      </c>
      <c r="Q9" s="4">
        <f>IF(ISNUMBER(benefit_original!Q9),benefit_original!Q9/100000000,benefit_original!Q9)</f>
        <v>14.010856</v>
      </c>
      <c r="R9" s="4">
        <f>IF(ISNUMBER(benefit_original!R9),benefit_original!R9/100000000,benefit_original!R9)</f>
        <v>9.2651240000000001</v>
      </c>
      <c r="S9" s="4">
        <f>IF(ISNUMBER(benefit_original!S9),benefit_original!S9/100000000,benefit_original!S9)</f>
        <v>9.5457879999999999</v>
      </c>
      <c r="T9" s="4">
        <f>IF(ISNUMBER(benefit_original!T9),benefit_original!T9/100000000,benefit_original!T9)</f>
        <v>9.0501299999999993</v>
      </c>
      <c r="U9" s="4">
        <f>IF(ISNUMBER(benefit_original!U9),benefit_original!U9/100000000,benefit_original!U9)</f>
        <v>12.202712999999999</v>
      </c>
      <c r="V9" s="4">
        <f>IF(ISNUMBER(benefit_original!V9),benefit_original!V9/100000000,benefit_original!V9)</f>
        <v>7.6544910000000002</v>
      </c>
      <c r="W9" s="4">
        <f>IF(ISNUMBER(benefit_original!W9),benefit_original!W9/100000000,benefit_original!W9)</f>
        <v>9.0721120000000006</v>
      </c>
      <c r="X9" s="4">
        <f>IF(ISNUMBER(benefit_original!X9),benefit_original!X9/100000000,benefit_original!X9)</f>
        <v>9.1992039999999999</v>
      </c>
      <c r="Y9" s="4">
        <f>IF(ISNUMBER(benefit_original!Y9),benefit_original!Y9/100000000,benefit_original!Y9)</f>
        <v>10.415418000000001</v>
      </c>
      <c r="Z9" s="4">
        <f>IF(ISNUMBER(benefit_original!Z9),benefit_original!Z9/100000000,benefit_original!Z9)</f>
        <v>8.4414929999999995</v>
      </c>
      <c r="AA9" s="4">
        <f>IF(ISNUMBER(benefit_original!AA9),benefit_original!AA9/100000000,benefit_original!AA9)</f>
        <v>7.6186119999999997</v>
      </c>
      <c r="AB9" s="4">
        <f>IF(ISNUMBER(benefit_original!AB9),benefit_original!AB9/100000000,benefit_original!AB9)</f>
        <v>7.3094720000000004</v>
      </c>
      <c r="AC9" s="4">
        <f>IF(ISNUMBER(benefit_original!AC9),benefit_original!AC9/100000000,benefit_original!AC9)</f>
        <v>10.913073000000001</v>
      </c>
      <c r="AD9" s="4">
        <f>IF(ISNUMBER(benefit_original!AD9),benefit_original!AD9/100000000,benefit_original!AD9)</f>
        <v>5.9155559999999996</v>
      </c>
      <c r="AE9" s="4">
        <f>IF(ISNUMBER(benefit_original!AE9),benefit_original!AE9/100000000,benefit_original!AE9)</f>
        <v>5.9343690000000002</v>
      </c>
      <c r="AF9" s="4">
        <f>IF(ISNUMBER(benefit_original!AF9),benefit_original!AF9/100000000,benefit_original!AF9)</f>
        <v>5.584409</v>
      </c>
      <c r="AG9" s="4">
        <f>IF(ISNUMBER(benefit_original!AG9),benefit_original!AG9/100000000,benefit_original!AG9)</f>
        <v>9.1605650000000001</v>
      </c>
      <c r="AH9" s="4">
        <f>IF(ISNUMBER(benefit_original!AH9),benefit_original!AH9/100000000,benefit_original!AH9)</f>
        <v>4.5647130000000002</v>
      </c>
      <c r="AI9" s="4">
        <f>IF(ISNUMBER(benefit_original!AI9),benefit_original!AI9/100000000,benefit_original!AI9)</f>
        <v>3.718356</v>
      </c>
      <c r="AJ9" s="4">
        <f>IF(ISNUMBER(benefit_original!AJ9),benefit_original!AJ9/100000000,benefit_original!AJ9)</f>
        <v>4.5982719999999997</v>
      </c>
      <c r="AK9" s="4">
        <f>IF(ISNUMBER(benefit_original!AK9),benefit_original!AK9/100000000,benefit_original!AK9)</f>
        <v>6.7255440000000002</v>
      </c>
      <c r="AL9" s="4">
        <f>IF(ISNUMBER(benefit_original!AL9),benefit_original!AL9/100000000,benefit_original!AL9)</f>
        <v>3.5836220000000001</v>
      </c>
      <c r="AM9" s="4">
        <f>IF(ISNUMBER(benefit_original!AM9),benefit_original!AM9/100000000,benefit_original!AM9)</f>
        <v>2.8892660000000001</v>
      </c>
      <c r="AN9" s="4">
        <f>IF(ISNUMBER(benefit_original!AN9),benefit_original!AN9/100000000,benefit_original!AN9)</f>
        <v>3.540292</v>
      </c>
      <c r="AO9" s="4">
        <f>IF(ISNUMBER(benefit_original!AO9),benefit_original!AO9/100000000,benefit_original!AO9)</f>
        <v>4.9479759999999997</v>
      </c>
      <c r="AP9" s="4">
        <f>IF(ISNUMBER(benefit_original!AP9),benefit_original!AP9/100000000,benefit_original!AP9)</f>
        <v>2.9035220000000002</v>
      </c>
      <c r="AQ9" s="4">
        <f>IF(ISNUMBER(benefit_original!AQ9),benefit_original!AQ9/100000000,benefit_original!AQ9)</f>
        <v>2.511736</v>
      </c>
      <c r="AR9" s="3">
        <v>309690800</v>
      </c>
      <c r="AS9" s="3">
        <v>484010400</v>
      </c>
      <c r="AT9" s="3">
        <v>269244300</v>
      </c>
      <c r="AU9" s="3">
        <v>241375800</v>
      </c>
      <c r="AV9" s="3">
        <v>222528000</v>
      </c>
      <c r="AW9" s="3">
        <v>405098500</v>
      </c>
      <c r="AX9" s="3">
        <v>166366800</v>
      </c>
      <c r="AY9" s="3">
        <v>201260300</v>
      </c>
      <c r="AZ9" s="3">
        <v>168448500</v>
      </c>
      <c r="BA9" s="3">
        <v>247362500</v>
      </c>
      <c r="BB9" s="3">
        <v>197926600</v>
      </c>
      <c r="BC9" s="3">
        <v>178327000</v>
      </c>
      <c r="BD9" s="3">
        <v>99539500</v>
      </c>
      <c r="BE9" s="3">
        <v>236713100</v>
      </c>
      <c r="BF9" s="3">
        <v>102506200</v>
      </c>
      <c r="BG9" s="3">
        <v>73749800</v>
      </c>
      <c r="BH9" s="3">
        <v>82982500</v>
      </c>
      <c r="BI9" s="3">
        <v>134180500</v>
      </c>
      <c r="BJ9" s="3">
        <v>74003600</v>
      </c>
      <c r="BK9" s="3">
        <v>68709900</v>
      </c>
      <c r="BL9" s="3">
        <v>73791100</v>
      </c>
      <c r="BM9" s="3">
        <v>120938500</v>
      </c>
      <c r="BN9" s="3">
        <v>64198600</v>
      </c>
      <c r="BO9" s="3">
        <v>78224900</v>
      </c>
      <c r="BP9" s="3">
        <v>48201000</v>
      </c>
      <c r="BQ9" s="3">
        <v>138556200</v>
      </c>
      <c r="BR9" s="3">
        <v>56090900</v>
      </c>
      <c r="BS9" s="3">
        <v>58281300</v>
      </c>
      <c r="BT9" s="3">
        <v>38951800</v>
      </c>
      <c r="BU9" s="3">
        <v>84353100</v>
      </c>
      <c r="BV9" s="3">
        <v>74285000</v>
      </c>
      <c r="BW9" s="3">
        <v>40738700</v>
      </c>
      <c r="BX9" s="3">
        <v>39164500</v>
      </c>
      <c r="BY9" s="3" t="s">
        <v>133</v>
      </c>
    </row>
    <row r="10" spans="1:77" x14ac:dyDescent="0.25">
      <c r="A10" s="3" t="s">
        <v>14</v>
      </c>
      <c r="B10" s="4">
        <f>IF(ISNUMBER(benefit_original!B10),benefit_original!B10/100000000,benefit_original!B10)</f>
        <v>0.14303399999999999</v>
      </c>
      <c r="C10" s="4">
        <f>IF(ISNUMBER(benefit_original!C10),benefit_original!C10/100000000,benefit_original!C10)</f>
        <v>0.13241900000000001</v>
      </c>
      <c r="D10" s="4">
        <f>IF(ISNUMBER(benefit_original!D10),benefit_original!D10/100000000,benefit_original!D10)</f>
        <v>0.103496</v>
      </c>
      <c r="E10" s="4">
        <f>IF(ISNUMBER(benefit_original!E10),benefit_original!E10/100000000,benefit_original!E10)</f>
        <v>-0.16462299999999999</v>
      </c>
      <c r="F10" s="4">
        <f>IF(ISNUMBER(benefit_original!F10),benefit_original!F10/100000000,benefit_original!F10)</f>
        <v>0.12554999999999999</v>
      </c>
      <c r="G10" s="4">
        <f>IF(ISNUMBER(benefit_original!G10),benefit_original!G10/100000000,benefit_original!G10)</f>
        <v>0.436921</v>
      </c>
      <c r="H10" s="4">
        <f>IF(ISNUMBER(benefit_original!H10),benefit_original!H10/100000000,benefit_original!H10)</f>
        <v>8.9040999999999995E-2</v>
      </c>
      <c r="I10" s="4">
        <f>IF(ISNUMBER(benefit_original!I10),benefit_original!I10/100000000,benefit_original!I10)</f>
        <v>6.7511000000000002E-2</v>
      </c>
      <c r="J10" s="4">
        <f>IF(ISNUMBER(benefit_original!J10),benefit_original!J10/100000000,benefit_original!J10)</f>
        <v>7.9336000000000004E-2</v>
      </c>
      <c r="K10" s="4">
        <f>IF(ISNUMBER(benefit_original!K10),benefit_original!K10/100000000,benefit_original!K10)</f>
        <v>4.5557E-2</v>
      </c>
      <c r="L10" s="4">
        <f>IF(ISNUMBER(benefit_original!L10),benefit_original!L10/100000000,benefit_original!L10)</f>
        <v>2.7132E-2</v>
      </c>
      <c r="M10" s="4">
        <f>IF(ISNUMBER(benefit_original!M10),benefit_original!M10/100000000,benefit_original!M10)</f>
        <v>7.4810000000000001E-2</v>
      </c>
      <c r="N10" s="4" t="str">
        <f>IF(ISNUMBER(benefit_original!N10),benefit_original!N10/100000000,benefit_original!N10)</f>
        <v>--</v>
      </c>
      <c r="O10" s="4" t="str">
        <f>IF(ISNUMBER(benefit_original!O10),benefit_original!O10/100000000,benefit_original!O10)</f>
        <v>--</v>
      </c>
      <c r="P10" s="4" t="str">
        <f>IF(ISNUMBER(benefit_original!P10),benefit_original!P10/100000000,benefit_original!P10)</f>
        <v>--</v>
      </c>
      <c r="Q10" s="4" t="str">
        <f>IF(ISNUMBER(benefit_original!Q10),benefit_original!Q10/100000000,benefit_original!Q10)</f>
        <v>--</v>
      </c>
      <c r="R10" s="4" t="str">
        <f>IF(ISNUMBER(benefit_original!R10),benefit_original!R10/100000000,benefit_original!R10)</f>
        <v>--</v>
      </c>
      <c r="S10" s="4" t="str">
        <f>IF(ISNUMBER(benefit_original!S10),benefit_original!S10/100000000,benefit_original!S10)</f>
        <v>--</v>
      </c>
      <c r="T10" s="4" t="str">
        <f>IF(ISNUMBER(benefit_original!T10),benefit_original!T10/100000000,benefit_original!T10)</f>
        <v>--</v>
      </c>
      <c r="U10" s="4" t="str">
        <f>IF(ISNUMBER(benefit_original!U10),benefit_original!U10/100000000,benefit_original!U10)</f>
        <v>--</v>
      </c>
      <c r="V10" s="4" t="str">
        <f>IF(ISNUMBER(benefit_original!V10),benefit_original!V10/100000000,benefit_original!V10)</f>
        <v>--</v>
      </c>
      <c r="W10" s="4" t="str">
        <f>IF(ISNUMBER(benefit_original!W10),benefit_original!W10/100000000,benefit_original!W10)</f>
        <v>--</v>
      </c>
      <c r="X10" s="4" t="str">
        <f>IF(ISNUMBER(benefit_original!X10),benefit_original!X10/100000000,benefit_original!X10)</f>
        <v>--</v>
      </c>
      <c r="Y10" s="4" t="str">
        <f>IF(ISNUMBER(benefit_original!Y10),benefit_original!Y10/100000000,benefit_original!Y10)</f>
        <v>--</v>
      </c>
      <c r="Z10" s="4" t="str">
        <f>IF(ISNUMBER(benefit_original!Z10),benefit_original!Z10/100000000,benefit_original!Z10)</f>
        <v>--</v>
      </c>
      <c r="AA10" s="4" t="str">
        <f>IF(ISNUMBER(benefit_original!AA10),benefit_original!AA10/100000000,benefit_original!AA10)</f>
        <v>--</v>
      </c>
      <c r="AB10" s="4" t="str">
        <f>IF(ISNUMBER(benefit_original!AB10),benefit_original!AB10/100000000,benefit_original!AB10)</f>
        <v>--</v>
      </c>
      <c r="AC10" s="4" t="str">
        <f>IF(ISNUMBER(benefit_original!AC10),benefit_original!AC10/100000000,benefit_original!AC10)</f>
        <v>--</v>
      </c>
      <c r="AD10" s="4" t="str">
        <f>IF(ISNUMBER(benefit_original!AD10),benefit_original!AD10/100000000,benefit_original!AD10)</f>
        <v>--</v>
      </c>
      <c r="AE10" s="4" t="str">
        <f>IF(ISNUMBER(benefit_original!AE10),benefit_original!AE10/100000000,benefit_original!AE10)</f>
        <v>--</v>
      </c>
      <c r="AF10" s="4" t="str">
        <f>IF(ISNUMBER(benefit_original!AF10),benefit_original!AF10/100000000,benefit_original!AF10)</f>
        <v>--</v>
      </c>
      <c r="AG10" s="4" t="str">
        <f>IF(ISNUMBER(benefit_original!AG10),benefit_original!AG10/100000000,benefit_original!AG10)</f>
        <v>--</v>
      </c>
      <c r="AH10" s="4" t="str">
        <f>IF(ISNUMBER(benefit_original!AH10),benefit_original!AH10/100000000,benefit_original!AH10)</f>
        <v>--</v>
      </c>
      <c r="AI10" s="4" t="str">
        <f>IF(ISNUMBER(benefit_original!AI10),benefit_original!AI10/100000000,benefit_original!AI10)</f>
        <v>--</v>
      </c>
      <c r="AJ10" s="4" t="str">
        <f>IF(ISNUMBER(benefit_original!AJ10),benefit_original!AJ10/100000000,benefit_original!AJ10)</f>
        <v>--</v>
      </c>
      <c r="AK10" s="4" t="str">
        <f>IF(ISNUMBER(benefit_original!AK10),benefit_original!AK10/100000000,benefit_original!AK10)</f>
        <v>--</v>
      </c>
      <c r="AL10" s="4" t="str">
        <f>IF(ISNUMBER(benefit_original!AL10),benefit_original!AL10/100000000,benefit_original!AL10)</f>
        <v>--</v>
      </c>
      <c r="AM10" s="4" t="str">
        <f>IF(ISNUMBER(benefit_original!AM10),benefit_original!AM10/100000000,benefit_original!AM10)</f>
        <v>--</v>
      </c>
      <c r="AN10" s="4" t="str">
        <f>IF(ISNUMBER(benefit_original!AN10),benefit_original!AN10/100000000,benefit_original!AN10)</f>
        <v>--</v>
      </c>
      <c r="AO10" s="4" t="str">
        <f>IF(ISNUMBER(benefit_original!AO10),benefit_original!AO10/100000000,benefit_original!AO10)</f>
        <v>--</v>
      </c>
      <c r="AP10" s="4" t="str">
        <f>IF(ISNUMBER(benefit_original!AP10),benefit_original!AP10/100000000,benefit_original!AP10)</f>
        <v>--</v>
      </c>
      <c r="AQ10" s="4" t="str">
        <f>IF(ISNUMBER(benefit_original!AQ10),benefit_original!AQ10/100000000,benefit_original!AQ10)</f>
        <v>--</v>
      </c>
      <c r="AR10" s="3" t="s">
        <v>133</v>
      </c>
      <c r="AS10" s="3" t="s">
        <v>133</v>
      </c>
      <c r="AT10" s="3" t="s">
        <v>133</v>
      </c>
      <c r="AU10" s="3" t="s">
        <v>133</v>
      </c>
      <c r="AV10" s="3" t="s">
        <v>133</v>
      </c>
      <c r="AW10" s="3" t="s">
        <v>133</v>
      </c>
      <c r="AX10" s="3" t="s">
        <v>133</v>
      </c>
      <c r="AY10" s="3" t="s">
        <v>133</v>
      </c>
      <c r="AZ10" s="3" t="s">
        <v>133</v>
      </c>
      <c r="BA10" s="3" t="s">
        <v>133</v>
      </c>
      <c r="BB10" s="3" t="s">
        <v>133</v>
      </c>
      <c r="BC10" s="3" t="s">
        <v>133</v>
      </c>
      <c r="BD10" s="3" t="s">
        <v>133</v>
      </c>
      <c r="BE10" s="3" t="s">
        <v>133</v>
      </c>
      <c r="BF10" s="3" t="s">
        <v>133</v>
      </c>
      <c r="BG10" s="3" t="s">
        <v>133</v>
      </c>
      <c r="BH10" s="3" t="s">
        <v>133</v>
      </c>
      <c r="BI10" s="3" t="s">
        <v>133</v>
      </c>
      <c r="BJ10" s="3" t="s">
        <v>133</v>
      </c>
      <c r="BK10" s="3" t="s">
        <v>133</v>
      </c>
      <c r="BL10" s="3" t="s">
        <v>133</v>
      </c>
      <c r="BM10" s="3" t="s">
        <v>133</v>
      </c>
      <c r="BN10" s="3" t="s">
        <v>133</v>
      </c>
      <c r="BO10" s="3" t="s">
        <v>133</v>
      </c>
      <c r="BP10" s="3" t="s">
        <v>133</v>
      </c>
      <c r="BQ10" s="3" t="s">
        <v>133</v>
      </c>
      <c r="BR10" s="3" t="s">
        <v>133</v>
      </c>
      <c r="BS10" s="3" t="s">
        <v>133</v>
      </c>
      <c r="BT10" s="3" t="s">
        <v>133</v>
      </c>
      <c r="BU10" s="3" t="s">
        <v>133</v>
      </c>
      <c r="BV10" s="3" t="s">
        <v>133</v>
      </c>
      <c r="BW10" s="3" t="s">
        <v>133</v>
      </c>
      <c r="BX10" s="3" t="s">
        <v>133</v>
      </c>
      <c r="BY10" s="3" t="s">
        <v>133</v>
      </c>
    </row>
    <row r="11" spans="1:77" x14ac:dyDescent="0.25">
      <c r="A11" s="3" t="s">
        <v>15</v>
      </c>
      <c r="B11" s="4">
        <f>IF(ISNUMBER(benefit_original!B11),benefit_original!B11/100000000,benefit_original!B11)</f>
        <v>-0.82458699999999996</v>
      </c>
      <c r="C11" s="4">
        <f>IF(ISNUMBER(benefit_original!C11),benefit_original!C11/100000000,benefit_original!C11)</f>
        <v>-0.67709900000000001</v>
      </c>
      <c r="D11" s="4">
        <f>IF(ISNUMBER(benefit_original!D11),benefit_original!D11/100000000,benefit_original!D11)</f>
        <v>-5.1351000000000001E-2</v>
      </c>
      <c r="E11" s="4">
        <f>IF(ISNUMBER(benefit_original!E11),benefit_original!E11/100000000,benefit_original!E11)</f>
        <v>0.08</v>
      </c>
      <c r="F11" s="4">
        <f>IF(ISNUMBER(benefit_original!F11),benefit_original!F11/100000000,benefit_original!F11)</f>
        <v>1.3708E-2</v>
      </c>
      <c r="G11" s="4">
        <f>IF(ISNUMBER(benefit_original!G11),benefit_original!G11/100000000,benefit_original!G11)</f>
        <v>-1.5753E-2</v>
      </c>
      <c r="H11" s="4">
        <f>IF(ISNUMBER(benefit_original!H11),benefit_original!H11/100000000,benefit_original!H11)</f>
        <v>-3.375E-3</v>
      </c>
      <c r="I11" s="4">
        <f>IF(ISNUMBER(benefit_original!I11),benefit_original!I11/100000000,benefit_original!I11)</f>
        <v>8.6289999999999995E-3</v>
      </c>
      <c r="J11" s="4">
        <f>IF(ISNUMBER(benefit_original!J11),benefit_original!J11/100000000,benefit_original!J11)</f>
        <v>-1.5950000000000001E-3</v>
      </c>
      <c r="K11" s="4">
        <f>IF(ISNUMBER(benefit_original!K11),benefit_original!K11/100000000,benefit_original!K11)</f>
        <v>-7.6400000000000001E-3</v>
      </c>
      <c r="L11" s="4">
        <f>IF(ISNUMBER(benefit_original!L11),benefit_original!L11/100000000,benefit_original!L11)</f>
        <v>-3.4605999999999998E-2</v>
      </c>
      <c r="M11" s="4">
        <f>IF(ISNUMBER(benefit_original!M11),benefit_original!M11/100000000,benefit_original!M11)</f>
        <v>-0.164491</v>
      </c>
      <c r="N11" s="4">
        <f>IF(ISNUMBER(benefit_original!N11),benefit_original!N11/100000000,benefit_original!N11)</f>
        <v>-1.7680000000000001E-2</v>
      </c>
      <c r="O11" s="4">
        <f>IF(ISNUMBER(benefit_original!O11),benefit_original!O11/100000000,benefit_original!O11)</f>
        <v>-8.0109E-2</v>
      </c>
      <c r="P11" s="4">
        <f>IF(ISNUMBER(benefit_original!P11),benefit_original!P11/100000000,benefit_original!P11)</f>
        <v>-0.29494300000000001</v>
      </c>
      <c r="Q11" s="4">
        <f>IF(ISNUMBER(benefit_original!Q11),benefit_original!Q11/100000000,benefit_original!Q11)</f>
        <v>-0.31873200000000002</v>
      </c>
      <c r="R11" s="4">
        <f>IF(ISNUMBER(benefit_original!R11),benefit_original!R11/100000000,benefit_original!R11)</f>
        <v>0.109241</v>
      </c>
      <c r="S11" s="4">
        <f>IF(ISNUMBER(benefit_original!S11),benefit_original!S11/100000000,benefit_original!S11)</f>
        <v>-9.1947000000000001E-2</v>
      </c>
      <c r="T11" s="4">
        <f>IF(ISNUMBER(benefit_original!T11),benefit_original!T11/100000000,benefit_original!T11)</f>
        <v>-3.0314000000000001E-2</v>
      </c>
      <c r="U11" s="4">
        <f>IF(ISNUMBER(benefit_original!U11),benefit_original!U11/100000000,benefit_original!U11)</f>
        <v>-0.15134700000000001</v>
      </c>
      <c r="V11" s="4">
        <f>IF(ISNUMBER(benefit_original!V11),benefit_original!V11/100000000,benefit_original!V11)</f>
        <v>-0.33136500000000002</v>
      </c>
      <c r="W11" s="4">
        <f>IF(ISNUMBER(benefit_original!W11),benefit_original!W11/100000000,benefit_original!W11)</f>
        <v>-0.125226</v>
      </c>
      <c r="X11" s="4">
        <f>IF(ISNUMBER(benefit_original!X11),benefit_original!X11/100000000,benefit_original!X11)</f>
        <v>-6.4729999999999996E-2</v>
      </c>
      <c r="Y11" s="4">
        <f>IF(ISNUMBER(benefit_original!Y11),benefit_original!Y11/100000000,benefit_original!Y11)</f>
        <v>-0.27396700000000002</v>
      </c>
      <c r="Z11" s="4">
        <f>IF(ISNUMBER(benefit_original!Z11),benefit_original!Z11/100000000,benefit_original!Z11)</f>
        <v>-0.41882900000000001</v>
      </c>
      <c r="AA11" s="4">
        <f>IF(ISNUMBER(benefit_original!AA11),benefit_original!AA11/100000000,benefit_original!AA11)</f>
        <v>-0.29765999999999998</v>
      </c>
      <c r="AB11" s="4">
        <f>IF(ISNUMBER(benefit_original!AB11),benefit_original!AB11/100000000,benefit_original!AB11)</f>
        <v>-0.241232</v>
      </c>
      <c r="AC11" s="4">
        <f>IF(ISNUMBER(benefit_original!AC11),benefit_original!AC11/100000000,benefit_original!AC11)</f>
        <v>-0.85247499999999998</v>
      </c>
      <c r="AD11" s="4">
        <f>IF(ISNUMBER(benefit_original!AD11),benefit_original!AD11/100000000,benefit_original!AD11)</f>
        <v>-1.0503629999999999</v>
      </c>
      <c r="AE11" s="4">
        <f>IF(ISNUMBER(benefit_original!AE11),benefit_original!AE11/100000000,benefit_original!AE11)</f>
        <v>-1.242713</v>
      </c>
      <c r="AF11" s="4">
        <f>IF(ISNUMBER(benefit_original!AF11),benefit_original!AF11/100000000,benefit_original!AF11)</f>
        <v>-1.145192</v>
      </c>
      <c r="AG11" s="4">
        <f>IF(ISNUMBER(benefit_original!AG11),benefit_original!AG11/100000000,benefit_original!AG11)</f>
        <v>-1.235107</v>
      </c>
      <c r="AH11" s="4">
        <f>IF(ISNUMBER(benefit_original!AH11),benefit_original!AH11/100000000,benefit_original!AH11)</f>
        <v>-1.102644</v>
      </c>
      <c r="AI11" s="4">
        <f>IF(ISNUMBER(benefit_original!AI11),benefit_original!AI11/100000000,benefit_original!AI11)</f>
        <v>-0.89881999999999995</v>
      </c>
      <c r="AJ11" s="4">
        <f>IF(ISNUMBER(benefit_original!AJ11),benefit_original!AJ11/100000000,benefit_original!AJ11)</f>
        <v>-0.97318800000000005</v>
      </c>
      <c r="AK11" s="4">
        <f>IF(ISNUMBER(benefit_original!AK11),benefit_original!AK11/100000000,benefit_original!AK11)</f>
        <v>-1.32938</v>
      </c>
      <c r="AL11" s="4">
        <f>IF(ISNUMBER(benefit_original!AL11),benefit_original!AL11/100000000,benefit_original!AL11)</f>
        <v>-0.68925000000000003</v>
      </c>
      <c r="AM11" s="4">
        <f>IF(ISNUMBER(benefit_original!AM11),benefit_original!AM11/100000000,benefit_original!AM11)</f>
        <v>-0.95414900000000002</v>
      </c>
      <c r="AN11" s="4">
        <f>IF(ISNUMBER(benefit_original!AN11),benefit_original!AN11/100000000,benefit_original!AN11)</f>
        <v>-0.53473700000000002</v>
      </c>
      <c r="AO11" s="4">
        <f>IF(ISNUMBER(benefit_original!AO11),benefit_original!AO11/100000000,benefit_original!AO11)</f>
        <v>-0.39246399999999998</v>
      </c>
      <c r="AP11" s="4">
        <f>IF(ISNUMBER(benefit_original!AP11),benefit_original!AP11/100000000,benefit_original!AP11)</f>
        <v>-0.375558</v>
      </c>
      <c r="AQ11" s="4">
        <f>IF(ISNUMBER(benefit_original!AQ11),benefit_original!AQ11/100000000,benefit_original!AQ11)</f>
        <v>-0.53526799999999997</v>
      </c>
      <c r="AR11" s="3">
        <v>-46248000</v>
      </c>
      <c r="AS11" s="3">
        <v>-43206700</v>
      </c>
      <c r="AT11" s="3">
        <v>-2644700</v>
      </c>
      <c r="AU11" s="3">
        <v>-6477300</v>
      </c>
      <c r="AV11" s="3">
        <v>-81307400</v>
      </c>
      <c r="AW11" s="3">
        <v>-40318700</v>
      </c>
      <c r="AX11" s="3">
        <v>-16059500</v>
      </c>
      <c r="AY11" s="3">
        <v>-6442100</v>
      </c>
      <c r="AZ11" s="3">
        <v>-39680500</v>
      </c>
      <c r="BA11" s="3">
        <v>-6585800</v>
      </c>
      <c r="BB11" s="3">
        <v>-5191900</v>
      </c>
      <c r="BC11" s="3">
        <v>-6214200</v>
      </c>
      <c r="BD11" s="3">
        <v>-26751900</v>
      </c>
      <c r="BE11" s="3">
        <v>-10811100</v>
      </c>
      <c r="BF11" s="3">
        <v>-7780900</v>
      </c>
      <c r="BG11" s="3">
        <v>-3890000</v>
      </c>
      <c r="BH11" s="3">
        <v>-2828600</v>
      </c>
      <c r="BI11" s="3">
        <v>-18038700</v>
      </c>
      <c r="BJ11" s="3">
        <v>-6118000</v>
      </c>
      <c r="BK11" s="3">
        <v>-4361000</v>
      </c>
      <c r="BL11" s="3">
        <v>-3746900</v>
      </c>
      <c r="BM11" s="3">
        <v>-3686700</v>
      </c>
      <c r="BN11" s="3">
        <v>-12348200</v>
      </c>
      <c r="BO11" s="3">
        <v>-3211400</v>
      </c>
      <c r="BP11" s="3">
        <v>-6747400</v>
      </c>
      <c r="BQ11" s="3">
        <v>-3805200</v>
      </c>
      <c r="BR11" s="3">
        <v>-7873900</v>
      </c>
      <c r="BS11" s="3">
        <v>-2159900</v>
      </c>
      <c r="BT11" s="3">
        <v>-2211100</v>
      </c>
      <c r="BU11" s="3">
        <v>-2202100</v>
      </c>
      <c r="BV11" s="3">
        <v>-3349200</v>
      </c>
      <c r="BW11" s="3">
        <v>-9248300</v>
      </c>
      <c r="BX11" s="3">
        <v>-2662000</v>
      </c>
      <c r="BY11" s="3" t="s">
        <v>133</v>
      </c>
    </row>
    <row r="12" spans="1:77" x14ac:dyDescent="0.25">
      <c r="A12" s="3" t="s">
        <v>137</v>
      </c>
      <c r="B12" s="4" t="str">
        <f>IF(ISNUMBER(benefit_original!B12),benefit_original!B12/100000000,benefit_original!B12)</f>
        <v>--</v>
      </c>
      <c r="C12" s="4" t="str">
        <f>IF(ISNUMBER(benefit_original!C12),benefit_original!C12/100000000,benefit_original!C12)</f>
        <v>--</v>
      </c>
      <c r="D12" s="4" t="str">
        <f>IF(ISNUMBER(benefit_original!D12),benefit_original!D12/100000000,benefit_original!D12)</f>
        <v>--</v>
      </c>
      <c r="E12" s="4" t="str">
        <f>IF(ISNUMBER(benefit_original!E12),benefit_original!E12/100000000,benefit_original!E12)</f>
        <v>--</v>
      </c>
      <c r="F12" s="4" t="str">
        <f>IF(ISNUMBER(benefit_original!F12),benefit_original!F12/100000000,benefit_original!F12)</f>
        <v>--</v>
      </c>
      <c r="G12" s="4" t="str">
        <f>IF(ISNUMBER(benefit_original!G12),benefit_original!G12/100000000,benefit_original!G12)</f>
        <v>--</v>
      </c>
      <c r="H12" s="4" t="str">
        <f>IF(ISNUMBER(benefit_original!H12),benefit_original!H12/100000000,benefit_original!H12)</f>
        <v>--</v>
      </c>
      <c r="I12" s="4" t="str">
        <f>IF(ISNUMBER(benefit_original!I12),benefit_original!I12/100000000,benefit_original!I12)</f>
        <v>--</v>
      </c>
      <c r="J12" s="4" t="str">
        <f>IF(ISNUMBER(benefit_original!J12),benefit_original!J12/100000000,benefit_original!J12)</f>
        <v>--</v>
      </c>
      <c r="K12" s="4" t="str">
        <f>IF(ISNUMBER(benefit_original!K12),benefit_original!K12/100000000,benefit_original!K12)</f>
        <v>--</v>
      </c>
      <c r="L12" s="4" t="str">
        <f>IF(ISNUMBER(benefit_original!L12),benefit_original!L12/100000000,benefit_original!L12)</f>
        <v>--</v>
      </c>
      <c r="M12" s="4" t="str">
        <f>IF(ISNUMBER(benefit_original!M12),benefit_original!M12/100000000,benefit_original!M12)</f>
        <v>--</v>
      </c>
      <c r="N12" s="4" t="str">
        <f>IF(ISNUMBER(benefit_original!N12),benefit_original!N12/100000000,benefit_original!N12)</f>
        <v>--</v>
      </c>
      <c r="O12" s="4" t="str">
        <f>IF(ISNUMBER(benefit_original!O12),benefit_original!O12/100000000,benefit_original!O12)</f>
        <v>--</v>
      </c>
      <c r="P12" s="4" t="str">
        <f>IF(ISNUMBER(benefit_original!P12),benefit_original!P12/100000000,benefit_original!P12)</f>
        <v>--</v>
      </c>
      <c r="Q12" s="4" t="str">
        <f>IF(ISNUMBER(benefit_original!Q12),benefit_original!Q12/100000000,benefit_original!Q12)</f>
        <v>--</v>
      </c>
      <c r="R12" s="4" t="str">
        <f>IF(ISNUMBER(benefit_original!R12),benefit_original!R12/100000000,benefit_original!R12)</f>
        <v>--</v>
      </c>
      <c r="S12" s="4" t="str">
        <f>IF(ISNUMBER(benefit_original!S12),benefit_original!S12/100000000,benefit_original!S12)</f>
        <v>--</v>
      </c>
      <c r="T12" s="4" t="str">
        <f>IF(ISNUMBER(benefit_original!T12),benefit_original!T12/100000000,benefit_original!T12)</f>
        <v>--</v>
      </c>
      <c r="U12" s="4" t="str">
        <f>IF(ISNUMBER(benefit_original!U12),benefit_original!U12/100000000,benefit_original!U12)</f>
        <v>--</v>
      </c>
      <c r="V12" s="4" t="str">
        <f>IF(ISNUMBER(benefit_original!V12),benefit_original!V12/100000000,benefit_original!V12)</f>
        <v>--</v>
      </c>
      <c r="W12" s="4" t="str">
        <f>IF(ISNUMBER(benefit_original!W12),benefit_original!W12/100000000,benefit_original!W12)</f>
        <v>--</v>
      </c>
      <c r="X12" s="4" t="str">
        <f>IF(ISNUMBER(benefit_original!X12),benefit_original!X12/100000000,benefit_original!X12)</f>
        <v>--</v>
      </c>
      <c r="Y12" s="4" t="str">
        <f>IF(ISNUMBER(benefit_original!Y12),benefit_original!Y12/100000000,benefit_original!Y12)</f>
        <v>--</v>
      </c>
      <c r="Z12" s="4" t="str">
        <f>IF(ISNUMBER(benefit_original!Z12),benefit_original!Z12/100000000,benefit_original!Z12)</f>
        <v>--</v>
      </c>
      <c r="AA12" s="4" t="str">
        <f>IF(ISNUMBER(benefit_original!AA12),benefit_original!AA12/100000000,benefit_original!AA12)</f>
        <v>--</v>
      </c>
      <c r="AB12" s="4" t="str">
        <f>IF(ISNUMBER(benefit_original!AB12),benefit_original!AB12/100000000,benefit_original!AB12)</f>
        <v>--</v>
      </c>
      <c r="AC12" s="4" t="str">
        <f>IF(ISNUMBER(benefit_original!AC12),benefit_original!AC12/100000000,benefit_original!AC12)</f>
        <v>--</v>
      </c>
      <c r="AD12" s="4" t="str">
        <f>IF(ISNUMBER(benefit_original!AD12),benefit_original!AD12/100000000,benefit_original!AD12)</f>
        <v>--</v>
      </c>
      <c r="AE12" s="4" t="str">
        <f>IF(ISNUMBER(benefit_original!AE12),benefit_original!AE12/100000000,benefit_original!AE12)</f>
        <v>--</v>
      </c>
      <c r="AF12" s="4" t="str">
        <f>IF(ISNUMBER(benefit_original!AF12),benefit_original!AF12/100000000,benefit_original!AF12)</f>
        <v>--</v>
      </c>
      <c r="AG12" s="4" t="str">
        <f>IF(ISNUMBER(benefit_original!AG12),benefit_original!AG12/100000000,benefit_original!AG12)</f>
        <v>--</v>
      </c>
      <c r="AH12" s="4" t="str">
        <f>IF(ISNUMBER(benefit_original!AH12),benefit_original!AH12/100000000,benefit_original!AH12)</f>
        <v>--</v>
      </c>
      <c r="AI12" s="4" t="str">
        <f>IF(ISNUMBER(benefit_original!AI12),benefit_original!AI12/100000000,benefit_original!AI12)</f>
        <v>--</v>
      </c>
      <c r="AJ12" s="4" t="str">
        <f>IF(ISNUMBER(benefit_original!AJ12),benefit_original!AJ12/100000000,benefit_original!AJ12)</f>
        <v>--</v>
      </c>
      <c r="AK12" s="4" t="str">
        <f>IF(ISNUMBER(benefit_original!AK12),benefit_original!AK12/100000000,benefit_original!AK12)</f>
        <v>--</v>
      </c>
      <c r="AL12" s="4" t="str">
        <f>IF(ISNUMBER(benefit_original!AL12),benefit_original!AL12/100000000,benefit_original!AL12)</f>
        <v>--</v>
      </c>
      <c r="AM12" s="4" t="str">
        <f>IF(ISNUMBER(benefit_original!AM12),benefit_original!AM12/100000000,benefit_original!AM12)</f>
        <v>--</v>
      </c>
      <c r="AN12" s="4" t="str">
        <f>IF(ISNUMBER(benefit_original!AN12),benefit_original!AN12/100000000,benefit_original!AN12)</f>
        <v>--</v>
      </c>
      <c r="AO12" s="4" t="str">
        <f>IF(ISNUMBER(benefit_original!AO12),benefit_original!AO12/100000000,benefit_original!AO12)</f>
        <v>--</v>
      </c>
      <c r="AP12" s="4" t="str">
        <f>IF(ISNUMBER(benefit_original!AP12),benefit_original!AP12/100000000,benefit_original!AP12)</f>
        <v>--</v>
      </c>
      <c r="AQ12" s="4" t="str">
        <f>IF(ISNUMBER(benefit_original!AQ12),benefit_original!AQ12/100000000,benefit_original!AQ12)</f>
        <v>--</v>
      </c>
      <c r="AR12" s="3" t="s">
        <v>133</v>
      </c>
      <c r="AS12" s="3" t="s">
        <v>133</v>
      </c>
      <c r="AT12" s="3" t="s">
        <v>133</v>
      </c>
      <c r="AU12" s="3" t="s">
        <v>133</v>
      </c>
      <c r="AV12" s="3" t="s">
        <v>133</v>
      </c>
      <c r="AW12" s="3" t="s">
        <v>133</v>
      </c>
      <c r="AX12" s="3" t="s">
        <v>133</v>
      </c>
      <c r="AY12" s="3" t="s">
        <v>133</v>
      </c>
      <c r="AZ12" s="3" t="s">
        <v>133</v>
      </c>
      <c r="BA12" s="3" t="s">
        <v>133</v>
      </c>
      <c r="BB12" s="3" t="s">
        <v>133</v>
      </c>
      <c r="BC12" s="3" t="s">
        <v>133</v>
      </c>
      <c r="BD12" s="3" t="s">
        <v>133</v>
      </c>
      <c r="BE12" s="3" t="s">
        <v>133</v>
      </c>
      <c r="BF12" s="3" t="s">
        <v>133</v>
      </c>
      <c r="BG12" s="3" t="s">
        <v>133</v>
      </c>
      <c r="BH12" s="3" t="s">
        <v>133</v>
      </c>
      <c r="BI12" s="3" t="s">
        <v>133</v>
      </c>
      <c r="BJ12" s="3" t="s">
        <v>133</v>
      </c>
      <c r="BK12" s="3" t="s">
        <v>133</v>
      </c>
      <c r="BL12" s="3" t="s">
        <v>133</v>
      </c>
      <c r="BM12" s="3" t="s">
        <v>133</v>
      </c>
      <c r="BN12" s="3" t="s">
        <v>133</v>
      </c>
      <c r="BO12" s="3" t="s">
        <v>133</v>
      </c>
      <c r="BP12" s="3" t="s">
        <v>133</v>
      </c>
      <c r="BQ12" s="3" t="s">
        <v>133</v>
      </c>
      <c r="BR12" s="3" t="s">
        <v>133</v>
      </c>
      <c r="BS12" s="3" t="s">
        <v>133</v>
      </c>
      <c r="BT12" s="3" t="s">
        <v>133</v>
      </c>
      <c r="BU12" s="3" t="s">
        <v>133</v>
      </c>
      <c r="BV12" s="3" t="s">
        <v>133</v>
      </c>
      <c r="BW12" s="3" t="s">
        <v>133</v>
      </c>
      <c r="BX12" s="3" t="s">
        <v>133</v>
      </c>
      <c r="BY12" s="3" t="s">
        <v>133</v>
      </c>
    </row>
    <row r="13" spans="1:77" x14ac:dyDescent="0.25">
      <c r="A13" s="3" t="s">
        <v>138</v>
      </c>
      <c r="B13" s="4">
        <f>IF(ISNUMBER(benefit_original!B13),benefit_original!B13/100000000,benefit_original!B13)</f>
        <v>0.85377599999999998</v>
      </c>
      <c r="C13" s="4">
        <f>IF(ISNUMBER(benefit_original!C13),benefit_original!C13/100000000,benefit_original!C13)</f>
        <v>0.71128800000000003</v>
      </c>
      <c r="D13" s="4">
        <f>IF(ISNUMBER(benefit_original!D13),benefit_original!D13/100000000,benefit_original!D13)</f>
        <v>7.3613999999999999E-2</v>
      </c>
      <c r="E13" s="4">
        <f>IF(ISNUMBER(benefit_original!E13),benefit_original!E13/100000000,benefit_original!E13)</f>
        <v>0.116246</v>
      </c>
      <c r="F13" s="4">
        <f>IF(ISNUMBER(benefit_original!F13),benefit_original!F13/100000000,benefit_original!F13)</f>
        <v>1.7731E-2</v>
      </c>
      <c r="G13" s="4">
        <f>IF(ISNUMBER(benefit_original!G13),benefit_original!G13/100000000,benefit_original!G13)</f>
        <v>3.9510000000000003E-2</v>
      </c>
      <c r="H13" s="4">
        <f>IF(ISNUMBER(benefit_original!H13),benefit_original!H13/100000000,benefit_original!H13)</f>
        <v>3.3186E-2</v>
      </c>
      <c r="I13" s="4">
        <f>IF(ISNUMBER(benefit_original!I13),benefit_original!I13/100000000,benefit_original!I13)</f>
        <v>5.9422000000000003E-2</v>
      </c>
      <c r="J13" s="4">
        <f>IF(ISNUMBER(benefit_original!J13),benefit_original!J13/100000000,benefit_original!J13)</f>
        <v>1.9474999999999999E-2</v>
      </c>
      <c r="K13" s="4">
        <f>IF(ISNUMBER(benefit_original!K13),benefit_original!K13/100000000,benefit_original!K13)</f>
        <v>1.8581E-2</v>
      </c>
      <c r="L13" s="4">
        <f>IF(ISNUMBER(benefit_original!L13),benefit_original!L13/100000000,benefit_original!L13)</f>
        <v>4.6629999999999998E-2</v>
      </c>
      <c r="M13" s="4">
        <f>IF(ISNUMBER(benefit_original!M13),benefit_original!M13/100000000,benefit_original!M13)</f>
        <v>0.175292</v>
      </c>
      <c r="N13" s="4" t="str">
        <f>IF(ISNUMBER(benefit_original!N13),benefit_original!N13/100000000,benefit_original!N13)</f>
        <v>--</v>
      </c>
      <c r="O13" s="4" t="str">
        <f>IF(ISNUMBER(benefit_original!O13),benefit_original!O13/100000000,benefit_original!O13)</f>
        <v>--</v>
      </c>
      <c r="P13" s="4" t="str">
        <f>IF(ISNUMBER(benefit_original!P13),benefit_original!P13/100000000,benefit_original!P13)</f>
        <v>--</v>
      </c>
      <c r="Q13" s="4" t="str">
        <f>IF(ISNUMBER(benefit_original!Q13),benefit_original!Q13/100000000,benefit_original!Q13)</f>
        <v>--</v>
      </c>
      <c r="R13" s="4" t="str">
        <f>IF(ISNUMBER(benefit_original!R13),benefit_original!R13/100000000,benefit_original!R13)</f>
        <v>--</v>
      </c>
      <c r="S13" s="4" t="str">
        <f>IF(ISNUMBER(benefit_original!S13),benefit_original!S13/100000000,benefit_original!S13)</f>
        <v>--</v>
      </c>
      <c r="T13" s="4" t="str">
        <f>IF(ISNUMBER(benefit_original!T13),benefit_original!T13/100000000,benefit_original!T13)</f>
        <v>--</v>
      </c>
      <c r="U13" s="4" t="str">
        <f>IF(ISNUMBER(benefit_original!U13),benefit_original!U13/100000000,benefit_original!U13)</f>
        <v>--</v>
      </c>
      <c r="V13" s="4" t="str">
        <f>IF(ISNUMBER(benefit_original!V13),benefit_original!V13/100000000,benefit_original!V13)</f>
        <v>--</v>
      </c>
      <c r="W13" s="4" t="str">
        <f>IF(ISNUMBER(benefit_original!W13),benefit_original!W13/100000000,benefit_original!W13)</f>
        <v>--</v>
      </c>
      <c r="X13" s="4" t="str">
        <f>IF(ISNUMBER(benefit_original!X13),benefit_original!X13/100000000,benefit_original!X13)</f>
        <v>--</v>
      </c>
      <c r="Y13" s="4" t="str">
        <f>IF(ISNUMBER(benefit_original!Y13),benefit_original!Y13/100000000,benefit_original!Y13)</f>
        <v>--</v>
      </c>
      <c r="Z13" s="4" t="str">
        <f>IF(ISNUMBER(benefit_original!Z13),benefit_original!Z13/100000000,benefit_original!Z13)</f>
        <v>--</v>
      </c>
      <c r="AA13" s="4" t="str">
        <f>IF(ISNUMBER(benefit_original!AA13),benefit_original!AA13/100000000,benefit_original!AA13)</f>
        <v>--</v>
      </c>
      <c r="AB13" s="4" t="str">
        <f>IF(ISNUMBER(benefit_original!AB13),benefit_original!AB13/100000000,benefit_original!AB13)</f>
        <v>--</v>
      </c>
      <c r="AC13" s="4" t="str">
        <f>IF(ISNUMBER(benefit_original!AC13),benefit_original!AC13/100000000,benefit_original!AC13)</f>
        <v>--</v>
      </c>
      <c r="AD13" s="4" t="str">
        <f>IF(ISNUMBER(benefit_original!AD13),benefit_original!AD13/100000000,benefit_original!AD13)</f>
        <v>--</v>
      </c>
      <c r="AE13" s="4" t="str">
        <f>IF(ISNUMBER(benefit_original!AE13),benefit_original!AE13/100000000,benefit_original!AE13)</f>
        <v>--</v>
      </c>
      <c r="AF13" s="4" t="str">
        <f>IF(ISNUMBER(benefit_original!AF13),benefit_original!AF13/100000000,benefit_original!AF13)</f>
        <v>--</v>
      </c>
      <c r="AG13" s="4" t="str">
        <f>IF(ISNUMBER(benefit_original!AG13),benefit_original!AG13/100000000,benefit_original!AG13)</f>
        <v>--</v>
      </c>
      <c r="AH13" s="4" t="str">
        <f>IF(ISNUMBER(benefit_original!AH13),benefit_original!AH13/100000000,benefit_original!AH13)</f>
        <v>--</v>
      </c>
      <c r="AI13" s="4" t="str">
        <f>IF(ISNUMBER(benefit_original!AI13),benefit_original!AI13/100000000,benefit_original!AI13)</f>
        <v>--</v>
      </c>
      <c r="AJ13" s="4" t="str">
        <f>IF(ISNUMBER(benefit_original!AJ13),benefit_original!AJ13/100000000,benefit_original!AJ13)</f>
        <v>--</v>
      </c>
      <c r="AK13" s="4" t="str">
        <f>IF(ISNUMBER(benefit_original!AK13),benefit_original!AK13/100000000,benefit_original!AK13)</f>
        <v>--</v>
      </c>
      <c r="AL13" s="4" t="str">
        <f>IF(ISNUMBER(benefit_original!AL13),benefit_original!AL13/100000000,benefit_original!AL13)</f>
        <v>--</v>
      </c>
      <c r="AM13" s="4" t="str">
        <f>IF(ISNUMBER(benefit_original!AM13),benefit_original!AM13/100000000,benefit_original!AM13)</f>
        <v>--</v>
      </c>
      <c r="AN13" s="4" t="str">
        <f>IF(ISNUMBER(benefit_original!AN13),benefit_original!AN13/100000000,benefit_original!AN13)</f>
        <v>--</v>
      </c>
      <c r="AO13" s="4" t="str">
        <f>IF(ISNUMBER(benefit_original!AO13),benefit_original!AO13/100000000,benefit_original!AO13)</f>
        <v>--</v>
      </c>
      <c r="AP13" s="4" t="str">
        <f>IF(ISNUMBER(benefit_original!AP13),benefit_original!AP13/100000000,benefit_original!AP13)</f>
        <v>--</v>
      </c>
      <c r="AQ13" s="4" t="str">
        <f>IF(ISNUMBER(benefit_original!AQ13),benefit_original!AQ13/100000000,benefit_original!AQ13)</f>
        <v>--</v>
      </c>
      <c r="AR13" s="3" t="s">
        <v>133</v>
      </c>
      <c r="AS13" s="3" t="s">
        <v>133</v>
      </c>
      <c r="AT13" s="3" t="s">
        <v>133</v>
      </c>
      <c r="AU13" s="3" t="s">
        <v>133</v>
      </c>
      <c r="AV13" s="3" t="s">
        <v>133</v>
      </c>
      <c r="AW13" s="3" t="s">
        <v>133</v>
      </c>
      <c r="AX13" s="3" t="s">
        <v>133</v>
      </c>
      <c r="AY13" s="3" t="s">
        <v>133</v>
      </c>
      <c r="AZ13" s="3" t="s">
        <v>133</v>
      </c>
      <c r="BA13" s="3" t="s">
        <v>133</v>
      </c>
      <c r="BB13" s="3" t="s">
        <v>133</v>
      </c>
      <c r="BC13" s="3" t="s">
        <v>133</v>
      </c>
      <c r="BD13" s="3" t="s">
        <v>133</v>
      </c>
      <c r="BE13" s="3" t="s">
        <v>133</v>
      </c>
      <c r="BF13" s="3" t="s">
        <v>133</v>
      </c>
      <c r="BG13" s="3" t="s">
        <v>133</v>
      </c>
      <c r="BH13" s="3" t="s">
        <v>133</v>
      </c>
      <c r="BI13" s="3" t="s">
        <v>133</v>
      </c>
      <c r="BJ13" s="3" t="s">
        <v>133</v>
      </c>
      <c r="BK13" s="3" t="s">
        <v>133</v>
      </c>
      <c r="BL13" s="3" t="s">
        <v>133</v>
      </c>
      <c r="BM13" s="3" t="s">
        <v>133</v>
      </c>
      <c r="BN13" s="3" t="s">
        <v>133</v>
      </c>
      <c r="BO13" s="3" t="s">
        <v>133</v>
      </c>
      <c r="BP13" s="3" t="s">
        <v>133</v>
      </c>
      <c r="BQ13" s="3" t="s">
        <v>133</v>
      </c>
      <c r="BR13" s="3" t="s">
        <v>133</v>
      </c>
      <c r="BS13" s="3" t="s">
        <v>133</v>
      </c>
      <c r="BT13" s="3" t="s">
        <v>133</v>
      </c>
      <c r="BU13" s="3" t="s">
        <v>133</v>
      </c>
      <c r="BV13" s="3" t="s">
        <v>133</v>
      </c>
      <c r="BW13" s="3" t="s">
        <v>133</v>
      </c>
      <c r="BX13" s="3" t="s">
        <v>133</v>
      </c>
      <c r="BY13" s="3" t="s">
        <v>133</v>
      </c>
    </row>
    <row r="14" spans="1:77" x14ac:dyDescent="0.25">
      <c r="A14" s="3" t="s">
        <v>139</v>
      </c>
      <c r="B14" s="4" t="str">
        <f>IF(ISNUMBER(benefit_original!B14),benefit_original!B14/100000000,benefit_original!B14)</f>
        <v>--</v>
      </c>
      <c r="C14" s="4" t="str">
        <f>IF(ISNUMBER(benefit_original!C14),benefit_original!C14/100000000,benefit_original!C14)</f>
        <v>--</v>
      </c>
      <c r="D14" s="4" t="str">
        <f>IF(ISNUMBER(benefit_original!D14),benefit_original!D14/100000000,benefit_original!D14)</f>
        <v>--</v>
      </c>
      <c r="E14" s="4" t="str">
        <f>IF(ISNUMBER(benefit_original!E14),benefit_original!E14/100000000,benefit_original!E14)</f>
        <v>--</v>
      </c>
      <c r="F14" s="4" t="str">
        <f>IF(ISNUMBER(benefit_original!F14),benefit_original!F14/100000000,benefit_original!F14)</f>
        <v>--</v>
      </c>
      <c r="G14" s="4" t="str">
        <f>IF(ISNUMBER(benefit_original!G14),benefit_original!G14/100000000,benefit_original!G14)</f>
        <v>--</v>
      </c>
      <c r="H14" s="4" t="str">
        <f>IF(ISNUMBER(benefit_original!H14),benefit_original!H14/100000000,benefit_original!H14)</f>
        <v>--</v>
      </c>
      <c r="I14" s="4">
        <f>IF(ISNUMBER(benefit_original!I14),benefit_original!I14/100000000,benefit_original!I14)</f>
        <v>-2.5108999999999999E-2</v>
      </c>
      <c r="J14" s="4">
        <f>IF(ISNUMBER(benefit_original!J14),benefit_original!J14/100000000,benefit_original!J14)</f>
        <v>-2.4424999999999999E-2</v>
      </c>
      <c r="K14" s="4">
        <f>IF(ISNUMBER(benefit_original!K14),benefit_original!K14/100000000,benefit_original!K14)</f>
        <v>-3.5017E-2</v>
      </c>
      <c r="L14" s="4">
        <f>IF(ISNUMBER(benefit_original!L14),benefit_original!L14/100000000,benefit_original!L14)</f>
        <v>2.2804000000000001E-2</v>
      </c>
      <c r="M14" s="4">
        <f>IF(ISNUMBER(benefit_original!M14),benefit_original!M14/100000000,benefit_original!M14)</f>
        <v>1.5150000000000001E-3</v>
      </c>
      <c r="N14" s="4">
        <f>IF(ISNUMBER(benefit_original!N14),benefit_original!N14/100000000,benefit_original!N14)</f>
        <v>-0.05</v>
      </c>
      <c r="O14" s="4">
        <f>IF(ISNUMBER(benefit_original!O14),benefit_original!O14/100000000,benefit_original!O14)</f>
        <v>2.1512E-2</v>
      </c>
      <c r="P14" s="4">
        <f>IF(ISNUMBER(benefit_original!P14),benefit_original!P14/100000000,benefit_original!P14)</f>
        <v>-5.3564000000000001E-2</v>
      </c>
      <c r="Q14" s="4">
        <f>IF(ISNUMBER(benefit_original!Q14),benefit_original!Q14/100000000,benefit_original!Q14)</f>
        <v>6.8363999999999994E-2</v>
      </c>
      <c r="R14" s="4">
        <f>IF(ISNUMBER(benefit_original!R14),benefit_original!R14/100000000,benefit_original!R14)</f>
        <v>-4.5300000000000001E-4</v>
      </c>
      <c r="S14" s="4">
        <f>IF(ISNUMBER(benefit_original!S14),benefit_original!S14/100000000,benefit_original!S14)</f>
        <v>2.5566999999999999E-2</v>
      </c>
      <c r="T14" s="4">
        <f>IF(ISNUMBER(benefit_original!T14),benefit_original!T14/100000000,benefit_original!T14)</f>
        <v>2.9796E-2</v>
      </c>
      <c r="U14" s="4">
        <f>IF(ISNUMBER(benefit_original!U14),benefit_original!U14/100000000,benefit_original!U14)</f>
        <v>-6.9080000000000001E-3</v>
      </c>
      <c r="V14" s="4">
        <f>IF(ISNUMBER(benefit_original!V14),benefit_original!V14/100000000,benefit_original!V14)</f>
        <v>-2.5379999999999999E-3</v>
      </c>
      <c r="W14" s="4">
        <f>IF(ISNUMBER(benefit_original!W14),benefit_original!W14/100000000,benefit_original!W14)</f>
        <v>6.0520000000000001E-3</v>
      </c>
      <c r="X14" s="4">
        <f>IF(ISNUMBER(benefit_original!X14),benefit_original!X14/100000000,benefit_original!X14)</f>
        <v>-2.0079999999999998E-3</v>
      </c>
      <c r="Y14" s="4">
        <f>IF(ISNUMBER(benefit_original!Y14),benefit_original!Y14/100000000,benefit_original!Y14)</f>
        <v>3.9500000000000001E-4</v>
      </c>
      <c r="Z14" s="4">
        <f>IF(ISNUMBER(benefit_original!Z14),benefit_original!Z14/100000000,benefit_original!Z14)</f>
        <v>1.5E-3</v>
      </c>
      <c r="AA14" s="4">
        <f>IF(ISNUMBER(benefit_original!AA14),benefit_original!AA14/100000000,benefit_original!AA14)</f>
        <v>1.0038999999999999E-2</v>
      </c>
      <c r="AB14" s="4">
        <f>IF(ISNUMBER(benefit_original!AB14),benefit_original!AB14/100000000,benefit_original!AB14)</f>
        <v>-7.6059999999999999E-3</v>
      </c>
      <c r="AC14" s="4">
        <f>IF(ISNUMBER(benefit_original!AC14),benefit_original!AC14/100000000,benefit_original!AC14)</f>
        <v>-1.8569999999999999E-3</v>
      </c>
      <c r="AD14" s="4">
        <f>IF(ISNUMBER(benefit_original!AD14),benefit_original!AD14/100000000,benefit_original!AD14)</f>
        <v>2.5000000000000001E-3</v>
      </c>
      <c r="AE14" s="4" t="str">
        <f>IF(ISNUMBER(benefit_original!AE14),benefit_original!AE14/100000000,benefit_original!AE14)</f>
        <v>--</v>
      </c>
      <c r="AF14" s="4" t="str">
        <f>IF(ISNUMBER(benefit_original!AF14),benefit_original!AF14/100000000,benefit_original!AF14)</f>
        <v>--</v>
      </c>
      <c r="AG14" s="4">
        <f>IF(ISNUMBER(benefit_original!AG14),benefit_original!AG14/100000000,benefit_original!AG14)</f>
        <v>2.0233999999999999E-2</v>
      </c>
      <c r="AH14" s="4" t="str">
        <f>IF(ISNUMBER(benefit_original!AH14),benefit_original!AH14/100000000,benefit_original!AH14)</f>
        <v>--</v>
      </c>
      <c r="AI14" s="4" t="str">
        <f>IF(ISNUMBER(benefit_original!AI14),benefit_original!AI14/100000000,benefit_original!AI14)</f>
        <v>--</v>
      </c>
      <c r="AJ14" s="4" t="str">
        <f>IF(ISNUMBER(benefit_original!AJ14),benefit_original!AJ14/100000000,benefit_original!AJ14)</f>
        <v>--</v>
      </c>
      <c r="AK14" s="4">
        <f>IF(ISNUMBER(benefit_original!AK14),benefit_original!AK14/100000000,benefit_original!AK14)</f>
        <v>-9.0299999999999998E-3</v>
      </c>
      <c r="AL14" s="4">
        <f>IF(ISNUMBER(benefit_original!AL14),benefit_original!AL14/100000000,benefit_original!AL14)</f>
        <v>-2.9399999999999999E-4</v>
      </c>
      <c r="AM14" s="4" t="str">
        <f>IF(ISNUMBER(benefit_original!AM14),benefit_original!AM14/100000000,benefit_original!AM14)</f>
        <v>--</v>
      </c>
      <c r="AN14" s="4" t="str">
        <f>IF(ISNUMBER(benefit_original!AN14),benefit_original!AN14/100000000,benefit_original!AN14)</f>
        <v>--</v>
      </c>
      <c r="AO14" s="4">
        <f>IF(ISNUMBER(benefit_original!AO14),benefit_original!AO14/100000000,benefit_original!AO14)</f>
        <v>-5.8647999999999999E-2</v>
      </c>
      <c r="AP14" s="4">
        <f>IF(ISNUMBER(benefit_original!AP14),benefit_original!AP14/100000000,benefit_original!AP14)</f>
        <v>2.12E-4</v>
      </c>
      <c r="AQ14" s="4">
        <f>IF(ISNUMBER(benefit_original!AQ14),benefit_original!AQ14/100000000,benefit_original!AQ14)</f>
        <v>2.7585999999999999E-2</v>
      </c>
      <c r="AR14" s="3">
        <v>18000</v>
      </c>
      <c r="AS14" s="3">
        <v>-742700</v>
      </c>
      <c r="AT14" s="3" t="s">
        <v>133</v>
      </c>
      <c r="AU14" s="3" t="s">
        <v>133</v>
      </c>
      <c r="AV14" s="3" t="s">
        <v>133</v>
      </c>
      <c r="AW14" s="3">
        <v>1861200</v>
      </c>
      <c r="AX14" s="3" t="s">
        <v>133</v>
      </c>
      <c r="AY14" s="3" t="s">
        <v>133</v>
      </c>
      <c r="AZ14" s="3" t="s">
        <v>133</v>
      </c>
      <c r="BA14" s="3">
        <v>-1932300</v>
      </c>
      <c r="BB14" s="3" t="s">
        <v>133</v>
      </c>
      <c r="BC14" s="3" t="s">
        <v>133</v>
      </c>
      <c r="BD14" s="3" t="s">
        <v>133</v>
      </c>
      <c r="BE14" s="3" t="s">
        <v>133</v>
      </c>
      <c r="BF14" s="3" t="s">
        <v>133</v>
      </c>
      <c r="BG14" s="3" t="s">
        <v>133</v>
      </c>
      <c r="BH14" s="3" t="s">
        <v>133</v>
      </c>
      <c r="BI14" s="3" t="s">
        <v>133</v>
      </c>
      <c r="BJ14" s="3" t="s">
        <v>133</v>
      </c>
      <c r="BK14" s="3" t="s">
        <v>133</v>
      </c>
      <c r="BL14" s="3" t="s">
        <v>133</v>
      </c>
      <c r="BM14" s="3" t="s">
        <v>133</v>
      </c>
      <c r="BN14" s="3" t="s">
        <v>133</v>
      </c>
      <c r="BO14" s="3" t="s">
        <v>133</v>
      </c>
      <c r="BP14" s="3" t="s">
        <v>133</v>
      </c>
      <c r="BQ14" s="3" t="s">
        <v>133</v>
      </c>
      <c r="BR14" s="3" t="s">
        <v>133</v>
      </c>
      <c r="BS14" s="3" t="s">
        <v>133</v>
      </c>
      <c r="BT14" s="3" t="s">
        <v>133</v>
      </c>
      <c r="BU14" s="3" t="s">
        <v>133</v>
      </c>
      <c r="BV14" s="3" t="s">
        <v>133</v>
      </c>
      <c r="BW14" s="3" t="s">
        <v>133</v>
      </c>
      <c r="BX14" s="3" t="s">
        <v>133</v>
      </c>
      <c r="BY14" s="3" t="s">
        <v>133</v>
      </c>
    </row>
    <row r="15" spans="1:77" x14ac:dyDescent="0.25">
      <c r="A15" s="3" t="s">
        <v>140</v>
      </c>
      <c r="B15" s="4">
        <f>IF(ISNUMBER(benefit_original!B15),benefit_original!B15/100000000,benefit_original!B15)</f>
        <v>-1.2430999999999999E-2</v>
      </c>
      <c r="C15" s="4">
        <f>IF(ISNUMBER(benefit_original!C15),benefit_original!C15/100000000,benefit_original!C15)</f>
        <v>0.76287499999999997</v>
      </c>
      <c r="D15" s="4">
        <f>IF(ISNUMBER(benefit_original!D15),benefit_original!D15/100000000,benefit_original!D15)</f>
        <v>1.8029999999999999E-3</v>
      </c>
      <c r="E15" s="4">
        <f>IF(ISNUMBER(benefit_original!E15),benefit_original!E15/100000000,benefit_original!E15)</f>
        <v>-2.1302999999999999E-2</v>
      </c>
      <c r="F15" s="4">
        <f>IF(ISNUMBER(benefit_original!F15),benefit_original!F15/100000000,benefit_original!F15)</f>
        <v>-4.2513000000000002E-2</v>
      </c>
      <c r="G15" s="4">
        <f>IF(ISNUMBER(benefit_original!G15),benefit_original!G15/100000000,benefit_original!G15)</f>
        <v>0.11705699999999999</v>
      </c>
      <c r="H15" s="4">
        <f>IF(ISNUMBER(benefit_original!H15),benefit_original!H15/100000000,benefit_original!H15)</f>
        <v>-1.07E-4</v>
      </c>
      <c r="I15" s="4" t="str">
        <f>IF(ISNUMBER(benefit_original!I15),benefit_original!I15/100000000,benefit_original!I15)</f>
        <v>--</v>
      </c>
      <c r="J15" s="4" t="str">
        <f>IF(ISNUMBER(benefit_original!J15),benefit_original!J15/100000000,benefit_original!J15)</f>
        <v>--</v>
      </c>
      <c r="K15" s="4" t="str">
        <f>IF(ISNUMBER(benefit_original!K15),benefit_original!K15/100000000,benefit_original!K15)</f>
        <v>--</v>
      </c>
      <c r="L15" s="4" t="str">
        <f>IF(ISNUMBER(benefit_original!L15),benefit_original!L15/100000000,benefit_original!L15)</f>
        <v>--</v>
      </c>
      <c r="M15" s="4" t="str">
        <f>IF(ISNUMBER(benefit_original!M15),benefit_original!M15/100000000,benefit_original!M15)</f>
        <v>--</v>
      </c>
      <c r="N15" s="4" t="str">
        <f>IF(ISNUMBER(benefit_original!N15),benefit_original!N15/100000000,benefit_original!N15)</f>
        <v>--</v>
      </c>
      <c r="O15" s="4" t="str">
        <f>IF(ISNUMBER(benefit_original!O15),benefit_original!O15/100000000,benefit_original!O15)</f>
        <v>--</v>
      </c>
      <c r="P15" s="4" t="str">
        <f>IF(ISNUMBER(benefit_original!P15),benefit_original!P15/100000000,benefit_original!P15)</f>
        <v>--</v>
      </c>
      <c r="Q15" s="4" t="str">
        <f>IF(ISNUMBER(benefit_original!Q15),benefit_original!Q15/100000000,benefit_original!Q15)</f>
        <v>--</v>
      </c>
      <c r="R15" s="4" t="str">
        <f>IF(ISNUMBER(benefit_original!R15),benefit_original!R15/100000000,benefit_original!R15)</f>
        <v>--</v>
      </c>
      <c r="S15" s="4" t="str">
        <f>IF(ISNUMBER(benefit_original!S15),benefit_original!S15/100000000,benefit_original!S15)</f>
        <v>--</v>
      </c>
      <c r="T15" s="4" t="str">
        <f>IF(ISNUMBER(benefit_original!T15),benefit_original!T15/100000000,benefit_original!T15)</f>
        <v>--</v>
      </c>
      <c r="U15" s="4" t="str">
        <f>IF(ISNUMBER(benefit_original!U15),benefit_original!U15/100000000,benefit_original!U15)</f>
        <v>--</v>
      </c>
      <c r="V15" s="4" t="str">
        <f>IF(ISNUMBER(benefit_original!V15),benefit_original!V15/100000000,benefit_original!V15)</f>
        <v>--</v>
      </c>
      <c r="W15" s="4" t="str">
        <f>IF(ISNUMBER(benefit_original!W15),benefit_original!W15/100000000,benefit_original!W15)</f>
        <v>--</v>
      </c>
      <c r="X15" s="4" t="str">
        <f>IF(ISNUMBER(benefit_original!X15),benefit_original!X15/100000000,benefit_original!X15)</f>
        <v>--</v>
      </c>
      <c r="Y15" s="4" t="str">
        <f>IF(ISNUMBER(benefit_original!Y15),benefit_original!Y15/100000000,benefit_original!Y15)</f>
        <v>--</v>
      </c>
      <c r="Z15" s="4" t="str">
        <f>IF(ISNUMBER(benefit_original!Z15),benefit_original!Z15/100000000,benefit_original!Z15)</f>
        <v>--</v>
      </c>
      <c r="AA15" s="4" t="str">
        <f>IF(ISNUMBER(benefit_original!AA15),benefit_original!AA15/100000000,benefit_original!AA15)</f>
        <v>--</v>
      </c>
      <c r="AB15" s="4" t="str">
        <f>IF(ISNUMBER(benefit_original!AB15),benefit_original!AB15/100000000,benefit_original!AB15)</f>
        <v>--</v>
      </c>
      <c r="AC15" s="4" t="str">
        <f>IF(ISNUMBER(benefit_original!AC15),benefit_original!AC15/100000000,benefit_original!AC15)</f>
        <v>--</v>
      </c>
      <c r="AD15" s="4" t="str">
        <f>IF(ISNUMBER(benefit_original!AD15),benefit_original!AD15/100000000,benefit_original!AD15)</f>
        <v>--</v>
      </c>
      <c r="AE15" s="4" t="str">
        <f>IF(ISNUMBER(benefit_original!AE15),benefit_original!AE15/100000000,benefit_original!AE15)</f>
        <v>--</v>
      </c>
      <c r="AF15" s="4" t="str">
        <f>IF(ISNUMBER(benefit_original!AF15),benefit_original!AF15/100000000,benefit_original!AF15)</f>
        <v>--</v>
      </c>
      <c r="AG15" s="4" t="str">
        <f>IF(ISNUMBER(benefit_original!AG15),benefit_original!AG15/100000000,benefit_original!AG15)</f>
        <v>--</v>
      </c>
      <c r="AH15" s="4" t="str">
        <f>IF(ISNUMBER(benefit_original!AH15),benefit_original!AH15/100000000,benefit_original!AH15)</f>
        <v>--</v>
      </c>
      <c r="AI15" s="4" t="str">
        <f>IF(ISNUMBER(benefit_original!AI15),benefit_original!AI15/100000000,benefit_original!AI15)</f>
        <v>--</v>
      </c>
      <c r="AJ15" s="4" t="str">
        <f>IF(ISNUMBER(benefit_original!AJ15),benefit_original!AJ15/100000000,benefit_original!AJ15)</f>
        <v>--</v>
      </c>
      <c r="AK15" s="4" t="str">
        <f>IF(ISNUMBER(benefit_original!AK15),benefit_original!AK15/100000000,benefit_original!AK15)</f>
        <v>--</v>
      </c>
      <c r="AL15" s="4" t="str">
        <f>IF(ISNUMBER(benefit_original!AL15),benefit_original!AL15/100000000,benefit_original!AL15)</f>
        <v>--</v>
      </c>
      <c r="AM15" s="4" t="str">
        <f>IF(ISNUMBER(benefit_original!AM15),benefit_original!AM15/100000000,benefit_original!AM15)</f>
        <v>--</v>
      </c>
      <c r="AN15" s="4" t="str">
        <f>IF(ISNUMBER(benefit_original!AN15),benefit_original!AN15/100000000,benefit_original!AN15)</f>
        <v>--</v>
      </c>
      <c r="AO15" s="4" t="str">
        <f>IF(ISNUMBER(benefit_original!AO15),benefit_original!AO15/100000000,benefit_original!AO15)</f>
        <v>--</v>
      </c>
      <c r="AP15" s="4" t="str">
        <f>IF(ISNUMBER(benefit_original!AP15),benefit_original!AP15/100000000,benefit_original!AP15)</f>
        <v>--</v>
      </c>
      <c r="AQ15" s="4" t="str">
        <f>IF(ISNUMBER(benefit_original!AQ15),benefit_original!AQ15/100000000,benefit_original!AQ15)</f>
        <v>--</v>
      </c>
      <c r="AR15" s="3" t="s">
        <v>133</v>
      </c>
      <c r="AS15" s="3" t="s">
        <v>133</v>
      </c>
      <c r="AT15" s="3" t="s">
        <v>133</v>
      </c>
      <c r="AU15" s="3" t="s">
        <v>133</v>
      </c>
      <c r="AV15" s="3" t="s">
        <v>133</v>
      </c>
      <c r="AW15" s="3" t="s">
        <v>133</v>
      </c>
      <c r="AX15" s="3" t="s">
        <v>133</v>
      </c>
      <c r="AY15" s="3" t="s">
        <v>133</v>
      </c>
      <c r="AZ15" s="3" t="s">
        <v>133</v>
      </c>
      <c r="BA15" s="3" t="s">
        <v>133</v>
      </c>
      <c r="BB15" s="3" t="s">
        <v>133</v>
      </c>
      <c r="BC15" s="3" t="s">
        <v>133</v>
      </c>
      <c r="BD15" s="3" t="s">
        <v>133</v>
      </c>
      <c r="BE15" s="3" t="s">
        <v>133</v>
      </c>
      <c r="BF15" s="3" t="s">
        <v>133</v>
      </c>
      <c r="BG15" s="3" t="s">
        <v>133</v>
      </c>
      <c r="BH15" s="3" t="s">
        <v>133</v>
      </c>
      <c r="BI15" s="3" t="s">
        <v>133</v>
      </c>
      <c r="BJ15" s="3" t="s">
        <v>133</v>
      </c>
      <c r="BK15" s="3" t="s">
        <v>133</v>
      </c>
      <c r="BL15" s="3" t="s">
        <v>133</v>
      </c>
      <c r="BM15" s="3" t="s">
        <v>133</v>
      </c>
      <c r="BN15" s="3" t="s">
        <v>133</v>
      </c>
      <c r="BO15" s="3" t="s">
        <v>133</v>
      </c>
      <c r="BP15" s="3" t="s">
        <v>133</v>
      </c>
      <c r="BQ15" s="3" t="s">
        <v>133</v>
      </c>
      <c r="BR15" s="3" t="s">
        <v>133</v>
      </c>
      <c r="BS15" s="3" t="s">
        <v>133</v>
      </c>
      <c r="BT15" s="3" t="s">
        <v>133</v>
      </c>
      <c r="BU15" s="3" t="s">
        <v>133</v>
      </c>
      <c r="BV15" s="3" t="s">
        <v>133</v>
      </c>
      <c r="BW15" s="3" t="s">
        <v>133</v>
      </c>
      <c r="BX15" s="3" t="s">
        <v>133</v>
      </c>
      <c r="BY15" s="3" t="s">
        <v>133</v>
      </c>
    </row>
    <row r="16" spans="1:77" x14ac:dyDescent="0.25">
      <c r="A16" s="3" t="s">
        <v>141</v>
      </c>
      <c r="B16" s="4">
        <f>IF(ISNUMBER(benefit_original!B16),benefit_original!B16/100000000,benefit_original!B16)</f>
        <v>-9.9939999999999994E-3</v>
      </c>
      <c r="C16" s="4">
        <f>IF(ISNUMBER(benefit_original!C16),benefit_original!C16/100000000,benefit_original!C16)</f>
        <v>0.100938</v>
      </c>
      <c r="D16" s="4">
        <f>IF(ISNUMBER(benefit_original!D16),benefit_original!D16/100000000,benefit_original!D16)</f>
        <v>-2.7767E-2</v>
      </c>
      <c r="E16" s="4">
        <f>IF(ISNUMBER(benefit_original!E16),benefit_original!E16/100000000,benefit_original!E16)</f>
        <v>0.94987900000000003</v>
      </c>
      <c r="F16" s="4">
        <f>IF(ISNUMBER(benefit_original!F16),benefit_original!F16/100000000,benefit_original!F16)</f>
        <v>-1.1491640000000001</v>
      </c>
      <c r="G16" s="4" t="str">
        <f>IF(ISNUMBER(benefit_original!G16),benefit_original!G16/100000000,benefit_original!G16)</f>
        <v>--</v>
      </c>
      <c r="H16" s="4" t="str">
        <f>IF(ISNUMBER(benefit_original!H16),benefit_original!H16/100000000,benefit_original!H16)</f>
        <v>--</v>
      </c>
      <c r="I16" s="4" t="str">
        <f>IF(ISNUMBER(benefit_original!I16),benefit_original!I16/100000000,benefit_original!I16)</f>
        <v>--</v>
      </c>
      <c r="J16" s="4" t="str">
        <f>IF(ISNUMBER(benefit_original!J16),benefit_original!J16/100000000,benefit_original!J16)</f>
        <v>--</v>
      </c>
      <c r="K16" s="4" t="str">
        <f>IF(ISNUMBER(benefit_original!K16),benefit_original!K16/100000000,benefit_original!K16)</f>
        <v>--</v>
      </c>
      <c r="L16" s="4" t="str">
        <f>IF(ISNUMBER(benefit_original!L16),benefit_original!L16/100000000,benefit_original!L16)</f>
        <v>--</v>
      </c>
      <c r="M16" s="4" t="str">
        <f>IF(ISNUMBER(benefit_original!M16),benefit_original!M16/100000000,benefit_original!M16)</f>
        <v>--</v>
      </c>
      <c r="N16" s="4" t="str">
        <f>IF(ISNUMBER(benefit_original!N16),benefit_original!N16/100000000,benefit_original!N16)</f>
        <v>--</v>
      </c>
      <c r="O16" s="4" t="str">
        <f>IF(ISNUMBER(benefit_original!O16),benefit_original!O16/100000000,benefit_original!O16)</f>
        <v>--</v>
      </c>
      <c r="P16" s="4" t="str">
        <f>IF(ISNUMBER(benefit_original!P16),benefit_original!P16/100000000,benefit_original!P16)</f>
        <v>--</v>
      </c>
      <c r="Q16" s="4" t="str">
        <f>IF(ISNUMBER(benefit_original!Q16),benefit_original!Q16/100000000,benefit_original!Q16)</f>
        <v>--</v>
      </c>
      <c r="R16" s="4" t="str">
        <f>IF(ISNUMBER(benefit_original!R16),benefit_original!R16/100000000,benefit_original!R16)</f>
        <v>--</v>
      </c>
      <c r="S16" s="4" t="str">
        <f>IF(ISNUMBER(benefit_original!S16),benefit_original!S16/100000000,benefit_original!S16)</f>
        <v>--</v>
      </c>
      <c r="T16" s="4" t="str">
        <f>IF(ISNUMBER(benefit_original!T16),benefit_original!T16/100000000,benefit_original!T16)</f>
        <v>--</v>
      </c>
      <c r="U16" s="4" t="str">
        <f>IF(ISNUMBER(benefit_original!U16),benefit_original!U16/100000000,benefit_original!U16)</f>
        <v>--</v>
      </c>
      <c r="V16" s="4" t="str">
        <f>IF(ISNUMBER(benefit_original!V16),benefit_original!V16/100000000,benefit_original!V16)</f>
        <v>--</v>
      </c>
      <c r="W16" s="4" t="str">
        <f>IF(ISNUMBER(benefit_original!W16),benefit_original!W16/100000000,benefit_original!W16)</f>
        <v>--</v>
      </c>
      <c r="X16" s="4" t="str">
        <f>IF(ISNUMBER(benefit_original!X16),benefit_original!X16/100000000,benefit_original!X16)</f>
        <v>--</v>
      </c>
      <c r="Y16" s="4" t="str">
        <f>IF(ISNUMBER(benefit_original!Y16),benefit_original!Y16/100000000,benefit_original!Y16)</f>
        <v>--</v>
      </c>
      <c r="Z16" s="4" t="str">
        <f>IF(ISNUMBER(benefit_original!Z16),benefit_original!Z16/100000000,benefit_original!Z16)</f>
        <v>--</v>
      </c>
      <c r="AA16" s="4" t="str">
        <f>IF(ISNUMBER(benefit_original!AA16),benefit_original!AA16/100000000,benefit_original!AA16)</f>
        <v>--</v>
      </c>
      <c r="AB16" s="4" t="str">
        <f>IF(ISNUMBER(benefit_original!AB16),benefit_original!AB16/100000000,benefit_original!AB16)</f>
        <v>--</v>
      </c>
      <c r="AC16" s="4" t="str">
        <f>IF(ISNUMBER(benefit_original!AC16),benefit_original!AC16/100000000,benefit_original!AC16)</f>
        <v>--</v>
      </c>
      <c r="AD16" s="4" t="str">
        <f>IF(ISNUMBER(benefit_original!AD16),benefit_original!AD16/100000000,benefit_original!AD16)</f>
        <v>--</v>
      </c>
      <c r="AE16" s="4" t="str">
        <f>IF(ISNUMBER(benefit_original!AE16),benefit_original!AE16/100000000,benefit_original!AE16)</f>
        <v>--</v>
      </c>
      <c r="AF16" s="4" t="str">
        <f>IF(ISNUMBER(benefit_original!AF16),benefit_original!AF16/100000000,benefit_original!AF16)</f>
        <v>--</v>
      </c>
      <c r="AG16" s="4" t="str">
        <f>IF(ISNUMBER(benefit_original!AG16),benefit_original!AG16/100000000,benefit_original!AG16)</f>
        <v>--</v>
      </c>
      <c r="AH16" s="4" t="str">
        <f>IF(ISNUMBER(benefit_original!AH16),benefit_original!AH16/100000000,benefit_original!AH16)</f>
        <v>--</v>
      </c>
      <c r="AI16" s="4" t="str">
        <f>IF(ISNUMBER(benefit_original!AI16),benefit_original!AI16/100000000,benefit_original!AI16)</f>
        <v>--</v>
      </c>
      <c r="AJ16" s="4" t="str">
        <f>IF(ISNUMBER(benefit_original!AJ16),benefit_original!AJ16/100000000,benefit_original!AJ16)</f>
        <v>--</v>
      </c>
      <c r="AK16" s="4" t="str">
        <f>IF(ISNUMBER(benefit_original!AK16),benefit_original!AK16/100000000,benefit_original!AK16)</f>
        <v>--</v>
      </c>
      <c r="AL16" s="4" t="str">
        <f>IF(ISNUMBER(benefit_original!AL16),benefit_original!AL16/100000000,benefit_original!AL16)</f>
        <v>--</v>
      </c>
      <c r="AM16" s="4" t="str">
        <f>IF(ISNUMBER(benefit_original!AM16),benefit_original!AM16/100000000,benefit_original!AM16)</f>
        <v>--</v>
      </c>
      <c r="AN16" s="4" t="str">
        <f>IF(ISNUMBER(benefit_original!AN16),benefit_original!AN16/100000000,benefit_original!AN16)</f>
        <v>--</v>
      </c>
      <c r="AO16" s="4" t="str">
        <f>IF(ISNUMBER(benefit_original!AO16),benefit_original!AO16/100000000,benefit_original!AO16)</f>
        <v>--</v>
      </c>
      <c r="AP16" s="4" t="str">
        <f>IF(ISNUMBER(benefit_original!AP16),benefit_original!AP16/100000000,benefit_original!AP16)</f>
        <v>--</v>
      </c>
      <c r="AQ16" s="4" t="str">
        <f>IF(ISNUMBER(benefit_original!AQ16),benefit_original!AQ16/100000000,benefit_original!AQ16)</f>
        <v>--</v>
      </c>
      <c r="AR16" s="3" t="s">
        <v>133</v>
      </c>
      <c r="AS16" s="3" t="s">
        <v>133</v>
      </c>
      <c r="AT16" s="3" t="s">
        <v>133</v>
      </c>
      <c r="AU16" s="3" t="s">
        <v>133</v>
      </c>
      <c r="AV16" s="3" t="s">
        <v>133</v>
      </c>
      <c r="AW16" s="3" t="s">
        <v>133</v>
      </c>
      <c r="AX16" s="3" t="s">
        <v>133</v>
      </c>
      <c r="AY16" s="3" t="s">
        <v>133</v>
      </c>
      <c r="AZ16" s="3" t="s">
        <v>133</v>
      </c>
      <c r="BA16" s="3" t="s">
        <v>133</v>
      </c>
      <c r="BB16" s="3" t="s">
        <v>133</v>
      </c>
      <c r="BC16" s="3" t="s">
        <v>133</v>
      </c>
      <c r="BD16" s="3" t="s">
        <v>133</v>
      </c>
      <c r="BE16" s="3" t="s">
        <v>133</v>
      </c>
      <c r="BF16" s="3" t="s">
        <v>133</v>
      </c>
      <c r="BG16" s="3" t="s">
        <v>133</v>
      </c>
      <c r="BH16" s="3" t="s">
        <v>133</v>
      </c>
      <c r="BI16" s="3" t="s">
        <v>133</v>
      </c>
      <c r="BJ16" s="3" t="s">
        <v>133</v>
      </c>
      <c r="BK16" s="3" t="s">
        <v>133</v>
      </c>
      <c r="BL16" s="3" t="s">
        <v>133</v>
      </c>
      <c r="BM16" s="3" t="s">
        <v>133</v>
      </c>
      <c r="BN16" s="3" t="s">
        <v>133</v>
      </c>
      <c r="BO16" s="3" t="s">
        <v>133</v>
      </c>
      <c r="BP16" s="3" t="s">
        <v>133</v>
      </c>
      <c r="BQ16" s="3" t="s">
        <v>133</v>
      </c>
      <c r="BR16" s="3" t="s">
        <v>133</v>
      </c>
      <c r="BS16" s="3" t="s">
        <v>133</v>
      </c>
      <c r="BT16" s="3" t="s">
        <v>133</v>
      </c>
      <c r="BU16" s="3" t="s">
        <v>133</v>
      </c>
      <c r="BV16" s="3" t="s">
        <v>133</v>
      </c>
      <c r="BW16" s="3" t="s">
        <v>133</v>
      </c>
      <c r="BX16" s="3" t="s">
        <v>133</v>
      </c>
      <c r="BY16" s="3" t="s">
        <v>133</v>
      </c>
    </row>
    <row r="17" spans="1:77" x14ac:dyDescent="0.25">
      <c r="A17" s="3" t="s">
        <v>142</v>
      </c>
      <c r="B17" s="4" t="str">
        <f>IF(ISNUMBER(benefit_original!B17),benefit_original!B17/100000000,benefit_original!B17)</f>
        <v>--</v>
      </c>
      <c r="C17" s="4" t="str">
        <f>IF(ISNUMBER(benefit_original!C17),benefit_original!C17/100000000,benefit_original!C17)</f>
        <v>--</v>
      </c>
      <c r="D17" s="4" t="str">
        <f>IF(ISNUMBER(benefit_original!D17),benefit_original!D17/100000000,benefit_original!D17)</f>
        <v>--</v>
      </c>
      <c r="E17" s="4" t="str">
        <f>IF(ISNUMBER(benefit_original!E17),benefit_original!E17/100000000,benefit_original!E17)</f>
        <v>--</v>
      </c>
      <c r="F17" s="4" t="str">
        <f>IF(ISNUMBER(benefit_original!F17),benefit_original!F17/100000000,benefit_original!F17)</f>
        <v>--</v>
      </c>
      <c r="G17" s="4" t="str">
        <f>IF(ISNUMBER(benefit_original!G17),benefit_original!G17/100000000,benefit_original!G17)</f>
        <v>--</v>
      </c>
      <c r="H17" s="4" t="str">
        <f>IF(ISNUMBER(benefit_original!H17),benefit_original!H17/100000000,benefit_original!H17)</f>
        <v>--</v>
      </c>
      <c r="I17" s="4" t="str">
        <f>IF(ISNUMBER(benefit_original!I17),benefit_original!I17/100000000,benefit_original!I17)</f>
        <v>--</v>
      </c>
      <c r="J17" s="4" t="str">
        <f>IF(ISNUMBER(benefit_original!J17),benefit_original!J17/100000000,benefit_original!J17)</f>
        <v>--</v>
      </c>
      <c r="K17" s="4" t="str">
        <f>IF(ISNUMBER(benefit_original!K17),benefit_original!K17/100000000,benefit_original!K17)</f>
        <v>--</v>
      </c>
      <c r="L17" s="4" t="str">
        <f>IF(ISNUMBER(benefit_original!L17),benefit_original!L17/100000000,benefit_original!L17)</f>
        <v>--</v>
      </c>
      <c r="M17" s="4" t="str">
        <f>IF(ISNUMBER(benefit_original!M17),benefit_original!M17/100000000,benefit_original!M17)</f>
        <v>--</v>
      </c>
      <c r="N17" s="4" t="str">
        <f>IF(ISNUMBER(benefit_original!N17),benefit_original!N17/100000000,benefit_original!N17)</f>
        <v>--</v>
      </c>
      <c r="O17" s="4" t="str">
        <f>IF(ISNUMBER(benefit_original!O17),benefit_original!O17/100000000,benefit_original!O17)</f>
        <v>--</v>
      </c>
      <c r="P17" s="4" t="str">
        <f>IF(ISNUMBER(benefit_original!P17),benefit_original!P17/100000000,benefit_original!P17)</f>
        <v>--</v>
      </c>
      <c r="Q17" s="4" t="str">
        <f>IF(ISNUMBER(benefit_original!Q17),benefit_original!Q17/100000000,benefit_original!Q17)</f>
        <v>--</v>
      </c>
      <c r="R17" s="4" t="str">
        <f>IF(ISNUMBER(benefit_original!R17),benefit_original!R17/100000000,benefit_original!R17)</f>
        <v>--</v>
      </c>
      <c r="S17" s="4" t="str">
        <f>IF(ISNUMBER(benefit_original!S17),benefit_original!S17/100000000,benefit_original!S17)</f>
        <v>--</v>
      </c>
      <c r="T17" s="4" t="str">
        <f>IF(ISNUMBER(benefit_original!T17),benefit_original!T17/100000000,benefit_original!T17)</f>
        <v>--</v>
      </c>
      <c r="U17" s="4">
        <f>IF(ISNUMBER(benefit_original!U17),benefit_original!U17/100000000,benefit_original!U17)</f>
        <v>3.5704000000000002E-6</v>
      </c>
      <c r="V17" s="4">
        <f>IF(ISNUMBER(benefit_original!V17),benefit_original!V17/100000000,benefit_original!V17)</f>
        <v>5.2674999999999996E-3</v>
      </c>
      <c r="W17" s="4">
        <f>IF(ISNUMBER(benefit_original!W17),benefit_original!W17/100000000,benefit_original!W17)</f>
        <v>3.0099999999999998E-2</v>
      </c>
      <c r="X17" s="4">
        <f>IF(ISNUMBER(benefit_original!X17),benefit_original!X17/100000000,benefit_original!X17)</f>
        <v>3.3216985999999999E-3</v>
      </c>
      <c r="Y17" s="4">
        <f>IF(ISNUMBER(benefit_original!Y17),benefit_original!Y17/100000000,benefit_original!Y17)</f>
        <v>8.526575E-4</v>
      </c>
      <c r="Z17" s="4" t="str">
        <f>IF(ISNUMBER(benefit_original!Z17),benefit_original!Z17/100000000,benefit_original!Z17)</f>
        <v>--</v>
      </c>
      <c r="AA17" s="4" t="str">
        <f>IF(ISNUMBER(benefit_original!AA17),benefit_original!AA17/100000000,benefit_original!AA17)</f>
        <v>--</v>
      </c>
      <c r="AB17" s="4" t="str">
        <f>IF(ISNUMBER(benefit_original!AB17),benefit_original!AB17/100000000,benefit_original!AB17)</f>
        <v>--</v>
      </c>
      <c r="AC17" s="4" t="str">
        <f>IF(ISNUMBER(benefit_original!AC17),benefit_original!AC17/100000000,benefit_original!AC17)</f>
        <v>--</v>
      </c>
      <c r="AD17" s="4" t="str">
        <f>IF(ISNUMBER(benefit_original!AD17),benefit_original!AD17/100000000,benefit_original!AD17)</f>
        <v>--</v>
      </c>
      <c r="AE17" s="4" t="str">
        <f>IF(ISNUMBER(benefit_original!AE17),benefit_original!AE17/100000000,benefit_original!AE17)</f>
        <v>--</v>
      </c>
      <c r="AF17" s="4" t="str">
        <f>IF(ISNUMBER(benefit_original!AF17),benefit_original!AF17/100000000,benefit_original!AF17)</f>
        <v>--</v>
      </c>
      <c r="AG17" s="4" t="str">
        <f>IF(ISNUMBER(benefit_original!AG17),benefit_original!AG17/100000000,benefit_original!AG17)</f>
        <v>--</v>
      </c>
      <c r="AH17" s="4" t="str">
        <f>IF(ISNUMBER(benefit_original!AH17),benefit_original!AH17/100000000,benefit_original!AH17)</f>
        <v>--</v>
      </c>
      <c r="AI17" s="4">
        <f>IF(ISNUMBER(benefit_original!AI17),benefit_original!AI17/100000000,benefit_original!AI17)</f>
        <v>3.0099999999999998E-2</v>
      </c>
      <c r="AJ17" s="4">
        <f>IF(ISNUMBER(benefit_original!AJ17),benefit_original!AJ17/100000000,benefit_original!AJ17)</f>
        <v>9.3249999999999995E-4</v>
      </c>
      <c r="AK17" s="4">
        <f>IF(ISNUMBER(benefit_original!AK17),benefit_original!AK17/100000000,benefit_original!AK17)</f>
        <v>9.3249999999999995E-4</v>
      </c>
      <c r="AL17" s="4">
        <f>IF(ISNUMBER(benefit_original!AL17),benefit_original!AL17/100000000,benefit_original!AL17)</f>
        <v>9.3249999999999995E-4</v>
      </c>
      <c r="AM17" s="4">
        <f>IF(ISNUMBER(benefit_original!AM17),benefit_original!AM17/100000000,benefit_original!AM17)</f>
        <v>3.1032500000000001E-2</v>
      </c>
      <c r="AN17" s="4">
        <f>IF(ISNUMBER(benefit_original!AN17),benefit_original!AN17/100000000,benefit_original!AN17)</f>
        <v>9.3249999999999995E-4</v>
      </c>
      <c r="AO17" s="4">
        <f>IF(ISNUMBER(benefit_original!AO17),benefit_original!AO17/100000000,benefit_original!AO17)</f>
        <v>9.3249999999999995E-4</v>
      </c>
      <c r="AP17" s="4">
        <f>IF(ISNUMBER(benefit_original!AP17),benefit_original!AP17/100000000,benefit_original!AP17)</f>
        <v>9.3249999999999995E-4</v>
      </c>
      <c r="AQ17" s="4" t="str">
        <f>IF(ISNUMBER(benefit_original!AQ17),benefit_original!AQ17/100000000,benefit_original!AQ17)</f>
        <v>--</v>
      </c>
      <c r="AR17" s="3" t="s">
        <v>133</v>
      </c>
      <c r="AS17" s="3">
        <v>237325</v>
      </c>
      <c r="AT17" s="3">
        <v>237325</v>
      </c>
      <c r="AU17" s="3">
        <v>433722.26</v>
      </c>
      <c r="AV17" s="3">
        <v>301075</v>
      </c>
      <c r="AW17" s="3">
        <v>301075</v>
      </c>
      <c r="AX17" s="3">
        <v>301075</v>
      </c>
      <c r="AY17" s="3">
        <v>301075</v>
      </c>
      <c r="AZ17" s="3">
        <v>419025</v>
      </c>
      <c r="BA17" s="3">
        <v>955000</v>
      </c>
      <c r="BB17" s="3" t="s">
        <v>133</v>
      </c>
      <c r="BC17" s="3" t="s">
        <v>133</v>
      </c>
      <c r="BD17" s="3" t="s">
        <v>133</v>
      </c>
      <c r="BE17" s="3" t="s">
        <v>133</v>
      </c>
      <c r="BF17" s="3" t="s">
        <v>133</v>
      </c>
      <c r="BG17" s="3" t="s">
        <v>133</v>
      </c>
      <c r="BH17" s="3" t="s">
        <v>133</v>
      </c>
      <c r="BI17" s="3">
        <v>404235.37</v>
      </c>
      <c r="BJ17" s="3" t="s">
        <v>133</v>
      </c>
      <c r="BK17" s="3">
        <v>211376.83</v>
      </c>
      <c r="BL17" s="3">
        <v>-187658.6</v>
      </c>
      <c r="BM17" s="3" t="s">
        <v>133</v>
      </c>
      <c r="BN17" s="3" t="s">
        <v>133</v>
      </c>
      <c r="BO17" s="3" t="s">
        <v>133</v>
      </c>
      <c r="BP17" s="3" t="s">
        <v>133</v>
      </c>
      <c r="BQ17" s="3" t="s">
        <v>133</v>
      </c>
      <c r="BR17" s="3" t="s">
        <v>133</v>
      </c>
      <c r="BS17" s="3" t="s">
        <v>133</v>
      </c>
      <c r="BT17" s="3" t="s">
        <v>133</v>
      </c>
      <c r="BU17" s="3" t="s">
        <v>133</v>
      </c>
      <c r="BV17" s="3" t="s">
        <v>133</v>
      </c>
      <c r="BW17" s="3" t="s">
        <v>133</v>
      </c>
      <c r="BX17" s="3" t="s">
        <v>133</v>
      </c>
      <c r="BY17" s="3" t="s">
        <v>133</v>
      </c>
    </row>
    <row r="18" spans="1:77" x14ac:dyDescent="0.25">
      <c r="A18" s="3" t="s">
        <v>143</v>
      </c>
      <c r="B18" s="4" t="str">
        <f>IF(ISNUMBER(benefit_original!B18),benefit_original!B18/100000000,benefit_original!B18)</f>
        <v>--</v>
      </c>
      <c r="C18" s="4" t="str">
        <f>IF(ISNUMBER(benefit_original!C18),benefit_original!C18/100000000,benefit_original!C18)</f>
        <v>--</v>
      </c>
      <c r="D18" s="4" t="str">
        <f>IF(ISNUMBER(benefit_original!D18),benefit_original!D18/100000000,benefit_original!D18)</f>
        <v>--</v>
      </c>
      <c r="E18" s="4" t="str">
        <f>IF(ISNUMBER(benefit_original!E18),benefit_original!E18/100000000,benefit_original!E18)</f>
        <v>--</v>
      </c>
      <c r="F18" s="4" t="str">
        <f>IF(ISNUMBER(benefit_original!F18),benefit_original!F18/100000000,benefit_original!F18)</f>
        <v>--</v>
      </c>
      <c r="G18" s="4" t="str">
        <f>IF(ISNUMBER(benefit_original!G18),benefit_original!G18/100000000,benefit_original!G18)</f>
        <v>--</v>
      </c>
      <c r="H18" s="4" t="str">
        <f>IF(ISNUMBER(benefit_original!H18),benefit_original!H18/100000000,benefit_original!H18)</f>
        <v>--</v>
      </c>
      <c r="I18" s="4" t="str">
        <f>IF(ISNUMBER(benefit_original!I18),benefit_original!I18/100000000,benefit_original!I18)</f>
        <v>--</v>
      </c>
      <c r="J18" s="4" t="str">
        <f>IF(ISNUMBER(benefit_original!J18),benefit_original!J18/100000000,benefit_original!J18)</f>
        <v>--</v>
      </c>
      <c r="K18" s="4" t="str">
        <f>IF(ISNUMBER(benefit_original!K18),benefit_original!K18/100000000,benefit_original!K18)</f>
        <v>--</v>
      </c>
      <c r="L18" s="4" t="str">
        <f>IF(ISNUMBER(benefit_original!L18),benefit_original!L18/100000000,benefit_original!L18)</f>
        <v>--</v>
      </c>
      <c r="M18" s="4" t="str">
        <f>IF(ISNUMBER(benefit_original!M18),benefit_original!M18/100000000,benefit_original!M18)</f>
        <v>--</v>
      </c>
      <c r="N18" s="4" t="str">
        <f>IF(ISNUMBER(benefit_original!N18),benefit_original!N18/100000000,benefit_original!N18)</f>
        <v>--</v>
      </c>
      <c r="O18" s="4" t="str">
        <f>IF(ISNUMBER(benefit_original!O18),benefit_original!O18/100000000,benefit_original!O18)</f>
        <v>--</v>
      </c>
      <c r="P18" s="4" t="str">
        <f>IF(ISNUMBER(benefit_original!P18),benefit_original!P18/100000000,benefit_original!P18)</f>
        <v>--</v>
      </c>
      <c r="Q18" s="4" t="str">
        <f>IF(ISNUMBER(benefit_original!Q18),benefit_original!Q18/100000000,benefit_original!Q18)</f>
        <v>--</v>
      </c>
      <c r="R18" s="4" t="str">
        <f>IF(ISNUMBER(benefit_original!R18),benefit_original!R18/100000000,benefit_original!R18)</f>
        <v>--</v>
      </c>
      <c r="S18" s="4" t="str">
        <f>IF(ISNUMBER(benefit_original!S18),benefit_original!S18/100000000,benefit_original!S18)</f>
        <v>--</v>
      </c>
      <c r="T18" s="4" t="str">
        <f>IF(ISNUMBER(benefit_original!T18),benefit_original!T18/100000000,benefit_original!T18)</f>
        <v>--</v>
      </c>
      <c r="U18" s="4" t="str">
        <f>IF(ISNUMBER(benefit_original!U18),benefit_original!U18/100000000,benefit_original!U18)</f>
        <v>--</v>
      </c>
      <c r="V18" s="4" t="str">
        <f>IF(ISNUMBER(benefit_original!V18),benefit_original!V18/100000000,benefit_original!V18)</f>
        <v>--</v>
      </c>
      <c r="W18" s="4" t="str">
        <f>IF(ISNUMBER(benefit_original!W18),benefit_original!W18/100000000,benefit_original!W18)</f>
        <v>--</v>
      </c>
      <c r="X18" s="4" t="str">
        <f>IF(ISNUMBER(benefit_original!X18),benefit_original!X18/100000000,benefit_original!X18)</f>
        <v>--</v>
      </c>
      <c r="Y18" s="4" t="str">
        <f>IF(ISNUMBER(benefit_original!Y18),benefit_original!Y18/100000000,benefit_original!Y18)</f>
        <v>--</v>
      </c>
      <c r="Z18" s="4" t="str">
        <f>IF(ISNUMBER(benefit_original!Z18),benefit_original!Z18/100000000,benefit_original!Z18)</f>
        <v>--</v>
      </c>
      <c r="AA18" s="4" t="str">
        <f>IF(ISNUMBER(benefit_original!AA18),benefit_original!AA18/100000000,benefit_original!AA18)</f>
        <v>--</v>
      </c>
      <c r="AB18" s="4" t="str">
        <f>IF(ISNUMBER(benefit_original!AB18),benefit_original!AB18/100000000,benefit_original!AB18)</f>
        <v>--</v>
      </c>
      <c r="AC18" s="4" t="str">
        <f>IF(ISNUMBER(benefit_original!AC18),benefit_original!AC18/100000000,benefit_original!AC18)</f>
        <v>--</v>
      </c>
      <c r="AD18" s="4" t="str">
        <f>IF(ISNUMBER(benefit_original!AD18),benefit_original!AD18/100000000,benefit_original!AD18)</f>
        <v>--</v>
      </c>
      <c r="AE18" s="4" t="str">
        <f>IF(ISNUMBER(benefit_original!AE18),benefit_original!AE18/100000000,benefit_original!AE18)</f>
        <v>--</v>
      </c>
      <c r="AF18" s="4" t="str">
        <f>IF(ISNUMBER(benefit_original!AF18),benefit_original!AF18/100000000,benefit_original!AF18)</f>
        <v>--</v>
      </c>
      <c r="AG18" s="4" t="str">
        <f>IF(ISNUMBER(benefit_original!AG18),benefit_original!AG18/100000000,benefit_original!AG18)</f>
        <v>--</v>
      </c>
      <c r="AH18" s="4" t="str">
        <f>IF(ISNUMBER(benefit_original!AH18),benefit_original!AH18/100000000,benefit_original!AH18)</f>
        <v>--</v>
      </c>
      <c r="AI18" s="4" t="str">
        <f>IF(ISNUMBER(benefit_original!AI18),benefit_original!AI18/100000000,benefit_original!AI18)</f>
        <v>--</v>
      </c>
      <c r="AJ18" s="4" t="str">
        <f>IF(ISNUMBER(benefit_original!AJ18),benefit_original!AJ18/100000000,benefit_original!AJ18)</f>
        <v>--</v>
      </c>
      <c r="AK18" s="4" t="str">
        <f>IF(ISNUMBER(benefit_original!AK18),benefit_original!AK18/100000000,benefit_original!AK18)</f>
        <v>--</v>
      </c>
      <c r="AL18" s="4" t="str">
        <f>IF(ISNUMBER(benefit_original!AL18),benefit_original!AL18/100000000,benefit_original!AL18)</f>
        <v>--</v>
      </c>
      <c r="AM18" s="4" t="str">
        <f>IF(ISNUMBER(benefit_original!AM18),benefit_original!AM18/100000000,benefit_original!AM18)</f>
        <v>--</v>
      </c>
      <c r="AN18" s="4" t="str">
        <f>IF(ISNUMBER(benefit_original!AN18),benefit_original!AN18/100000000,benefit_original!AN18)</f>
        <v>--</v>
      </c>
      <c r="AO18" s="4" t="str">
        <f>IF(ISNUMBER(benefit_original!AO18),benefit_original!AO18/100000000,benefit_original!AO18)</f>
        <v>--</v>
      </c>
      <c r="AP18" s="4" t="str">
        <f>IF(ISNUMBER(benefit_original!AP18),benefit_original!AP18/100000000,benefit_original!AP18)</f>
        <v>--</v>
      </c>
      <c r="AQ18" s="4" t="str">
        <f>IF(ISNUMBER(benefit_original!AQ18),benefit_original!AQ18/100000000,benefit_original!AQ18)</f>
        <v>--</v>
      </c>
      <c r="AR18" s="3" t="s">
        <v>133</v>
      </c>
      <c r="AS18" s="3" t="s">
        <v>133</v>
      </c>
      <c r="AT18" s="3" t="s">
        <v>133</v>
      </c>
      <c r="AU18" s="3" t="s">
        <v>133</v>
      </c>
      <c r="AV18" s="3" t="s">
        <v>133</v>
      </c>
      <c r="AW18" s="3" t="s">
        <v>133</v>
      </c>
      <c r="AX18" s="3" t="s">
        <v>133</v>
      </c>
      <c r="AY18" s="3" t="s">
        <v>133</v>
      </c>
      <c r="AZ18" s="3" t="s">
        <v>133</v>
      </c>
      <c r="BA18" s="3" t="s">
        <v>133</v>
      </c>
      <c r="BB18" s="3" t="s">
        <v>133</v>
      </c>
      <c r="BC18" s="3" t="s">
        <v>133</v>
      </c>
      <c r="BD18" s="3" t="s">
        <v>133</v>
      </c>
      <c r="BE18" s="3" t="s">
        <v>133</v>
      </c>
      <c r="BF18" s="3" t="s">
        <v>133</v>
      </c>
      <c r="BG18" s="3" t="s">
        <v>133</v>
      </c>
      <c r="BH18" s="3" t="s">
        <v>133</v>
      </c>
      <c r="BI18" s="3" t="s">
        <v>133</v>
      </c>
      <c r="BJ18" s="3" t="s">
        <v>133</v>
      </c>
      <c r="BK18" s="3" t="s">
        <v>133</v>
      </c>
      <c r="BL18" s="3" t="s">
        <v>133</v>
      </c>
      <c r="BM18" s="3" t="s">
        <v>133</v>
      </c>
      <c r="BN18" s="3" t="s">
        <v>133</v>
      </c>
      <c r="BO18" s="3" t="s">
        <v>133</v>
      </c>
      <c r="BP18" s="3" t="s">
        <v>133</v>
      </c>
      <c r="BQ18" s="3" t="s">
        <v>133</v>
      </c>
      <c r="BR18" s="3" t="s">
        <v>133</v>
      </c>
      <c r="BS18" s="3" t="s">
        <v>133</v>
      </c>
      <c r="BT18" s="3" t="s">
        <v>133</v>
      </c>
      <c r="BU18" s="3" t="s">
        <v>133</v>
      </c>
      <c r="BV18" s="3" t="s">
        <v>133</v>
      </c>
      <c r="BW18" s="3" t="s">
        <v>133</v>
      </c>
      <c r="BX18" s="3" t="s">
        <v>133</v>
      </c>
      <c r="BY18" s="3" t="s">
        <v>133</v>
      </c>
    </row>
    <row r="19" spans="1:77" x14ac:dyDescent="0.25">
      <c r="A19" s="3" t="s">
        <v>144</v>
      </c>
      <c r="B19" s="4">
        <f>IF(ISNUMBER(benefit_original!B19),benefit_original!B19/100000000,benefit_original!B19)</f>
        <v>9.6880000000000004E-3</v>
      </c>
      <c r="C19" s="4">
        <f>IF(ISNUMBER(benefit_original!C19),benefit_original!C19/100000000,benefit_original!C19)</f>
        <v>8.7036000000000002E-2</v>
      </c>
      <c r="D19" s="4">
        <f>IF(ISNUMBER(benefit_original!D19),benefit_original!D19/100000000,benefit_original!D19)</f>
        <v>2.8431999999999999E-2</v>
      </c>
      <c r="E19" s="4" t="str">
        <f>IF(ISNUMBER(benefit_original!E19),benefit_original!E19/100000000,benefit_original!E19)</f>
        <v>--</v>
      </c>
      <c r="F19" s="4" t="str">
        <f>IF(ISNUMBER(benefit_original!F19),benefit_original!F19/100000000,benefit_original!F19)</f>
        <v>--</v>
      </c>
      <c r="G19" s="4" t="str">
        <f>IF(ISNUMBER(benefit_original!G19),benefit_original!G19/100000000,benefit_original!G19)</f>
        <v>--</v>
      </c>
      <c r="H19" s="4" t="str">
        <f>IF(ISNUMBER(benefit_original!H19),benefit_original!H19/100000000,benefit_original!H19)</f>
        <v>--</v>
      </c>
      <c r="I19" s="4" t="str">
        <f>IF(ISNUMBER(benefit_original!I19),benefit_original!I19/100000000,benefit_original!I19)</f>
        <v>--</v>
      </c>
      <c r="J19" s="4" t="str">
        <f>IF(ISNUMBER(benefit_original!J19),benefit_original!J19/100000000,benefit_original!J19)</f>
        <v>--</v>
      </c>
      <c r="K19" s="4" t="str">
        <f>IF(ISNUMBER(benefit_original!K19),benefit_original!K19/100000000,benefit_original!K19)</f>
        <v>--</v>
      </c>
      <c r="L19" s="4" t="str">
        <f>IF(ISNUMBER(benefit_original!L19),benefit_original!L19/100000000,benefit_original!L19)</f>
        <v>--</v>
      </c>
      <c r="M19" s="4" t="str">
        <f>IF(ISNUMBER(benefit_original!M19),benefit_original!M19/100000000,benefit_original!M19)</f>
        <v>--</v>
      </c>
      <c r="N19" s="4" t="str">
        <f>IF(ISNUMBER(benefit_original!N19),benefit_original!N19/100000000,benefit_original!N19)</f>
        <v>--</v>
      </c>
      <c r="O19" s="4" t="str">
        <f>IF(ISNUMBER(benefit_original!O19),benefit_original!O19/100000000,benefit_original!O19)</f>
        <v>--</v>
      </c>
      <c r="P19" s="4" t="str">
        <f>IF(ISNUMBER(benefit_original!P19),benefit_original!P19/100000000,benefit_original!P19)</f>
        <v>--</v>
      </c>
      <c r="Q19" s="4" t="str">
        <f>IF(ISNUMBER(benefit_original!Q19),benefit_original!Q19/100000000,benefit_original!Q19)</f>
        <v>--</v>
      </c>
      <c r="R19" s="4" t="str">
        <f>IF(ISNUMBER(benefit_original!R19),benefit_original!R19/100000000,benefit_original!R19)</f>
        <v>--</v>
      </c>
      <c r="S19" s="4" t="str">
        <f>IF(ISNUMBER(benefit_original!S19),benefit_original!S19/100000000,benefit_original!S19)</f>
        <v>--</v>
      </c>
      <c r="T19" s="4" t="str">
        <f>IF(ISNUMBER(benefit_original!T19),benefit_original!T19/100000000,benefit_original!T19)</f>
        <v>--</v>
      </c>
      <c r="U19" s="4" t="str">
        <f>IF(ISNUMBER(benefit_original!U19),benefit_original!U19/100000000,benefit_original!U19)</f>
        <v>--</v>
      </c>
      <c r="V19" s="4" t="str">
        <f>IF(ISNUMBER(benefit_original!V19),benefit_original!V19/100000000,benefit_original!V19)</f>
        <v>--</v>
      </c>
      <c r="W19" s="4" t="str">
        <f>IF(ISNUMBER(benefit_original!W19),benefit_original!W19/100000000,benefit_original!W19)</f>
        <v>--</v>
      </c>
      <c r="X19" s="4" t="str">
        <f>IF(ISNUMBER(benefit_original!X19),benefit_original!X19/100000000,benefit_original!X19)</f>
        <v>--</v>
      </c>
      <c r="Y19" s="4" t="str">
        <f>IF(ISNUMBER(benefit_original!Y19),benefit_original!Y19/100000000,benefit_original!Y19)</f>
        <v>--</v>
      </c>
      <c r="Z19" s="4" t="str">
        <f>IF(ISNUMBER(benefit_original!Z19),benefit_original!Z19/100000000,benefit_original!Z19)</f>
        <v>--</v>
      </c>
      <c r="AA19" s="4" t="str">
        <f>IF(ISNUMBER(benefit_original!AA19),benefit_original!AA19/100000000,benefit_original!AA19)</f>
        <v>--</v>
      </c>
      <c r="AB19" s="4" t="str">
        <f>IF(ISNUMBER(benefit_original!AB19),benefit_original!AB19/100000000,benefit_original!AB19)</f>
        <v>--</v>
      </c>
      <c r="AC19" s="4" t="str">
        <f>IF(ISNUMBER(benefit_original!AC19),benefit_original!AC19/100000000,benefit_original!AC19)</f>
        <v>--</v>
      </c>
      <c r="AD19" s="4" t="str">
        <f>IF(ISNUMBER(benefit_original!AD19),benefit_original!AD19/100000000,benefit_original!AD19)</f>
        <v>--</v>
      </c>
      <c r="AE19" s="4" t="str">
        <f>IF(ISNUMBER(benefit_original!AE19),benefit_original!AE19/100000000,benefit_original!AE19)</f>
        <v>--</v>
      </c>
      <c r="AF19" s="4" t="str">
        <f>IF(ISNUMBER(benefit_original!AF19),benefit_original!AF19/100000000,benefit_original!AF19)</f>
        <v>--</v>
      </c>
      <c r="AG19" s="4" t="str">
        <f>IF(ISNUMBER(benefit_original!AG19),benefit_original!AG19/100000000,benefit_original!AG19)</f>
        <v>--</v>
      </c>
      <c r="AH19" s="4" t="str">
        <f>IF(ISNUMBER(benefit_original!AH19),benefit_original!AH19/100000000,benefit_original!AH19)</f>
        <v>--</v>
      </c>
      <c r="AI19" s="4" t="str">
        <f>IF(ISNUMBER(benefit_original!AI19),benefit_original!AI19/100000000,benefit_original!AI19)</f>
        <v>--</v>
      </c>
      <c r="AJ19" s="4" t="str">
        <f>IF(ISNUMBER(benefit_original!AJ19),benefit_original!AJ19/100000000,benefit_original!AJ19)</f>
        <v>--</v>
      </c>
      <c r="AK19" s="4" t="str">
        <f>IF(ISNUMBER(benefit_original!AK19),benefit_original!AK19/100000000,benefit_original!AK19)</f>
        <v>--</v>
      </c>
      <c r="AL19" s="4" t="str">
        <f>IF(ISNUMBER(benefit_original!AL19),benefit_original!AL19/100000000,benefit_original!AL19)</f>
        <v>--</v>
      </c>
      <c r="AM19" s="4" t="str">
        <f>IF(ISNUMBER(benefit_original!AM19),benefit_original!AM19/100000000,benefit_original!AM19)</f>
        <v>--</v>
      </c>
      <c r="AN19" s="4" t="str">
        <f>IF(ISNUMBER(benefit_original!AN19),benefit_original!AN19/100000000,benefit_original!AN19)</f>
        <v>--</v>
      </c>
      <c r="AO19" s="4" t="str">
        <f>IF(ISNUMBER(benefit_original!AO19),benefit_original!AO19/100000000,benefit_original!AO19)</f>
        <v>--</v>
      </c>
      <c r="AP19" s="4" t="str">
        <f>IF(ISNUMBER(benefit_original!AP19),benefit_original!AP19/100000000,benefit_original!AP19)</f>
        <v>--</v>
      </c>
      <c r="AQ19" s="4" t="str">
        <f>IF(ISNUMBER(benefit_original!AQ19),benefit_original!AQ19/100000000,benefit_original!AQ19)</f>
        <v>--</v>
      </c>
      <c r="AR19" s="3" t="s">
        <v>133</v>
      </c>
      <c r="AS19" s="3" t="s">
        <v>133</v>
      </c>
      <c r="AT19" s="3" t="s">
        <v>133</v>
      </c>
      <c r="AU19" s="3" t="s">
        <v>133</v>
      </c>
      <c r="AV19" s="3" t="s">
        <v>133</v>
      </c>
      <c r="AW19" s="3" t="s">
        <v>133</v>
      </c>
      <c r="AX19" s="3" t="s">
        <v>133</v>
      </c>
      <c r="AY19" s="3" t="s">
        <v>133</v>
      </c>
      <c r="AZ19" s="3" t="s">
        <v>133</v>
      </c>
      <c r="BA19" s="3" t="s">
        <v>133</v>
      </c>
      <c r="BB19" s="3" t="s">
        <v>133</v>
      </c>
      <c r="BC19" s="3" t="s">
        <v>133</v>
      </c>
      <c r="BD19" s="3" t="s">
        <v>133</v>
      </c>
      <c r="BE19" s="3" t="s">
        <v>133</v>
      </c>
      <c r="BF19" s="3" t="s">
        <v>133</v>
      </c>
      <c r="BG19" s="3" t="s">
        <v>133</v>
      </c>
      <c r="BH19" s="3" t="s">
        <v>133</v>
      </c>
      <c r="BI19" s="3" t="s">
        <v>133</v>
      </c>
      <c r="BJ19" s="3" t="s">
        <v>133</v>
      </c>
      <c r="BK19" s="3" t="s">
        <v>133</v>
      </c>
      <c r="BL19" s="3" t="s">
        <v>133</v>
      </c>
      <c r="BM19" s="3" t="s">
        <v>133</v>
      </c>
      <c r="BN19" s="3" t="s">
        <v>133</v>
      </c>
      <c r="BO19" s="3" t="s">
        <v>133</v>
      </c>
      <c r="BP19" s="3" t="s">
        <v>133</v>
      </c>
      <c r="BQ19" s="3" t="s">
        <v>133</v>
      </c>
      <c r="BR19" s="3" t="s">
        <v>133</v>
      </c>
      <c r="BS19" s="3" t="s">
        <v>133</v>
      </c>
      <c r="BT19" s="3" t="s">
        <v>133</v>
      </c>
      <c r="BU19" s="3" t="s">
        <v>133</v>
      </c>
      <c r="BV19" s="3" t="s">
        <v>133</v>
      </c>
      <c r="BW19" s="3" t="s">
        <v>133</v>
      </c>
      <c r="BX19" s="3" t="s">
        <v>133</v>
      </c>
      <c r="BY19" s="3" t="s">
        <v>133</v>
      </c>
    </row>
    <row r="20" spans="1:77" x14ac:dyDescent="0.25">
      <c r="A20" s="3" t="s">
        <v>16</v>
      </c>
      <c r="B20" s="4">
        <f>IF(ISNUMBER(benefit_original!B20),benefit_original!B20/100000000,benefit_original!B20)</f>
        <v>159.0490596267</v>
      </c>
      <c r="C20" s="4">
        <f>IF(ISNUMBER(benefit_original!C20),benefit_original!C20/100000000,benefit_original!C20)</f>
        <v>135.20293981430001</v>
      </c>
      <c r="D20" s="4">
        <f>IF(ISNUMBER(benefit_original!D20),benefit_original!D20/100000000,benefit_original!D20)</f>
        <v>185.60620625580003</v>
      </c>
      <c r="E20" s="4">
        <f>IF(ISNUMBER(benefit_original!E20),benefit_original!E20/100000000,benefit_original!E20)</f>
        <v>157.2918192674</v>
      </c>
      <c r="F20" s="4">
        <f>IF(ISNUMBER(benefit_original!F20),benefit_original!F20/100000000,benefit_original!F20)</f>
        <v>149.1431101867</v>
      </c>
      <c r="G20" s="4">
        <f>IF(ISNUMBER(benefit_original!G20),benefit_original!G20/100000000,benefit_original!G20)</f>
        <v>124.0177405375</v>
      </c>
      <c r="H20" s="4">
        <f>IF(ISNUMBER(benefit_original!H20),benefit_original!H20/100000000,benefit_original!H20)</f>
        <v>159.96222276980001</v>
      </c>
      <c r="I20" s="4">
        <f>IF(ISNUMBER(benefit_original!I20),benefit_original!I20/100000000,benefit_original!I20)</f>
        <v>155.0506845358</v>
      </c>
      <c r="J20" s="4">
        <f>IF(ISNUMBER(benefit_original!J20),benefit_original!J20/100000000,benefit_original!J20)</f>
        <v>129.58023407100001</v>
      </c>
      <c r="K20" s="4">
        <f>IF(ISNUMBER(benefit_original!K20),benefit_original!K20/100000000,benefit_original!K20)</f>
        <v>107.0221742754</v>
      </c>
      <c r="L20" s="4">
        <f>IF(ISNUMBER(benefit_original!L20),benefit_original!L20/100000000,benefit_original!L20)</f>
        <v>121.77678392959999</v>
      </c>
      <c r="M20" s="4">
        <f>IF(ISNUMBER(benefit_original!M20),benefit_original!M20/100000000,benefit_original!M20)</f>
        <v>103.030641481</v>
      </c>
      <c r="N20" s="4">
        <f>IF(ISNUMBER(benefit_original!N20),benefit_original!N20/100000000,benefit_original!N20)</f>
        <v>125.1317346908</v>
      </c>
      <c r="O20" s="4">
        <f>IF(ISNUMBER(benefit_original!O20),benefit_original!O20/100000000,benefit_original!O20)</f>
        <v>73.3361715371</v>
      </c>
      <c r="P20" s="4">
        <f>IF(ISNUMBER(benefit_original!P20),benefit_original!P20/100000000,benefit_original!P20)</f>
        <v>87.901527625599996</v>
      </c>
      <c r="Q20" s="4">
        <f>IF(ISNUMBER(benefit_original!Q20),benefit_original!Q20/100000000,benefit_original!Q20)</f>
        <v>61.160469659899995</v>
      </c>
      <c r="R20" s="4">
        <f>IF(ISNUMBER(benefit_original!R20),benefit_original!R20/100000000,benefit_original!R20)</f>
        <v>53.894547345699998</v>
      </c>
      <c r="S20" s="4">
        <f>IF(ISNUMBER(benefit_original!S20),benefit_original!S20/100000000,benefit_original!S20)</f>
        <v>55.575603616499997</v>
      </c>
      <c r="T20" s="4">
        <f>IF(ISNUMBER(benefit_original!T20),benefit_original!T20/100000000,benefit_original!T20)</f>
        <v>72.025631072099998</v>
      </c>
      <c r="U20" s="4">
        <f>IF(ISNUMBER(benefit_original!U20),benefit_original!U20/100000000,benefit_original!U20)</f>
        <v>58.640127153199998</v>
      </c>
      <c r="V20" s="4">
        <f>IF(ISNUMBER(benefit_original!V20),benefit_original!V20/100000000,benefit_original!V20)</f>
        <v>51.433653626499996</v>
      </c>
      <c r="W20" s="4">
        <f>IF(ISNUMBER(benefit_original!W20),benefit_original!W20/100000000,benefit_original!W20)</f>
        <v>49.472818651700003</v>
      </c>
      <c r="X20" s="4">
        <f>IF(ISNUMBER(benefit_original!X20),benefit_original!X20/100000000,benefit_original!X20)</f>
        <v>62.043320197299998</v>
      </c>
      <c r="Y20" s="4">
        <f>IF(ISNUMBER(benefit_original!Y20),benefit_original!Y20/100000000,benefit_original!Y20)</f>
        <v>67.865285126000003</v>
      </c>
      <c r="Z20" s="4">
        <f>IF(ISNUMBER(benefit_original!Z20),benefit_original!Z20/100000000,benefit_original!Z20)</f>
        <v>50.654677541999995</v>
      </c>
      <c r="AA20" s="4">
        <f>IF(ISNUMBER(benefit_original!AA20),benefit_original!AA20/100000000,benefit_original!AA20)</f>
        <v>49.310574192299995</v>
      </c>
      <c r="AB20" s="4">
        <f>IF(ISNUMBER(benefit_original!AB20),benefit_original!AB20/100000000,benefit_original!AB20)</f>
        <v>53.199195648699998</v>
      </c>
      <c r="AC20" s="4">
        <f>IF(ISNUMBER(benefit_original!AC20),benefit_original!AC20/100000000,benefit_original!AC20)</f>
        <v>57.783354091599996</v>
      </c>
      <c r="AD20" s="4">
        <f>IF(ISNUMBER(benefit_original!AD20),benefit_original!AD20/100000000,benefit_original!AD20)</f>
        <v>56.154631220200002</v>
      </c>
      <c r="AE20" s="4">
        <f>IF(ISNUMBER(benefit_original!AE20),benefit_original!AE20/100000000,benefit_original!AE20)</f>
        <v>50.275667006699997</v>
      </c>
      <c r="AF20" s="4">
        <f>IF(ISNUMBER(benefit_original!AF20),benefit_original!AF20/100000000,benefit_original!AF20)</f>
        <v>53.701797201499993</v>
      </c>
      <c r="AG20" s="4">
        <f>IF(ISNUMBER(benefit_original!AG20),benefit_original!AG20/100000000,benefit_original!AG20)</f>
        <v>41.434463956199998</v>
      </c>
      <c r="AH20" s="4">
        <f>IF(ISNUMBER(benefit_original!AH20),benefit_original!AH20/100000000,benefit_original!AH20)</f>
        <v>48.876043675699997</v>
      </c>
      <c r="AI20" s="4">
        <f>IF(ISNUMBER(benefit_original!AI20),benefit_original!AI20/100000000,benefit_original!AI20)</f>
        <v>56.266771302600006</v>
      </c>
      <c r="AJ20" s="4">
        <f>IF(ISNUMBER(benefit_original!AJ20),benefit_original!AJ20/100000000,benefit_original!AJ20)</f>
        <v>41.730119242000001</v>
      </c>
      <c r="AK20" s="4">
        <f>IF(ISNUMBER(benefit_original!AK20),benefit_original!AK20/100000000,benefit_original!AK20)</f>
        <v>30.537710424899998</v>
      </c>
      <c r="AL20" s="4">
        <f>IF(ISNUMBER(benefit_original!AL20),benefit_original!AL20/100000000,benefit_original!AL20)</f>
        <v>23.9280023488</v>
      </c>
      <c r="AM20" s="4">
        <f>IF(ISNUMBER(benefit_original!AM20),benefit_original!AM20/100000000,benefit_original!AM20)</f>
        <v>42.3731479068</v>
      </c>
      <c r="AN20" s="4">
        <f>IF(ISNUMBER(benefit_original!AN20),benefit_original!AN20/100000000,benefit_original!AN20)</f>
        <v>26.522783570300003</v>
      </c>
      <c r="AO20" s="4">
        <f>IF(ISNUMBER(benefit_original!AO20),benefit_original!AO20/100000000,benefit_original!AO20)</f>
        <v>12.633984974500001</v>
      </c>
      <c r="AP20" s="4">
        <f>IF(ISNUMBER(benefit_original!AP20),benefit_original!AP20/100000000,benefit_original!AP20)</f>
        <v>15.167522523399999</v>
      </c>
      <c r="AQ20" s="4">
        <f>IF(ISNUMBER(benefit_original!AQ20),benefit_original!AQ20/100000000,benefit_original!AQ20)</f>
        <v>25.8518513452</v>
      </c>
      <c r="AR20" s="3">
        <v>1795570345.1900001</v>
      </c>
      <c r="AS20" s="3">
        <v>769561366.60000002</v>
      </c>
      <c r="AT20" s="3">
        <v>1401012724.8800001</v>
      </c>
      <c r="AU20" s="3">
        <v>2200134878.9099998</v>
      </c>
      <c r="AV20" s="3">
        <v>1704811540.3299999</v>
      </c>
      <c r="AW20" s="3">
        <v>979039105.63</v>
      </c>
      <c r="AX20" s="3">
        <v>1267223062.3</v>
      </c>
      <c r="AY20" s="3">
        <v>1922135359.21</v>
      </c>
      <c r="AZ20" s="3">
        <v>1221987327.8900001</v>
      </c>
      <c r="BA20" s="3">
        <v>2019617917.03</v>
      </c>
      <c r="BB20" s="3">
        <v>1146829089.5999999</v>
      </c>
      <c r="BC20" s="3">
        <v>485832988.24000001</v>
      </c>
      <c r="BD20" s="3">
        <v>873061006.92999995</v>
      </c>
      <c r="BE20" s="3">
        <v>798866409.46000004</v>
      </c>
      <c r="BF20" s="3">
        <v>730075291.12</v>
      </c>
      <c r="BG20" s="3">
        <v>287821767.83999997</v>
      </c>
      <c r="BH20" s="3">
        <v>670353297.54999995</v>
      </c>
      <c r="BI20" s="3">
        <v>769813291.45000005</v>
      </c>
      <c r="BJ20" s="3">
        <v>393864773.77999997</v>
      </c>
      <c r="BK20" s="3">
        <v>198105047.21000001</v>
      </c>
      <c r="BL20" s="3">
        <v>557497298.74000001</v>
      </c>
      <c r="BM20" s="3">
        <v>612414149.40999997</v>
      </c>
      <c r="BN20" s="3">
        <v>306003566.60000002</v>
      </c>
      <c r="BO20" s="3">
        <v>168532601.61000001</v>
      </c>
      <c r="BP20" s="3">
        <v>401156738.20999998</v>
      </c>
      <c r="BQ20" s="3">
        <v>380683226.81</v>
      </c>
      <c r="BR20" s="3">
        <v>184091183.16</v>
      </c>
      <c r="BS20" s="3">
        <v>69324651.939999998</v>
      </c>
      <c r="BT20" s="3">
        <v>341339342.32999998</v>
      </c>
      <c r="BU20" s="3">
        <v>120051075.19</v>
      </c>
      <c r="BV20" s="3">
        <v>126314797.01000001</v>
      </c>
      <c r="BW20" s="3">
        <v>63886513.25</v>
      </c>
      <c r="BX20" s="3">
        <v>337954898.82999998</v>
      </c>
      <c r="BY20" s="3" t="s">
        <v>133</v>
      </c>
    </row>
    <row r="21" spans="1:77" x14ac:dyDescent="0.25">
      <c r="A21" s="3" t="s">
        <v>145</v>
      </c>
      <c r="B21" s="4">
        <f>IF(ISNUMBER(benefit_original!B21),benefit_original!B21/100000000,benefit_original!B21)</f>
        <v>4.7393999999999999E-2</v>
      </c>
      <c r="C21" s="4">
        <f>IF(ISNUMBER(benefit_original!C21),benefit_original!C21/100000000,benefit_original!C21)</f>
        <v>1.6119999999999999E-2</v>
      </c>
      <c r="D21" s="4">
        <f>IF(ISNUMBER(benefit_original!D21),benefit_original!D21/100000000,benefit_original!D21)</f>
        <v>1.0088E-2</v>
      </c>
      <c r="E21" s="4">
        <f>IF(ISNUMBER(benefit_original!E21),benefit_original!E21/100000000,benefit_original!E21)</f>
        <v>5.6179999999999997E-3</v>
      </c>
      <c r="F21" s="4">
        <f>IF(ISNUMBER(benefit_original!F21),benefit_original!F21/100000000,benefit_original!F21)</f>
        <v>1.6232E-2</v>
      </c>
      <c r="G21" s="4">
        <f>IF(ISNUMBER(benefit_original!G21),benefit_original!G21/100000000,benefit_original!G21)</f>
        <v>4.8058999999999998E-2</v>
      </c>
      <c r="H21" s="4">
        <f>IF(ISNUMBER(benefit_original!H21),benefit_original!H21/100000000,benefit_original!H21)</f>
        <v>2.4635000000000001E-2</v>
      </c>
      <c r="I21" s="4">
        <f>IF(ISNUMBER(benefit_original!I21),benefit_original!I21/100000000,benefit_original!I21)</f>
        <v>9.0030000000000006E-3</v>
      </c>
      <c r="J21" s="4">
        <f>IF(ISNUMBER(benefit_original!J21),benefit_original!J21/100000000,benefit_original!J21)</f>
        <v>4.0048E-2</v>
      </c>
      <c r="K21" s="4">
        <f>IF(ISNUMBER(benefit_original!K21),benefit_original!K21/100000000,benefit_original!K21)</f>
        <v>4.4838999999999997E-2</v>
      </c>
      <c r="L21" s="4">
        <f>IF(ISNUMBER(benefit_original!L21),benefit_original!L21/100000000,benefit_original!L21)</f>
        <v>2.2305999999999999E-2</v>
      </c>
      <c r="M21" s="4">
        <f>IF(ISNUMBER(benefit_original!M21),benefit_original!M21/100000000,benefit_original!M21)</f>
        <v>2.4261999999999999E-2</v>
      </c>
      <c r="N21" s="4">
        <f>IF(ISNUMBER(benefit_original!N21),benefit_original!N21/100000000,benefit_original!N21)</f>
        <v>4.1785999999999997E-2</v>
      </c>
      <c r="O21" s="4">
        <f>IF(ISNUMBER(benefit_original!O21),benefit_original!O21/100000000,benefit_original!O21)</f>
        <v>3.8270999999999999E-2</v>
      </c>
      <c r="P21" s="4">
        <f>IF(ISNUMBER(benefit_original!P21),benefit_original!P21/100000000,benefit_original!P21)</f>
        <v>1.7701000000000001E-2</v>
      </c>
      <c r="Q21" s="4">
        <f>IF(ISNUMBER(benefit_original!Q21),benefit_original!Q21/100000000,benefit_original!Q21)</f>
        <v>2.9160000000000002E-3</v>
      </c>
      <c r="R21" s="4">
        <f>IF(ISNUMBER(benefit_original!R21),benefit_original!R21/100000000,benefit_original!R21)</f>
        <v>2.8874E-2</v>
      </c>
      <c r="S21" s="4">
        <f>IF(ISNUMBER(benefit_original!S21),benefit_original!S21/100000000,benefit_original!S21)</f>
        <v>1.1752E-2</v>
      </c>
      <c r="T21" s="4">
        <f>IF(ISNUMBER(benefit_original!T21),benefit_original!T21/100000000,benefit_original!T21)</f>
        <v>4.1995999999999999E-2</v>
      </c>
      <c r="U21" s="4">
        <f>IF(ISNUMBER(benefit_original!U21),benefit_original!U21/100000000,benefit_original!U21)</f>
        <v>3.6713999999999997E-2</v>
      </c>
      <c r="V21" s="4">
        <f>IF(ISNUMBER(benefit_original!V21),benefit_original!V21/100000000,benefit_original!V21)</f>
        <v>4.3889999999999997E-3</v>
      </c>
      <c r="W21" s="4">
        <f>IF(ISNUMBER(benefit_original!W21),benefit_original!W21/100000000,benefit_original!W21)</f>
        <v>2.1289999999999998E-3</v>
      </c>
      <c r="X21" s="4">
        <f>IF(ISNUMBER(benefit_original!X21),benefit_original!X21/100000000,benefit_original!X21)</f>
        <v>5.0000000000000001E-3</v>
      </c>
      <c r="Y21" s="4">
        <f>IF(ISNUMBER(benefit_original!Y21),benefit_original!Y21/100000000,benefit_original!Y21)</f>
        <v>4.0530999999999998E-2</v>
      </c>
      <c r="Z21" s="4">
        <f>IF(ISNUMBER(benefit_original!Z21),benefit_original!Z21/100000000,benefit_original!Z21)</f>
        <v>1.8783000000000001E-2</v>
      </c>
      <c r="AA21" s="4">
        <f>IF(ISNUMBER(benefit_original!AA21),benefit_original!AA21/100000000,benefit_original!AA21)</f>
        <v>5.7899999999999998E-4</v>
      </c>
      <c r="AB21" s="4">
        <f>IF(ISNUMBER(benefit_original!AB21),benefit_original!AB21/100000000,benefit_original!AB21)</f>
        <v>5.7320000000000001E-3</v>
      </c>
      <c r="AC21" s="4">
        <f>IF(ISNUMBER(benefit_original!AC21),benefit_original!AC21/100000000,benefit_original!AC21)</f>
        <v>5.0512000000000001E-2</v>
      </c>
      <c r="AD21" s="4">
        <f>IF(ISNUMBER(benefit_original!AD21),benefit_original!AD21/100000000,benefit_original!AD21)</f>
        <v>0.27530100000000002</v>
      </c>
      <c r="AE21" s="4">
        <f>IF(ISNUMBER(benefit_original!AE21),benefit_original!AE21/100000000,benefit_original!AE21)</f>
        <v>1.487E-3</v>
      </c>
      <c r="AF21" s="4">
        <f>IF(ISNUMBER(benefit_original!AF21),benefit_original!AF21/100000000,benefit_original!AF21)</f>
        <v>3.3300000000000002E-4</v>
      </c>
      <c r="AG21" s="4">
        <f>IF(ISNUMBER(benefit_original!AG21),benefit_original!AG21/100000000,benefit_original!AG21)</f>
        <v>2.0856E-2</v>
      </c>
      <c r="AH21" s="4">
        <f>IF(ISNUMBER(benefit_original!AH21),benefit_original!AH21/100000000,benefit_original!AH21)</f>
        <v>2.4760999999999998E-2</v>
      </c>
      <c r="AI21" s="4">
        <f>IF(ISNUMBER(benefit_original!AI21),benefit_original!AI21/100000000,benefit_original!AI21)</f>
        <v>2.3939999999999999E-3</v>
      </c>
      <c r="AJ21" s="4">
        <f>IF(ISNUMBER(benefit_original!AJ21),benefit_original!AJ21/100000000,benefit_original!AJ21)</f>
        <v>1.9553999999999998E-2</v>
      </c>
      <c r="AK21" s="4">
        <f>IF(ISNUMBER(benefit_original!AK21),benefit_original!AK21/100000000,benefit_original!AK21)</f>
        <v>2.2280999999999999E-2</v>
      </c>
      <c r="AL21" s="4">
        <f>IF(ISNUMBER(benefit_original!AL21),benefit_original!AL21/100000000,benefit_original!AL21)</f>
        <v>1.9615E-2</v>
      </c>
      <c r="AM21" s="4">
        <f>IF(ISNUMBER(benefit_original!AM21),benefit_original!AM21/100000000,benefit_original!AM21)</f>
        <v>1.0129000000000001E-2</v>
      </c>
      <c r="AN21" s="4">
        <f>IF(ISNUMBER(benefit_original!AN21),benefit_original!AN21/100000000,benefit_original!AN21)</f>
        <v>1.9791E-2</v>
      </c>
      <c r="AO21" s="4">
        <f>IF(ISNUMBER(benefit_original!AO21),benefit_original!AO21/100000000,benefit_original!AO21)</f>
        <v>3.3361000000000002E-2</v>
      </c>
      <c r="AP21" s="4">
        <f>IF(ISNUMBER(benefit_original!AP21),benefit_original!AP21/100000000,benefit_original!AP21)</f>
        <v>1.5726E-2</v>
      </c>
      <c r="AQ21" s="4">
        <f>IF(ISNUMBER(benefit_original!AQ21),benefit_original!AQ21/100000000,benefit_original!AQ21)</f>
        <v>3.8809999999999999E-3</v>
      </c>
      <c r="AR21" s="3">
        <v>10300</v>
      </c>
      <c r="AS21" s="3">
        <v>5753700</v>
      </c>
      <c r="AT21" s="3">
        <v>-1367300</v>
      </c>
      <c r="AU21" s="3">
        <v>630000</v>
      </c>
      <c r="AV21" s="3">
        <v>1231600</v>
      </c>
      <c r="AW21" s="3">
        <v>3900700</v>
      </c>
      <c r="AX21" s="3">
        <v>1216900</v>
      </c>
      <c r="AY21" s="3">
        <v>594100</v>
      </c>
      <c r="AZ21" s="3">
        <v>570500</v>
      </c>
      <c r="BA21" s="3">
        <v>267100</v>
      </c>
      <c r="BB21" s="3">
        <v>312300</v>
      </c>
      <c r="BC21" s="3">
        <v>1219600</v>
      </c>
      <c r="BD21" s="3">
        <v>1118100</v>
      </c>
      <c r="BE21" s="3">
        <v>88700</v>
      </c>
      <c r="BF21" s="3">
        <v>145300</v>
      </c>
      <c r="BG21" s="3">
        <v>586900</v>
      </c>
      <c r="BH21" s="3">
        <v>328700</v>
      </c>
      <c r="BI21" s="3">
        <v>449500</v>
      </c>
      <c r="BJ21" s="3">
        <v>115300</v>
      </c>
      <c r="BK21" s="3">
        <v>1186600</v>
      </c>
      <c r="BL21" s="3">
        <v>11500</v>
      </c>
      <c r="BM21" s="3">
        <v>3388700</v>
      </c>
      <c r="BN21" s="3">
        <v>177600</v>
      </c>
      <c r="BO21" s="3">
        <v>20700</v>
      </c>
      <c r="BP21" s="3">
        <v>14900</v>
      </c>
      <c r="BQ21" s="3">
        <v>327900</v>
      </c>
      <c r="BR21" s="3">
        <v>482100</v>
      </c>
      <c r="BS21" s="3">
        <v>470700</v>
      </c>
      <c r="BT21" s="3">
        <v>111600</v>
      </c>
      <c r="BU21" s="3">
        <v>69200</v>
      </c>
      <c r="BV21" s="3">
        <v>13400</v>
      </c>
      <c r="BW21" s="3">
        <v>5000</v>
      </c>
      <c r="BX21" s="3">
        <v>50200</v>
      </c>
      <c r="BY21" s="3" t="s">
        <v>133</v>
      </c>
    </row>
    <row r="22" spans="1:77" x14ac:dyDescent="0.25">
      <c r="A22" s="3" t="s">
        <v>146</v>
      </c>
      <c r="B22" s="4" t="str">
        <f>IF(ISNUMBER(benefit_original!B22),benefit_original!B22/100000000,benefit_original!B22)</f>
        <v>--</v>
      </c>
      <c r="C22" s="4" t="str">
        <f>IF(ISNUMBER(benefit_original!C22),benefit_original!C22/100000000,benefit_original!C22)</f>
        <v>--</v>
      </c>
      <c r="D22" s="4" t="str">
        <f>IF(ISNUMBER(benefit_original!D22),benefit_original!D22/100000000,benefit_original!D22)</f>
        <v>--</v>
      </c>
      <c r="E22" s="4" t="str">
        <f>IF(ISNUMBER(benefit_original!E22),benefit_original!E22/100000000,benefit_original!E22)</f>
        <v>--</v>
      </c>
      <c r="F22" s="4" t="str">
        <f>IF(ISNUMBER(benefit_original!F22),benefit_original!F22/100000000,benefit_original!F22)</f>
        <v>--</v>
      </c>
      <c r="G22" s="4" t="str">
        <f>IF(ISNUMBER(benefit_original!G22),benefit_original!G22/100000000,benefit_original!G22)</f>
        <v>--</v>
      </c>
      <c r="H22" s="4" t="str">
        <f>IF(ISNUMBER(benefit_original!H22),benefit_original!H22/100000000,benefit_original!H22)</f>
        <v>--</v>
      </c>
      <c r="I22" s="4" t="str">
        <f>IF(ISNUMBER(benefit_original!I22),benefit_original!I22/100000000,benefit_original!I22)</f>
        <v>--</v>
      </c>
      <c r="J22" s="4" t="str">
        <f>IF(ISNUMBER(benefit_original!J22),benefit_original!J22/100000000,benefit_original!J22)</f>
        <v>--</v>
      </c>
      <c r="K22" s="4" t="str">
        <f>IF(ISNUMBER(benefit_original!K22),benefit_original!K22/100000000,benefit_original!K22)</f>
        <v>--</v>
      </c>
      <c r="L22" s="4" t="str">
        <f>IF(ISNUMBER(benefit_original!L22),benefit_original!L22/100000000,benefit_original!L22)</f>
        <v>--</v>
      </c>
      <c r="M22" s="4" t="str">
        <f>IF(ISNUMBER(benefit_original!M22),benefit_original!M22/100000000,benefit_original!M22)</f>
        <v>--</v>
      </c>
      <c r="N22" s="4" t="str">
        <f>IF(ISNUMBER(benefit_original!N22),benefit_original!N22/100000000,benefit_original!N22)</f>
        <v>--</v>
      </c>
      <c r="O22" s="4" t="str">
        <f>IF(ISNUMBER(benefit_original!O22),benefit_original!O22/100000000,benefit_original!O22)</f>
        <v>--</v>
      </c>
      <c r="P22" s="4" t="str">
        <f>IF(ISNUMBER(benefit_original!P22),benefit_original!P22/100000000,benefit_original!P22)</f>
        <v>--</v>
      </c>
      <c r="Q22" s="4" t="str">
        <f>IF(ISNUMBER(benefit_original!Q22),benefit_original!Q22/100000000,benefit_original!Q22)</f>
        <v>--</v>
      </c>
      <c r="R22" s="4">
        <f>IF(ISNUMBER(benefit_original!R22),benefit_original!R22/100000000,benefit_original!R22)</f>
        <v>1.1E-5</v>
      </c>
      <c r="S22" s="4">
        <f>IF(ISNUMBER(benefit_original!S22),benefit_original!S22/100000000,benefit_original!S22)</f>
        <v>-4.1399999999999998E-4</v>
      </c>
      <c r="T22" s="4">
        <f>IF(ISNUMBER(benefit_original!T22),benefit_original!T22/100000000,benefit_original!T22)</f>
        <v>1.173E-3</v>
      </c>
      <c r="U22" s="4">
        <f>IF(ISNUMBER(benefit_original!U22),benefit_original!U22/100000000,benefit_original!U22)</f>
        <v>2.0430000000000001E-3</v>
      </c>
      <c r="V22" s="4">
        <f>IF(ISNUMBER(benefit_original!V22),benefit_original!V22/100000000,benefit_original!V22)</f>
        <v>1.2999999999999999E-5</v>
      </c>
      <c r="W22" s="4" t="str">
        <f>IF(ISNUMBER(benefit_original!W22),benefit_original!W22/100000000,benefit_original!W22)</f>
        <v>--</v>
      </c>
      <c r="X22" s="4" t="str">
        <f>IF(ISNUMBER(benefit_original!X22),benefit_original!X22/100000000,benefit_original!X22)</f>
        <v>--</v>
      </c>
      <c r="Y22" s="4">
        <f>IF(ISNUMBER(benefit_original!Y22),benefit_original!Y22/100000000,benefit_original!Y22)</f>
        <v>1.4246999999999999E-2</v>
      </c>
      <c r="Z22" s="4" t="str">
        <f>IF(ISNUMBER(benefit_original!Z22),benefit_original!Z22/100000000,benefit_original!Z22)</f>
        <v>--</v>
      </c>
      <c r="AA22" s="4">
        <f>IF(ISNUMBER(benefit_original!AA22),benefit_original!AA22/100000000,benefit_original!AA22)</f>
        <v>3.68E-4</v>
      </c>
      <c r="AB22" s="4">
        <f>IF(ISNUMBER(benefit_original!AB22),benefit_original!AB22/100000000,benefit_original!AB22)</f>
        <v>1.7340000000000001E-3</v>
      </c>
      <c r="AC22" s="4" t="str">
        <f>IF(ISNUMBER(benefit_original!AC22),benefit_original!AC22/100000000,benefit_original!AC22)</f>
        <v>--</v>
      </c>
      <c r="AD22" s="4" t="str">
        <f>IF(ISNUMBER(benefit_original!AD22),benefit_original!AD22/100000000,benefit_original!AD22)</f>
        <v>--</v>
      </c>
      <c r="AE22" s="4" t="str">
        <f>IF(ISNUMBER(benefit_original!AE22),benefit_original!AE22/100000000,benefit_original!AE22)</f>
        <v>--</v>
      </c>
      <c r="AF22" s="4" t="str">
        <f>IF(ISNUMBER(benefit_original!AF22),benefit_original!AF22/100000000,benefit_original!AF22)</f>
        <v>--</v>
      </c>
      <c r="AG22" s="4" t="str">
        <f>IF(ISNUMBER(benefit_original!AG22),benefit_original!AG22/100000000,benefit_original!AG22)</f>
        <v>--</v>
      </c>
      <c r="AH22" s="4" t="str">
        <f>IF(ISNUMBER(benefit_original!AH22),benefit_original!AH22/100000000,benefit_original!AH22)</f>
        <v>--</v>
      </c>
      <c r="AI22" s="4" t="str">
        <f>IF(ISNUMBER(benefit_original!AI22),benefit_original!AI22/100000000,benefit_original!AI22)</f>
        <v>--</v>
      </c>
      <c r="AJ22" s="4" t="str">
        <f>IF(ISNUMBER(benefit_original!AJ22),benefit_original!AJ22/100000000,benefit_original!AJ22)</f>
        <v>--</v>
      </c>
      <c r="AK22" s="4" t="str">
        <f>IF(ISNUMBER(benefit_original!AK22),benefit_original!AK22/100000000,benefit_original!AK22)</f>
        <v>--</v>
      </c>
      <c r="AL22" s="4" t="str">
        <f>IF(ISNUMBER(benefit_original!AL22),benefit_original!AL22/100000000,benefit_original!AL22)</f>
        <v>--</v>
      </c>
      <c r="AM22" s="4" t="str">
        <f>IF(ISNUMBER(benefit_original!AM22),benefit_original!AM22/100000000,benefit_original!AM22)</f>
        <v>--</v>
      </c>
      <c r="AN22" s="4" t="str">
        <f>IF(ISNUMBER(benefit_original!AN22),benefit_original!AN22/100000000,benefit_original!AN22)</f>
        <v>--</v>
      </c>
      <c r="AO22" s="4" t="str">
        <f>IF(ISNUMBER(benefit_original!AO22),benefit_original!AO22/100000000,benefit_original!AO22)</f>
        <v>--</v>
      </c>
      <c r="AP22" s="4" t="str">
        <f>IF(ISNUMBER(benefit_original!AP22),benefit_original!AP22/100000000,benefit_original!AP22)</f>
        <v>--</v>
      </c>
      <c r="AQ22" s="4" t="str">
        <f>IF(ISNUMBER(benefit_original!AQ22),benefit_original!AQ22/100000000,benefit_original!AQ22)</f>
        <v>--</v>
      </c>
      <c r="AR22" s="3" t="s">
        <v>133</v>
      </c>
      <c r="AS22" s="3" t="s">
        <v>133</v>
      </c>
      <c r="AT22" s="3" t="s">
        <v>133</v>
      </c>
      <c r="AU22" s="3" t="s">
        <v>133</v>
      </c>
      <c r="AV22" s="3" t="s">
        <v>133</v>
      </c>
      <c r="AW22" s="3" t="s">
        <v>133</v>
      </c>
      <c r="AX22" s="3" t="s">
        <v>133</v>
      </c>
      <c r="AY22" s="3" t="s">
        <v>133</v>
      </c>
      <c r="AZ22" s="3" t="s">
        <v>133</v>
      </c>
      <c r="BA22" s="3" t="s">
        <v>133</v>
      </c>
      <c r="BB22" s="3" t="s">
        <v>133</v>
      </c>
      <c r="BC22" s="3" t="s">
        <v>133</v>
      </c>
      <c r="BD22" s="3" t="s">
        <v>133</v>
      </c>
      <c r="BE22" s="3" t="s">
        <v>133</v>
      </c>
      <c r="BF22" s="3" t="s">
        <v>133</v>
      </c>
      <c r="BG22" s="3" t="s">
        <v>133</v>
      </c>
      <c r="BH22" s="3" t="s">
        <v>133</v>
      </c>
      <c r="BI22" s="3" t="s">
        <v>133</v>
      </c>
      <c r="BJ22" s="3" t="s">
        <v>133</v>
      </c>
      <c r="BK22" s="3" t="s">
        <v>133</v>
      </c>
      <c r="BL22" s="3" t="s">
        <v>133</v>
      </c>
      <c r="BM22" s="3" t="s">
        <v>133</v>
      </c>
      <c r="BN22" s="3" t="s">
        <v>133</v>
      </c>
      <c r="BO22" s="3" t="s">
        <v>133</v>
      </c>
      <c r="BP22" s="3" t="s">
        <v>133</v>
      </c>
      <c r="BQ22" s="3" t="s">
        <v>133</v>
      </c>
      <c r="BR22" s="3" t="s">
        <v>133</v>
      </c>
      <c r="BS22" s="3" t="s">
        <v>133</v>
      </c>
      <c r="BT22" s="3" t="s">
        <v>133</v>
      </c>
      <c r="BU22" s="3" t="s">
        <v>133</v>
      </c>
      <c r="BV22" s="3" t="s">
        <v>133</v>
      </c>
      <c r="BW22" s="3" t="s">
        <v>133</v>
      </c>
      <c r="BX22" s="3" t="s">
        <v>133</v>
      </c>
      <c r="BY22" s="3" t="s">
        <v>133</v>
      </c>
    </row>
    <row r="23" spans="1:77" x14ac:dyDescent="0.25">
      <c r="A23" s="3" t="s">
        <v>147</v>
      </c>
      <c r="B23" s="4">
        <f>IF(ISNUMBER(benefit_original!B23),benefit_original!B23/100000000,benefit_original!B23)</f>
        <v>9.4403000000000001E-2</v>
      </c>
      <c r="C23" s="4">
        <f>IF(ISNUMBER(benefit_original!C23),benefit_original!C23/100000000,benefit_original!C23)</f>
        <v>0.24923400000000001</v>
      </c>
      <c r="D23" s="4">
        <f>IF(ISNUMBER(benefit_original!D23),benefit_original!D23/100000000,benefit_original!D23)</f>
        <v>0.80127599999999999</v>
      </c>
      <c r="E23" s="4">
        <f>IF(ISNUMBER(benefit_original!E23),benefit_original!E23/100000000,benefit_original!E23)</f>
        <v>1.5310509999999999</v>
      </c>
      <c r="F23" s="4">
        <f>IF(ISNUMBER(benefit_original!F23),benefit_original!F23/100000000,benefit_original!F23)</f>
        <v>1.524E-3</v>
      </c>
      <c r="G23" s="4">
        <f>IF(ISNUMBER(benefit_original!G23),benefit_original!G23/100000000,benefit_original!G23)</f>
        <v>5.1327999999999999E-2</v>
      </c>
      <c r="H23" s="4">
        <f>IF(ISNUMBER(benefit_original!H23),benefit_original!H23/100000000,benefit_original!H23)</f>
        <v>1.1000160000000001</v>
      </c>
      <c r="I23" s="4">
        <f>IF(ISNUMBER(benefit_original!I23),benefit_original!I23/100000000,benefit_original!I23)</f>
        <v>2.5568369999999998</v>
      </c>
      <c r="J23" s="4">
        <f>IF(ISNUMBER(benefit_original!J23),benefit_original!J23/100000000,benefit_original!J23)</f>
        <v>1.0467660000000001</v>
      </c>
      <c r="K23" s="4">
        <f>IF(ISNUMBER(benefit_original!K23),benefit_original!K23/100000000,benefit_original!K23)</f>
        <v>1.5926720000000001</v>
      </c>
      <c r="L23" s="4">
        <f>IF(ISNUMBER(benefit_original!L23),benefit_original!L23/100000000,benefit_original!L23)</f>
        <v>7.3761999999999994E-2</v>
      </c>
      <c r="M23" s="4">
        <f>IF(ISNUMBER(benefit_original!M23),benefit_original!M23/100000000,benefit_original!M23)</f>
        <v>0.58255900000000005</v>
      </c>
      <c r="N23" s="4">
        <f>IF(ISNUMBER(benefit_original!N23),benefit_original!N23/100000000,benefit_original!N23)</f>
        <v>1.0804389999999999</v>
      </c>
      <c r="O23" s="4">
        <f>IF(ISNUMBER(benefit_original!O23),benefit_original!O23/100000000,benefit_original!O23)</f>
        <v>8.9551000000000006E-2</v>
      </c>
      <c r="P23" s="4">
        <f>IF(ISNUMBER(benefit_original!P23),benefit_original!P23/100000000,benefit_original!P23)</f>
        <v>0.36882399999999999</v>
      </c>
      <c r="Q23" s="4">
        <f>IF(ISNUMBER(benefit_original!Q23),benefit_original!Q23/100000000,benefit_original!Q23)</f>
        <v>1.9644239999999999</v>
      </c>
      <c r="R23" s="4">
        <f>IF(ISNUMBER(benefit_original!R23),benefit_original!R23/100000000,benefit_original!R23)</f>
        <v>1.196426</v>
      </c>
      <c r="S23" s="4">
        <f>IF(ISNUMBER(benefit_original!S23),benefit_original!S23/100000000,benefit_original!S23)</f>
        <v>1.8580000000000001E-3</v>
      </c>
      <c r="T23" s="4">
        <f>IF(ISNUMBER(benefit_original!T23),benefit_original!T23/100000000,benefit_original!T23)</f>
        <v>2.72E-4</v>
      </c>
      <c r="U23" s="4">
        <f>IF(ISNUMBER(benefit_original!U23),benefit_original!U23/100000000,benefit_original!U23)</f>
        <v>0.28198699999999999</v>
      </c>
      <c r="V23" s="4">
        <f>IF(ISNUMBER(benefit_original!V23),benefit_original!V23/100000000,benefit_original!V23)</f>
        <v>1.310082</v>
      </c>
      <c r="W23" s="4">
        <f>IF(ISNUMBER(benefit_original!W23),benefit_original!W23/100000000,benefit_original!W23)</f>
        <v>7.7499999999999997E-4</v>
      </c>
      <c r="X23" s="4">
        <f>IF(ISNUMBER(benefit_original!X23),benefit_original!X23/100000000,benefit_original!X23)</f>
        <v>2.8157999999999999E-2</v>
      </c>
      <c r="Y23" s="4">
        <f>IF(ISNUMBER(benefit_original!Y23),benefit_original!Y23/100000000,benefit_original!Y23)</f>
        <v>0.87435799999999997</v>
      </c>
      <c r="Z23" s="4">
        <f>IF(ISNUMBER(benefit_original!Z23),benefit_original!Z23/100000000,benefit_original!Z23)</f>
        <v>1.1132850000000001</v>
      </c>
      <c r="AA23" s="4">
        <f>IF(ISNUMBER(benefit_original!AA23),benefit_original!AA23/100000000,benefit_original!AA23)</f>
        <v>0.20286499999999999</v>
      </c>
      <c r="AB23" s="4">
        <f>IF(ISNUMBER(benefit_original!AB23),benefit_original!AB23/100000000,benefit_original!AB23)</f>
        <v>8.1426999999999999E-2</v>
      </c>
      <c r="AC23" s="4">
        <f>IF(ISNUMBER(benefit_original!AC23),benefit_original!AC23/100000000,benefit_original!AC23)</f>
        <v>0.18413299999999999</v>
      </c>
      <c r="AD23" s="4">
        <f>IF(ISNUMBER(benefit_original!AD23),benefit_original!AD23/100000000,benefit_original!AD23)</f>
        <v>1.010122</v>
      </c>
      <c r="AE23" s="4">
        <f>IF(ISNUMBER(benefit_original!AE23),benefit_original!AE23/100000000,benefit_original!AE23)</f>
        <v>0.20197399999999999</v>
      </c>
      <c r="AF23" s="4">
        <f>IF(ISNUMBER(benefit_original!AF23),benefit_original!AF23/100000000,benefit_original!AF23)</f>
        <v>2.5232480000000002</v>
      </c>
      <c r="AG23" s="4">
        <f>IF(ISNUMBER(benefit_original!AG23),benefit_original!AG23/100000000,benefit_original!AG23)</f>
        <v>0.30298199999999997</v>
      </c>
      <c r="AH23" s="4">
        <f>IF(ISNUMBER(benefit_original!AH23),benefit_original!AH23/100000000,benefit_original!AH23)</f>
        <v>1.05</v>
      </c>
      <c r="AI23" s="4">
        <f>IF(ISNUMBER(benefit_original!AI23),benefit_original!AI23/100000000,benefit_original!AI23)</f>
        <v>1.6693E-2</v>
      </c>
      <c r="AJ23" s="4">
        <f>IF(ISNUMBER(benefit_original!AJ23),benefit_original!AJ23/100000000,benefit_original!AJ23)</f>
        <v>3.8299999999999999E-4</v>
      </c>
      <c r="AK23" s="4">
        <f>IF(ISNUMBER(benefit_original!AK23),benefit_original!AK23/100000000,benefit_original!AK23)</f>
        <v>8.9289999999999994E-3</v>
      </c>
      <c r="AL23" s="4">
        <f>IF(ISNUMBER(benefit_original!AL23),benefit_original!AL23/100000000,benefit_original!AL23)</f>
        <v>2.5543E-2</v>
      </c>
      <c r="AM23" s="4">
        <f>IF(ISNUMBER(benefit_original!AM23),benefit_original!AM23/100000000,benefit_original!AM23)</f>
        <v>5.0868999999999998E-2</v>
      </c>
      <c r="AN23" s="4">
        <f>IF(ISNUMBER(benefit_original!AN23),benefit_original!AN23/100000000,benefit_original!AN23)</f>
        <v>1.5139999999999999E-3</v>
      </c>
      <c r="AO23" s="4">
        <f>IF(ISNUMBER(benefit_original!AO23),benefit_original!AO23/100000000,benefit_original!AO23)</f>
        <v>1.023E-3</v>
      </c>
      <c r="AP23" s="4">
        <f>IF(ISNUMBER(benefit_original!AP23),benefit_original!AP23/100000000,benefit_original!AP23)</f>
        <v>5.6800000000000004E-4</v>
      </c>
      <c r="AQ23" s="4">
        <f>IF(ISNUMBER(benefit_original!AQ23),benefit_original!AQ23/100000000,benefit_original!AQ23)</f>
        <v>8.3759999999999998E-3</v>
      </c>
      <c r="AR23" s="3">
        <v>2800000</v>
      </c>
      <c r="AS23" s="3">
        <v>142000</v>
      </c>
      <c r="AT23" s="3">
        <v>77700</v>
      </c>
      <c r="AU23" s="3">
        <v>8900</v>
      </c>
      <c r="AV23" s="3">
        <v>1000000</v>
      </c>
      <c r="AW23" s="3">
        <v>1530000</v>
      </c>
      <c r="AX23" s="3">
        <v>73300</v>
      </c>
      <c r="AY23" s="3" t="s">
        <v>133</v>
      </c>
      <c r="AZ23" s="3" t="s">
        <v>133</v>
      </c>
      <c r="BA23" s="3">
        <v>5906800</v>
      </c>
      <c r="BB23" s="3">
        <v>155000</v>
      </c>
      <c r="BC23" s="3">
        <v>160600</v>
      </c>
      <c r="BD23" s="3">
        <v>10700</v>
      </c>
      <c r="BE23" s="3">
        <v>149500</v>
      </c>
      <c r="BF23" s="3">
        <v>50000</v>
      </c>
      <c r="BG23" s="3" t="s">
        <v>133</v>
      </c>
      <c r="BH23" s="3">
        <v>1100</v>
      </c>
      <c r="BI23" s="3">
        <v>796600</v>
      </c>
      <c r="BJ23" s="3" t="s">
        <v>133</v>
      </c>
      <c r="BK23" s="3" t="s">
        <v>133</v>
      </c>
      <c r="BL23" s="3" t="s">
        <v>133</v>
      </c>
      <c r="BM23" s="3">
        <v>984000</v>
      </c>
      <c r="BN23" s="3">
        <v>50000</v>
      </c>
      <c r="BO23" s="3">
        <v>1000</v>
      </c>
      <c r="BP23" s="3">
        <v>1400</v>
      </c>
      <c r="BQ23" s="3">
        <v>5700</v>
      </c>
      <c r="BR23" s="3">
        <v>121900</v>
      </c>
      <c r="BS23" s="3">
        <v>1600</v>
      </c>
      <c r="BT23" s="3">
        <v>8400</v>
      </c>
      <c r="BU23" s="3" t="s">
        <v>133</v>
      </c>
      <c r="BV23" s="3" t="s">
        <v>133</v>
      </c>
      <c r="BW23" s="3">
        <v>10400</v>
      </c>
      <c r="BX23" s="3">
        <v>200</v>
      </c>
      <c r="BY23" s="3" t="s">
        <v>133</v>
      </c>
    </row>
    <row r="24" spans="1:77" x14ac:dyDescent="0.25">
      <c r="A24" s="3" t="s">
        <v>148</v>
      </c>
      <c r="B24" s="4" t="str">
        <f>IF(ISNUMBER(benefit_original!B24),benefit_original!B24/100000000,benefit_original!B24)</f>
        <v>--</v>
      </c>
      <c r="C24" s="4" t="str">
        <f>IF(ISNUMBER(benefit_original!C24),benefit_original!C24/100000000,benefit_original!C24)</f>
        <v>--</v>
      </c>
      <c r="D24" s="4" t="str">
        <f>IF(ISNUMBER(benefit_original!D24),benefit_original!D24/100000000,benefit_original!D24)</f>
        <v>--</v>
      </c>
      <c r="E24" s="4" t="str">
        <f>IF(ISNUMBER(benefit_original!E24),benefit_original!E24/100000000,benefit_original!E24)</f>
        <v>--</v>
      </c>
      <c r="F24" s="4" t="str">
        <f>IF(ISNUMBER(benefit_original!F24),benefit_original!F24/100000000,benefit_original!F24)</f>
        <v>--</v>
      </c>
      <c r="G24" s="4" t="str">
        <f>IF(ISNUMBER(benefit_original!G24),benefit_original!G24/100000000,benefit_original!G24)</f>
        <v>--</v>
      </c>
      <c r="H24" s="4" t="str">
        <f>IF(ISNUMBER(benefit_original!H24),benefit_original!H24/100000000,benefit_original!H24)</f>
        <v>--</v>
      </c>
      <c r="I24" s="4" t="str">
        <f>IF(ISNUMBER(benefit_original!I24),benefit_original!I24/100000000,benefit_original!I24)</f>
        <v>--</v>
      </c>
      <c r="J24" s="4" t="str">
        <f>IF(ISNUMBER(benefit_original!J24),benefit_original!J24/100000000,benefit_original!J24)</f>
        <v>--</v>
      </c>
      <c r="K24" s="4" t="str">
        <f>IF(ISNUMBER(benefit_original!K24),benefit_original!K24/100000000,benefit_original!K24)</f>
        <v>--</v>
      </c>
      <c r="L24" s="4" t="str">
        <f>IF(ISNUMBER(benefit_original!L24),benefit_original!L24/100000000,benefit_original!L24)</f>
        <v>--</v>
      </c>
      <c r="M24" s="4" t="str">
        <f>IF(ISNUMBER(benefit_original!M24),benefit_original!M24/100000000,benefit_original!M24)</f>
        <v>--</v>
      </c>
      <c r="N24" s="4" t="str">
        <f>IF(ISNUMBER(benefit_original!N24),benefit_original!N24/100000000,benefit_original!N24)</f>
        <v>--</v>
      </c>
      <c r="O24" s="4" t="str">
        <f>IF(ISNUMBER(benefit_original!O24),benefit_original!O24/100000000,benefit_original!O24)</f>
        <v>--</v>
      </c>
      <c r="P24" s="4" t="str">
        <f>IF(ISNUMBER(benefit_original!P24),benefit_original!P24/100000000,benefit_original!P24)</f>
        <v>--</v>
      </c>
      <c r="Q24" s="4" t="str">
        <f>IF(ISNUMBER(benefit_original!Q24),benefit_original!Q24/100000000,benefit_original!Q24)</f>
        <v>--</v>
      </c>
      <c r="R24" s="4">
        <f>IF(ISNUMBER(benefit_original!R24),benefit_original!R24/100000000,benefit_original!R24)</f>
        <v>1.74E-4</v>
      </c>
      <c r="S24" s="4">
        <f>IF(ISNUMBER(benefit_original!S24),benefit_original!S24/100000000,benefit_original!S24)</f>
        <v>6.2000000000000003E-5</v>
      </c>
      <c r="T24" s="4">
        <f>IF(ISNUMBER(benefit_original!T24),benefit_original!T24/100000000,benefit_original!T24)</f>
        <v>2.6600000000000001E-4</v>
      </c>
      <c r="U24" s="4">
        <f>IF(ISNUMBER(benefit_original!U24),benefit_original!U24/100000000,benefit_original!U24)</f>
        <v>1.4959999999999999E-3</v>
      </c>
      <c r="V24" s="4" t="str">
        <f>IF(ISNUMBER(benefit_original!V24),benefit_original!V24/100000000,benefit_original!V24)</f>
        <v>--</v>
      </c>
      <c r="W24" s="4">
        <f>IF(ISNUMBER(benefit_original!W24),benefit_original!W24/100000000,benefit_original!W24)</f>
        <v>2.31E-4</v>
      </c>
      <c r="X24" s="4">
        <f>IF(ISNUMBER(benefit_original!X24),benefit_original!X24/100000000,benefit_original!X24)</f>
        <v>1.5799999999999999E-4</v>
      </c>
      <c r="Y24" s="4">
        <f>IF(ISNUMBER(benefit_original!Y24),benefit_original!Y24/100000000,benefit_original!Y24)</f>
        <v>0.80915000000000004</v>
      </c>
      <c r="Z24" s="4">
        <f>IF(ISNUMBER(benefit_original!Z24),benefit_original!Z24/100000000,benefit_original!Z24)</f>
        <v>8.6000000000000003E-5</v>
      </c>
      <c r="AA24" s="4">
        <f>IF(ISNUMBER(benefit_original!AA24),benefit_original!AA24/100000000,benefit_original!AA24)</f>
        <v>-7.7970000000000001E-3</v>
      </c>
      <c r="AB24" s="4">
        <f>IF(ISNUMBER(benefit_original!AB24),benefit_original!AB24/100000000,benefit_original!AB24)</f>
        <v>6.6104999999999997E-2</v>
      </c>
      <c r="AC24" s="4">
        <f>IF(ISNUMBER(benefit_original!AC24),benefit_original!AC24/100000000,benefit_original!AC24)</f>
        <v>8.8220999999999994E-2</v>
      </c>
      <c r="AD24" s="4" t="str">
        <f>IF(ISNUMBER(benefit_original!AD24),benefit_original!AD24/100000000,benefit_original!AD24)</f>
        <v>--</v>
      </c>
      <c r="AE24" s="4" t="str">
        <f>IF(ISNUMBER(benefit_original!AE24),benefit_original!AE24/100000000,benefit_original!AE24)</f>
        <v>--</v>
      </c>
      <c r="AF24" s="4" t="str">
        <f>IF(ISNUMBER(benefit_original!AF24),benefit_original!AF24/100000000,benefit_original!AF24)</f>
        <v>--</v>
      </c>
      <c r="AG24" s="4">
        <f>IF(ISNUMBER(benefit_original!AG24),benefit_original!AG24/100000000,benefit_original!AG24)</f>
        <v>8.1599999999999999E-4</v>
      </c>
      <c r="AH24" s="4" t="str">
        <f>IF(ISNUMBER(benefit_original!AH24),benefit_original!AH24/100000000,benefit_original!AH24)</f>
        <v>--</v>
      </c>
      <c r="AI24" s="4" t="str">
        <f>IF(ISNUMBER(benefit_original!AI24),benefit_original!AI24/100000000,benefit_original!AI24)</f>
        <v>--</v>
      </c>
      <c r="AJ24" s="4" t="str">
        <f>IF(ISNUMBER(benefit_original!AJ24),benefit_original!AJ24/100000000,benefit_original!AJ24)</f>
        <v>--</v>
      </c>
      <c r="AK24" s="4" t="str">
        <f>IF(ISNUMBER(benefit_original!AK24),benefit_original!AK24/100000000,benefit_original!AK24)</f>
        <v>--</v>
      </c>
      <c r="AL24" s="4" t="str">
        <f>IF(ISNUMBER(benefit_original!AL24),benefit_original!AL24/100000000,benefit_original!AL24)</f>
        <v>--</v>
      </c>
      <c r="AM24" s="4" t="str">
        <f>IF(ISNUMBER(benefit_original!AM24),benefit_original!AM24/100000000,benefit_original!AM24)</f>
        <v>--</v>
      </c>
      <c r="AN24" s="4" t="str">
        <f>IF(ISNUMBER(benefit_original!AN24),benefit_original!AN24/100000000,benefit_original!AN24)</f>
        <v>--</v>
      </c>
      <c r="AO24" s="4" t="str">
        <f>IF(ISNUMBER(benefit_original!AO24),benefit_original!AO24/100000000,benefit_original!AO24)</f>
        <v>--</v>
      </c>
      <c r="AP24" s="4" t="str">
        <f>IF(ISNUMBER(benefit_original!AP24),benefit_original!AP24/100000000,benefit_original!AP24)</f>
        <v>--</v>
      </c>
      <c r="AQ24" s="4" t="str">
        <f>IF(ISNUMBER(benefit_original!AQ24),benefit_original!AQ24/100000000,benefit_original!AQ24)</f>
        <v>--</v>
      </c>
      <c r="AR24" s="3" t="s">
        <v>133</v>
      </c>
      <c r="AS24" s="3" t="s">
        <v>133</v>
      </c>
      <c r="AT24" s="3" t="s">
        <v>133</v>
      </c>
      <c r="AU24" s="3" t="s">
        <v>133</v>
      </c>
      <c r="AV24" s="3" t="s">
        <v>133</v>
      </c>
      <c r="AW24" s="3" t="s">
        <v>133</v>
      </c>
      <c r="AX24" s="3" t="s">
        <v>133</v>
      </c>
      <c r="AY24" s="3" t="s">
        <v>133</v>
      </c>
      <c r="AZ24" s="3" t="s">
        <v>133</v>
      </c>
      <c r="BA24" s="3" t="s">
        <v>133</v>
      </c>
      <c r="BB24" s="3" t="s">
        <v>133</v>
      </c>
      <c r="BC24" s="3" t="s">
        <v>133</v>
      </c>
      <c r="BD24" s="3" t="s">
        <v>133</v>
      </c>
      <c r="BE24" s="3" t="s">
        <v>133</v>
      </c>
      <c r="BF24" s="3" t="s">
        <v>133</v>
      </c>
      <c r="BG24" s="3" t="s">
        <v>133</v>
      </c>
      <c r="BH24" s="3" t="s">
        <v>133</v>
      </c>
      <c r="BI24" s="3" t="s">
        <v>133</v>
      </c>
      <c r="BJ24" s="3" t="s">
        <v>133</v>
      </c>
      <c r="BK24" s="3" t="s">
        <v>133</v>
      </c>
      <c r="BL24" s="3" t="s">
        <v>133</v>
      </c>
      <c r="BM24" s="3" t="s">
        <v>133</v>
      </c>
      <c r="BN24" s="3" t="s">
        <v>133</v>
      </c>
      <c r="BO24" s="3" t="s">
        <v>133</v>
      </c>
      <c r="BP24" s="3" t="s">
        <v>133</v>
      </c>
      <c r="BQ24" s="3" t="s">
        <v>133</v>
      </c>
      <c r="BR24" s="3" t="s">
        <v>133</v>
      </c>
      <c r="BS24" s="3" t="s">
        <v>133</v>
      </c>
      <c r="BT24" s="3" t="s">
        <v>133</v>
      </c>
      <c r="BU24" s="3" t="s">
        <v>133</v>
      </c>
      <c r="BV24" s="3" t="s">
        <v>133</v>
      </c>
      <c r="BW24" s="3" t="s">
        <v>133</v>
      </c>
      <c r="BX24" s="3" t="s">
        <v>133</v>
      </c>
      <c r="BY24" s="3" t="s">
        <v>133</v>
      </c>
    </row>
    <row r="25" spans="1:77" x14ac:dyDescent="0.25">
      <c r="A25" s="3" t="s">
        <v>149</v>
      </c>
      <c r="B25" s="4">
        <f>IF(ISNUMBER(benefit_original!B25),benefit_original!B25/100000000,benefit_original!B25)</f>
        <v>159.00205099999999</v>
      </c>
      <c r="C25" s="4">
        <f>IF(ISNUMBER(benefit_original!C25),benefit_original!C25/100000000,benefit_original!C25)</f>
        <v>134.96982600000001</v>
      </c>
      <c r="D25" s="4">
        <f>IF(ISNUMBER(benefit_original!D25),benefit_original!D25/100000000,benefit_original!D25)</f>
        <v>184.81501900000001</v>
      </c>
      <c r="E25" s="4">
        <f>IF(ISNUMBER(benefit_original!E25),benefit_original!E25/100000000,benefit_original!E25)</f>
        <v>155.76638700000001</v>
      </c>
      <c r="F25" s="4">
        <f>IF(ISNUMBER(benefit_original!F25),benefit_original!F25/100000000,benefit_original!F25)</f>
        <v>149.15781799999999</v>
      </c>
      <c r="G25" s="4">
        <f>IF(ISNUMBER(benefit_original!G25),benefit_original!G25/100000000,benefit_original!G25)</f>
        <v>124.014472</v>
      </c>
      <c r="H25" s="4">
        <f>IF(ISNUMBER(benefit_original!H25),benefit_original!H25/100000000,benefit_original!H25)</f>
        <v>158.886842</v>
      </c>
      <c r="I25" s="4">
        <f>IF(ISNUMBER(benefit_original!I25),benefit_original!I25/100000000,benefit_original!I25)</f>
        <v>152.50285</v>
      </c>
      <c r="J25" s="4">
        <f>IF(ISNUMBER(benefit_original!J25),benefit_original!J25/100000000,benefit_original!J25)</f>
        <v>128.57351600000001</v>
      </c>
      <c r="K25" s="4">
        <f>IF(ISNUMBER(benefit_original!K25),benefit_original!K25/100000000,benefit_original!K25)</f>
        <v>105.47434</v>
      </c>
      <c r="L25" s="4">
        <f>IF(ISNUMBER(benefit_original!L25),benefit_original!L25/100000000,benefit_original!L25)</f>
        <v>121.725328</v>
      </c>
      <c r="M25" s="4">
        <f>IF(ISNUMBER(benefit_original!M25),benefit_original!M25/100000000,benefit_original!M25)</f>
        <v>102.472345</v>
      </c>
      <c r="N25" s="4">
        <f>IF(ISNUMBER(benefit_original!N25),benefit_original!N25/100000000,benefit_original!N25)</f>
        <v>124.093081</v>
      </c>
      <c r="O25" s="4">
        <f>IF(ISNUMBER(benefit_original!O25),benefit_original!O25/100000000,benefit_original!O25)</f>
        <v>73.284891000000002</v>
      </c>
      <c r="P25" s="4">
        <f>IF(ISNUMBER(benefit_original!P25),benefit_original!P25/100000000,benefit_original!P25)</f>
        <v>87.550404</v>
      </c>
      <c r="Q25" s="4">
        <f>IF(ISNUMBER(benefit_original!Q25),benefit_original!Q25/100000000,benefit_original!Q25)</f>
        <v>59.198960999999997</v>
      </c>
      <c r="R25" s="4">
        <f>IF(ISNUMBER(benefit_original!R25),benefit_original!R25/100000000,benefit_original!R25)</f>
        <v>52.726995000000002</v>
      </c>
      <c r="S25" s="4">
        <f>IF(ISNUMBER(benefit_original!S25),benefit_original!S25/100000000,benefit_original!S25)</f>
        <v>55.585496999999997</v>
      </c>
      <c r="T25" s="4">
        <f>IF(ISNUMBER(benefit_original!T25),benefit_original!T25/100000000,benefit_original!T25)</f>
        <v>72.067355000000006</v>
      </c>
      <c r="U25" s="4">
        <f>IF(ISNUMBER(benefit_original!U25),benefit_original!U25/100000000,benefit_original!U25)</f>
        <v>58.394854000000002</v>
      </c>
      <c r="V25" s="4">
        <f>IF(ISNUMBER(benefit_original!V25),benefit_original!V25/100000000,benefit_original!V25)</f>
        <v>50.127960000000002</v>
      </c>
      <c r="W25" s="4">
        <f>IF(ISNUMBER(benefit_original!W25),benefit_original!W25/100000000,benefit_original!W25)</f>
        <v>49.474173</v>
      </c>
      <c r="X25" s="4">
        <f>IF(ISNUMBER(benefit_original!X25),benefit_original!X25/100000000,benefit_original!X25)</f>
        <v>62.020161999999999</v>
      </c>
      <c r="Y25" s="4">
        <f>IF(ISNUMBER(benefit_original!Y25),benefit_original!Y25/100000000,benefit_original!Y25)</f>
        <v>67.031458999999998</v>
      </c>
      <c r="Z25" s="4">
        <f>IF(ISNUMBER(benefit_original!Z25),benefit_original!Z25/100000000,benefit_original!Z25)</f>
        <v>49.560175999999998</v>
      </c>
      <c r="AA25" s="4">
        <f>IF(ISNUMBER(benefit_original!AA25),benefit_original!AA25/100000000,benefit_original!AA25)</f>
        <v>49.108288000000002</v>
      </c>
      <c r="AB25" s="4">
        <f>IF(ISNUMBER(benefit_original!AB25),benefit_original!AB25/100000000,benefit_original!AB25)</f>
        <v>53.123500999999997</v>
      </c>
      <c r="AC25" s="4">
        <f>IF(ISNUMBER(benefit_original!AC25),benefit_original!AC25/100000000,benefit_original!AC25)</f>
        <v>57.649732999999998</v>
      </c>
      <c r="AD25" s="4">
        <f>IF(ISNUMBER(benefit_original!AD25),benefit_original!AD25/100000000,benefit_original!AD25)</f>
        <v>55.419809999999998</v>
      </c>
      <c r="AE25" s="4">
        <f>IF(ISNUMBER(benefit_original!AE25),benefit_original!AE25/100000000,benefit_original!AE25)</f>
        <v>50.075178999999999</v>
      </c>
      <c r="AF25" s="4">
        <f>IF(ISNUMBER(benefit_original!AF25),benefit_original!AF25/100000000,benefit_original!AF25)</f>
        <v>51.178882000000002</v>
      </c>
      <c r="AG25" s="4">
        <f>IF(ISNUMBER(benefit_original!AG25),benefit_original!AG25/100000000,benefit_original!AG25)</f>
        <v>41.152338</v>
      </c>
      <c r="AH25" s="4">
        <f>IF(ISNUMBER(benefit_original!AH25),benefit_original!AH25/100000000,benefit_original!AH25)</f>
        <v>47.850805000000001</v>
      </c>
      <c r="AI25" s="4">
        <f>IF(ISNUMBER(benefit_original!AI25),benefit_original!AI25/100000000,benefit_original!AI25)</f>
        <v>56.252471999999997</v>
      </c>
      <c r="AJ25" s="4">
        <f>IF(ISNUMBER(benefit_original!AJ25),benefit_original!AJ25/100000000,benefit_original!AJ25)</f>
        <v>41.749290000000002</v>
      </c>
      <c r="AK25" s="4">
        <f>IF(ISNUMBER(benefit_original!AK25),benefit_original!AK25/100000000,benefit_original!AK25)</f>
        <v>30.551062000000002</v>
      </c>
      <c r="AL25" s="4">
        <f>IF(ISNUMBER(benefit_original!AL25),benefit_original!AL25/100000000,benefit_original!AL25)</f>
        <v>23.922073999999999</v>
      </c>
      <c r="AM25" s="4">
        <f>IF(ISNUMBER(benefit_original!AM25),benefit_original!AM25/100000000,benefit_original!AM25)</f>
        <v>42.332408000000001</v>
      </c>
      <c r="AN25" s="4">
        <f>IF(ISNUMBER(benefit_original!AN25),benefit_original!AN25/100000000,benefit_original!AN25)</f>
        <v>26.541060999999999</v>
      </c>
      <c r="AO25" s="4">
        <f>IF(ISNUMBER(benefit_original!AO25),benefit_original!AO25/100000000,benefit_original!AO25)</f>
        <v>12.666323999999999</v>
      </c>
      <c r="AP25" s="4">
        <f>IF(ISNUMBER(benefit_original!AP25),benefit_original!AP25/100000000,benefit_original!AP25)</f>
        <v>15.18268</v>
      </c>
      <c r="AQ25" s="4">
        <f>IF(ISNUMBER(benefit_original!AQ25),benefit_original!AQ25/100000000,benefit_original!AQ25)</f>
        <v>25.847356000000001</v>
      </c>
      <c r="AR25" s="3">
        <v>1792780700</v>
      </c>
      <c r="AS25" s="3">
        <v>775173000</v>
      </c>
      <c r="AT25" s="3">
        <v>1399567700</v>
      </c>
      <c r="AU25" s="3">
        <v>2200756000</v>
      </c>
      <c r="AV25" s="3">
        <v>1705043200</v>
      </c>
      <c r="AW25" s="3">
        <v>981409700</v>
      </c>
      <c r="AX25" s="3">
        <v>1268366600</v>
      </c>
      <c r="AY25" s="3">
        <v>1912966500</v>
      </c>
      <c r="AZ25" s="3">
        <v>1222557800</v>
      </c>
      <c r="BA25" s="3">
        <v>2013978200</v>
      </c>
      <c r="BB25" s="3">
        <v>1146986400</v>
      </c>
      <c r="BC25" s="3">
        <v>486891900</v>
      </c>
      <c r="BD25" s="3">
        <v>874168400</v>
      </c>
      <c r="BE25" s="3">
        <v>798805600</v>
      </c>
      <c r="BF25" s="3">
        <v>730170600</v>
      </c>
      <c r="BG25" s="3">
        <v>288408700</v>
      </c>
      <c r="BH25" s="3">
        <v>670680900</v>
      </c>
      <c r="BI25" s="3">
        <v>769466200</v>
      </c>
      <c r="BJ25" s="3">
        <v>393980100</v>
      </c>
      <c r="BK25" s="3">
        <v>199291300</v>
      </c>
      <c r="BL25" s="3">
        <v>557508800</v>
      </c>
      <c r="BM25" s="3">
        <v>614818800</v>
      </c>
      <c r="BN25" s="3">
        <v>306131200</v>
      </c>
      <c r="BO25" s="3">
        <v>168552300</v>
      </c>
      <c r="BP25" s="3">
        <v>401170200</v>
      </c>
      <c r="BQ25" s="3">
        <v>381005500</v>
      </c>
      <c r="BR25" s="3">
        <v>185052800</v>
      </c>
      <c r="BS25" s="3">
        <v>69793800</v>
      </c>
      <c r="BT25" s="3">
        <v>341442500</v>
      </c>
      <c r="BU25" s="3">
        <v>120120300</v>
      </c>
      <c r="BV25" s="3">
        <v>126446100</v>
      </c>
      <c r="BW25" s="3">
        <v>63881100</v>
      </c>
      <c r="BX25" s="3">
        <v>338004900</v>
      </c>
      <c r="BY25" s="3" t="s">
        <v>133</v>
      </c>
    </row>
    <row r="26" spans="1:77" x14ac:dyDescent="0.25">
      <c r="A26" s="3" t="s">
        <v>150</v>
      </c>
      <c r="B26" s="4">
        <f>IF(ISNUMBER(benefit_original!B26),benefit_original!B26/100000000,benefit_original!B26)</f>
        <v>39.7707819249</v>
      </c>
      <c r="C26" s="4">
        <f>IF(ISNUMBER(benefit_original!C26),benefit_original!C26/100000000,benefit_original!C26)</f>
        <v>34.322895719199998</v>
      </c>
      <c r="D26" s="4">
        <f>IF(ISNUMBER(benefit_original!D26),benefit_original!D26/100000000,benefit_original!D26)</f>
        <v>46.186484086599997</v>
      </c>
      <c r="E26" s="4">
        <f>IF(ISNUMBER(benefit_original!E26),benefit_original!E26/100000000,benefit_original!E26)</f>
        <v>40.189411964999998</v>
      </c>
      <c r="F26" s="4">
        <f>IF(ISNUMBER(benefit_original!F26),benefit_original!F26/100000000,benefit_original!F26)</f>
        <v>37.000060345000001</v>
      </c>
      <c r="G26" s="4">
        <f>IF(ISNUMBER(benefit_original!G26),benefit_original!G26/100000000,benefit_original!G26)</f>
        <v>31.206407165599998</v>
      </c>
      <c r="H26" s="4">
        <f>IF(ISNUMBER(benefit_original!H26),benefit_original!H26/100000000,benefit_original!H26)</f>
        <v>39.7296305765</v>
      </c>
      <c r="I26" s="4">
        <f>IF(ISNUMBER(benefit_original!I26),benefit_original!I26/100000000,benefit_original!I26)</f>
        <v>39.920222430599999</v>
      </c>
      <c r="J26" s="4">
        <f>IF(ISNUMBER(benefit_original!J26),benefit_original!J26/100000000,benefit_original!J26)</f>
        <v>32.073490988000003</v>
      </c>
      <c r="K26" s="4">
        <f>IF(ISNUMBER(benefit_original!K26),benefit_original!K26/100000000,benefit_original!K26)</f>
        <v>27.5661734852</v>
      </c>
      <c r="L26" s="4">
        <f>IF(ISNUMBER(benefit_original!L26),benefit_original!L26/100000000,benefit_original!L26)</f>
        <v>30.419970002800003</v>
      </c>
      <c r="M26" s="4">
        <f>IF(ISNUMBER(benefit_original!M26),benefit_original!M26/100000000,benefit_original!M26)</f>
        <v>26.0228031537</v>
      </c>
      <c r="N26" s="4">
        <f>IF(ISNUMBER(benefit_original!N26),benefit_original!N26/100000000,benefit_original!N26)</f>
        <v>30.922777692600004</v>
      </c>
      <c r="O26" s="4">
        <f>IF(ISNUMBER(benefit_original!O26),benefit_original!O26/100000000,benefit_original!O26)</f>
        <v>18.288838530899998</v>
      </c>
      <c r="P26" s="4">
        <f>IF(ISNUMBER(benefit_original!P26),benefit_original!P26/100000000,benefit_original!P26)</f>
        <v>22.1020696888</v>
      </c>
      <c r="Q26" s="4">
        <f>IF(ISNUMBER(benefit_original!Q26),benefit_original!Q26/100000000,benefit_original!Q26)</f>
        <v>13.194448071199998</v>
      </c>
      <c r="R26" s="4">
        <f>IF(ISNUMBER(benefit_original!R26),benefit_original!R26/100000000,benefit_original!R26)</f>
        <v>13.197107240199999</v>
      </c>
      <c r="S26" s="4">
        <f>IF(ISNUMBER(benefit_original!S26),benefit_original!S26/100000000,benefit_original!S26)</f>
        <v>13.9342543345</v>
      </c>
      <c r="T26" s="4">
        <f>IF(ISNUMBER(benefit_original!T26),benefit_original!T26/100000000,benefit_original!T26)</f>
        <v>19.9465688264</v>
      </c>
      <c r="U26" s="4">
        <f>IF(ISNUMBER(benefit_original!U26),benefit_original!U26/100000000,benefit_original!U26)</f>
        <v>15.1127811124</v>
      </c>
      <c r="V26" s="4">
        <f>IF(ISNUMBER(benefit_original!V26),benefit_original!V26/100000000,benefit_original!V26)</f>
        <v>12.505272055899999</v>
      </c>
      <c r="W26" s="4">
        <f>IF(ISNUMBER(benefit_original!W26),benefit_original!W26/100000000,benefit_original!W26)</f>
        <v>12.112172129799999</v>
      </c>
      <c r="X26" s="4">
        <f>IF(ISNUMBER(benefit_original!X26),benefit_original!X26/100000000,benefit_original!X26)</f>
        <v>15.736958063099999</v>
      </c>
      <c r="Y26" s="4">
        <f>IF(ISNUMBER(benefit_original!Y26),benefit_original!Y26/100000000,benefit_original!Y26)</f>
        <v>18.094640714800001</v>
      </c>
      <c r="Z26" s="4">
        <f>IF(ISNUMBER(benefit_original!Z26),benefit_original!Z26/100000000,benefit_original!Z26)</f>
        <v>12.4486592725</v>
      </c>
      <c r="AA26" s="4">
        <f>IF(ISNUMBER(benefit_original!AA26),benefit_original!AA26/100000000,benefit_original!AA26)</f>
        <v>11.9922428481</v>
      </c>
      <c r="AB26" s="4">
        <f>IF(ISNUMBER(benefit_original!AB26),benefit_original!AB26/100000000,benefit_original!AB26)</f>
        <v>13.5941664396</v>
      </c>
      <c r="AC26" s="4">
        <f>IF(ISNUMBER(benefit_original!AC26),benefit_original!AC26/100000000,benefit_original!AC26)</f>
        <v>14.622486952499999</v>
      </c>
      <c r="AD26" s="4">
        <f>IF(ISNUMBER(benefit_original!AD26),benefit_original!AD26/100000000,benefit_original!AD26)</f>
        <v>15.007204748800001</v>
      </c>
      <c r="AE26" s="4">
        <f>IF(ISNUMBER(benefit_original!AE26),benefit_original!AE26/100000000,benefit_original!AE26)</f>
        <v>11.599663895599999</v>
      </c>
      <c r="AF26" s="4">
        <f>IF(ISNUMBER(benefit_original!AF26),benefit_original!AF26/100000000,benefit_original!AF26)</f>
        <v>13.4452498523</v>
      </c>
      <c r="AG26" s="4">
        <f>IF(ISNUMBER(benefit_original!AG26),benefit_original!AG26/100000000,benefit_original!AG26)</f>
        <v>10.447628846900001</v>
      </c>
      <c r="AH26" s="4">
        <f>IF(ISNUMBER(benefit_original!AH26),benefit_original!AH26/100000000,benefit_original!AH26)</f>
        <v>11.960402401800001</v>
      </c>
      <c r="AI26" s="4">
        <f>IF(ISNUMBER(benefit_original!AI26),benefit_original!AI26/100000000,benefit_original!AI26)</f>
        <v>14.0579847191</v>
      </c>
      <c r="AJ26" s="4">
        <f>IF(ISNUMBER(benefit_original!AJ26),benefit_original!AJ26/100000000,benefit_original!AJ26)</f>
        <v>10.454381702100001</v>
      </c>
      <c r="AK26" s="4">
        <f>IF(ISNUMBER(benefit_original!AK26),benefit_original!AK26/100000000,benefit_original!AK26)</f>
        <v>7.3549672708000005</v>
      </c>
      <c r="AL26" s="4">
        <f>IF(ISNUMBER(benefit_original!AL26),benefit_original!AL26/100000000,benefit_original!AL26)</f>
        <v>6.2779924163</v>
      </c>
      <c r="AM26" s="4">
        <f>IF(ISNUMBER(benefit_original!AM26),benefit_original!AM26/100000000,benefit_original!AM26)</f>
        <v>10.5822597039</v>
      </c>
      <c r="AN26" s="4">
        <f>IF(ISNUMBER(benefit_original!AN26),benefit_original!AN26/100000000,benefit_original!AN26)</f>
        <v>6.6281472708000004</v>
      </c>
      <c r="AO26" s="4">
        <f>IF(ISNUMBER(benefit_original!AO26),benefit_original!AO26/100000000,benefit_original!AO26)</f>
        <v>3.3797535786999999</v>
      </c>
      <c r="AP26" s="4">
        <f>IF(ISNUMBER(benefit_original!AP26),benefit_original!AP26/100000000,benefit_original!AP26)</f>
        <v>3.8172616783</v>
      </c>
      <c r="AQ26" s="4">
        <f>IF(ISNUMBER(benefit_original!AQ26),benefit_original!AQ26/100000000,benefit_original!AQ26)</f>
        <v>6.5455583546000007</v>
      </c>
      <c r="AR26" s="3">
        <v>448397873.24000001</v>
      </c>
      <c r="AS26" s="3">
        <v>202079697.72999999</v>
      </c>
      <c r="AT26" s="3">
        <v>348614340.61000001</v>
      </c>
      <c r="AU26" s="3">
        <v>550754309.78999996</v>
      </c>
      <c r="AV26" s="3">
        <v>426202592.50999999</v>
      </c>
      <c r="AW26" s="3">
        <v>284849156.44999999</v>
      </c>
      <c r="AX26" s="3">
        <v>316107100.74000001</v>
      </c>
      <c r="AY26" s="3">
        <v>478076004.56</v>
      </c>
      <c r="AZ26" s="3">
        <v>305509033.30000001</v>
      </c>
      <c r="BA26" s="3">
        <v>717147696.44000006</v>
      </c>
      <c r="BB26" s="3">
        <v>371712701.12</v>
      </c>
      <c r="BC26" s="3">
        <v>154384407.19999999</v>
      </c>
      <c r="BD26" s="3">
        <v>312727702.22000003</v>
      </c>
      <c r="BE26" s="3">
        <v>239031558.44</v>
      </c>
      <c r="BF26" s="3">
        <v>276687382.38999999</v>
      </c>
      <c r="BG26" s="3">
        <v>136707032.96000001</v>
      </c>
      <c r="BH26" s="3">
        <v>219264678.11000001</v>
      </c>
      <c r="BI26" s="3">
        <v>334976498.81999999</v>
      </c>
      <c r="BJ26" s="3">
        <v>162052724.28</v>
      </c>
      <c r="BK26" s="3">
        <v>80527633.349999994</v>
      </c>
      <c r="BL26" s="3">
        <v>173567381.47999999</v>
      </c>
      <c r="BM26" s="3">
        <v>298722107.83999997</v>
      </c>
      <c r="BN26" s="3">
        <v>132117771.15000001</v>
      </c>
      <c r="BO26" s="3">
        <v>75821038.390000001</v>
      </c>
      <c r="BP26" s="3">
        <v>129839421.97</v>
      </c>
      <c r="BQ26" s="3">
        <v>142063650.88999999</v>
      </c>
      <c r="BR26" s="3">
        <v>77727130.400000006</v>
      </c>
      <c r="BS26" s="3">
        <v>32431474.899999999</v>
      </c>
      <c r="BT26" s="3">
        <v>116318861.01000001</v>
      </c>
      <c r="BU26" s="3">
        <v>48256332.969999999</v>
      </c>
      <c r="BV26" s="3">
        <v>52694521.32</v>
      </c>
      <c r="BW26" s="3">
        <v>31324101.07</v>
      </c>
      <c r="BX26" s="3">
        <v>124206524.16</v>
      </c>
      <c r="BY26" s="3" t="s">
        <v>133</v>
      </c>
    </row>
    <row r="27" spans="1:77" x14ac:dyDescent="0.25">
      <c r="A27" s="3" t="s">
        <v>151</v>
      </c>
      <c r="B27" s="4">
        <f>IF(ISNUMBER(benefit_original!B27),benefit_original!B27/100000000,benefit_original!B27)</f>
        <v>119.231269</v>
      </c>
      <c r="C27" s="4">
        <f>IF(ISNUMBER(benefit_original!C27),benefit_original!C27/100000000,benefit_original!C27)</f>
        <v>100.64693</v>
      </c>
      <c r="D27" s="4">
        <f>IF(ISNUMBER(benefit_original!D27),benefit_original!D27/100000000,benefit_original!D27)</f>
        <v>138.628535</v>
      </c>
      <c r="E27" s="4">
        <f>IF(ISNUMBER(benefit_original!E27),benefit_original!E27/100000000,benefit_original!E27)</f>
        <v>115.576975</v>
      </c>
      <c r="F27" s="4">
        <f>IF(ISNUMBER(benefit_original!F27),benefit_original!F27/100000000,benefit_original!F27)</f>
        <v>112.157758</v>
      </c>
      <c r="G27" s="4">
        <f>IF(ISNUMBER(benefit_original!G27),benefit_original!G27/100000000,benefit_original!G27)</f>
        <v>92.808064000000002</v>
      </c>
      <c r="H27" s="4">
        <f>IF(ISNUMBER(benefit_original!H27),benefit_original!H27/100000000,benefit_original!H27)</f>
        <v>119.157211</v>
      </c>
      <c r="I27" s="4">
        <f>IF(ISNUMBER(benefit_original!I27),benefit_original!I27/100000000,benefit_original!I27)</f>
        <v>112.582628</v>
      </c>
      <c r="J27" s="4">
        <f>IF(ISNUMBER(benefit_original!J27),benefit_original!J27/100000000,benefit_original!J27)</f>
        <v>96.500024999999994</v>
      </c>
      <c r="K27" s="4">
        <f>IF(ISNUMBER(benefit_original!K27),benefit_original!K27/100000000,benefit_original!K27)</f>
        <v>77.908167000000006</v>
      </c>
      <c r="L27" s="4">
        <f>IF(ISNUMBER(benefit_original!L27),benefit_original!L27/100000000,benefit_original!L27)</f>
        <v>91.305357999999998</v>
      </c>
      <c r="M27" s="4">
        <f>IF(ISNUMBER(benefit_original!M27),benefit_original!M27/100000000,benefit_original!M27)</f>
        <v>76.449541999999994</v>
      </c>
      <c r="N27" s="4">
        <f>IF(ISNUMBER(benefit_original!N27),benefit_original!N27/100000000,benefit_original!N27)</f>
        <v>93.170304000000002</v>
      </c>
      <c r="O27" s="4">
        <f>IF(ISNUMBER(benefit_original!O27),benefit_original!O27/100000000,benefit_original!O27)</f>
        <v>54.996051999999999</v>
      </c>
      <c r="P27" s="4">
        <f>IF(ISNUMBER(benefit_original!P27),benefit_original!P27/100000000,benefit_original!P27)</f>
        <v>65.448335</v>
      </c>
      <c r="Q27" s="4">
        <f>IF(ISNUMBER(benefit_original!Q27),benefit_original!Q27/100000000,benefit_original!Q27)</f>
        <v>46.004513000000003</v>
      </c>
      <c r="R27" s="4">
        <f>IF(ISNUMBER(benefit_original!R27),benefit_original!R27/100000000,benefit_original!R27)</f>
        <v>39.529888</v>
      </c>
      <c r="S27" s="4">
        <f>IF(ISNUMBER(benefit_original!S27),benefit_original!S27/100000000,benefit_original!S27)</f>
        <v>41.651243000000001</v>
      </c>
      <c r="T27" s="4">
        <f>IF(ISNUMBER(benefit_original!T27),benefit_original!T27/100000000,benefit_original!T27)</f>
        <v>52.120787</v>
      </c>
      <c r="U27" s="4">
        <f>IF(ISNUMBER(benefit_original!U27),benefit_original!U27/100000000,benefit_original!U27)</f>
        <v>43.282072999999997</v>
      </c>
      <c r="V27" s="4">
        <f>IF(ISNUMBER(benefit_original!V27),benefit_original!V27/100000000,benefit_original!V27)</f>
        <v>37.622687999999997</v>
      </c>
      <c r="W27" s="4">
        <f>IF(ISNUMBER(benefit_original!W27),benefit_original!W27/100000000,benefit_original!W27)</f>
        <v>37.362000999999999</v>
      </c>
      <c r="X27" s="4">
        <f>IF(ISNUMBER(benefit_original!X27),benefit_original!X27/100000000,benefit_original!X27)</f>
        <v>46.283203999999998</v>
      </c>
      <c r="Y27" s="4">
        <f>IF(ISNUMBER(benefit_original!Y27),benefit_original!Y27/100000000,benefit_original!Y27)</f>
        <v>48.936818000000002</v>
      </c>
      <c r="Z27" s="4">
        <f>IF(ISNUMBER(benefit_original!Z27),benefit_original!Z27/100000000,benefit_original!Z27)</f>
        <v>37.111516999999999</v>
      </c>
      <c r="AA27" s="4">
        <f>IF(ISNUMBER(benefit_original!AA27),benefit_original!AA27/100000000,benefit_original!AA27)</f>
        <v>37.116045999999997</v>
      </c>
      <c r="AB27" s="4">
        <f>IF(ISNUMBER(benefit_original!AB27),benefit_original!AB27/100000000,benefit_original!AB27)</f>
        <v>39.529335000000003</v>
      </c>
      <c r="AC27" s="4">
        <f>IF(ISNUMBER(benefit_original!AC27),benefit_original!AC27/100000000,benefit_original!AC27)</f>
        <v>43.027245999999998</v>
      </c>
      <c r="AD27" s="4">
        <f>IF(ISNUMBER(benefit_original!AD27),benefit_original!AD27/100000000,benefit_original!AD27)</f>
        <v>40.412604999999999</v>
      </c>
      <c r="AE27" s="4">
        <f>IF(ISNUMBER(benefit_original!AE27),benefit_original!AE27/100000000,benefit_original!AE27)</f>
        <v>38.475515000000001</v>
      </c>
      <c r="AF27" s="4">
        <f>IF(ISNUMBER(benefit_original!AF27),benefit_original!AF27/100000000,benefit_original!AF27)</f>
        <v>37.733632</v>
      </c>
      <c r="AG27" s="4">
        <f>IF(ISNUMBER(benefit_original!AG27),benefit_original!AG27/100000000,benefit_original!AG27)</f>
        <v>30.704709000000001</v>
      </c>
      <c r="AH27" s="4">
        <f>IF(ISNUMBER(benefit_original!AH27),benefit_original!AH27/100000000,benefit_original!AH27)</f>
        <v>35.890402000000002</v>
      </c>
      <c r="AI27" s="4">
        <f>IF(ISNUMBER(benefit_original!AI27),benefit_original!AI27/100000000,benefit_original!AI27)</f>
        <v>42.194487000000002</v>
      </c>
      <c r="AJ27" s="4">
        <f>IF(ISNUMBER(benefit_original!AJ27),benefit_original!AJ27/100000000,benefit_original!AJ27)</f>
        <v>31.294908</v>
      </c>
      <c r="AK27" s="4">
        <f>IF(ISNUMBER(benefit_original!AK27),benefit_original!AK27/100000000,benefit_original!AK27)</f>
        <v>23.196095</v>
      </c>
      <c r="AL27" s="4">
        <f>IF(ISNUMBER(benefit_original!AL27),benefit_original!AL27/100000000,benefit_original!AL27)</f>
        <v>17.644081</v>
      </c>
      <c r="AM27" s="4">
        <f>IF(ISNUMBER(benefit_original!AM27),benefit_original!AM27/100000000,benefit_original!AM27)</f>
        <v>31.750149</v>
      </c>
      <c r="AN27" s="4">
        <f>IF(ISNUMBER(benefit_original!AN27),benefit_original!AN27/100000000,benefit_original!AN27)</f>
        <v>19.912913</v>
      </c>
      <c r="AO27" s="4">
        <f>IF(ISNUMBER(benefit_original!AO27),benefit_original!AO27/100000000,benefit_original!AO27)</f>
        <v>9.2865699999999993</v>
      </c>
      <c r="AP27" s="4">
        <f>IF(ISNUMBER(benefit_original!AP27),benefit_original!AP27/100000000,benefit_original!AP27)</f>
        <v>11.365418999999999</v>
      </c>
      <c r="AQ27" s="4">
        <f>IF(ISNUMBER(benefit_original!AQ27),benefit_original!AQ27/100000000,benefit_original!AQ27)</f>
        <v>19.301798000000002</v>
      </c>
      <c r="AR27" s="3">
        <v>1344382800</v>
      </c>
      <c r="AS27" s="3">
        <v>573093300</v>
      </c>
      <c r="AT27" s="3">
        <v>1050953400</v>
      </c>
      <c r="AU27" s="3">
        <v>1650001700</v>
      </c>
      <c r="AV27" s="3">
        <v>1278840600</v>
      </c>
      <c r="AW27" s="3">
        <v>696560600</v>
      </c>
      <c r="AX27" s="3">
        <v>952259500</v>
      </c>
      <c r="AY27" s="3">
        <v>1434890500</v>
      </c>
      <c r="AZ27" s="3">
        <v>917048700</v>
      </c>
      <c r="BA27" s="3">
        <v>1296830600</v>
      </c>
      <c r="BB27" s="3">
        <v>775273700</v>
      </c>
      <c r="BC27" s="3">
        <v>332507500</v>
      </c>
      <c r="BD27" s="3">
        <v>561440700</v>
      </c>
      <c r="BE27" s="3">
        <v>559774100</v>
      </c>
      <c r="BF27" s="3">
        <v>453483200</v>
      </c>
      <c r="BG27" s="3">
        <v>151701700</v>
      </c>
      <c r="BH27" s="3">
        <v>451416200</v>
      </c>
      <c r="BI27" s="3">
        <v>434489700</v>
      </c>
      <c r="BJ27" s="3">
        <v>231927400</v>
      </c>
      <c r="BK27" s="3">
        <v>118763600</v>
      </c>
      <c r="BL27" s="3">
        <v>383941400</v>
      </c>
      <c r="BM27" s="3">
        <v>316096700</v>
      </c>
      <c r="BN27" s="3">
        <v>174013400</v>
      </c>
      <c r="BO27" s="3">
        <v>92731300</v>
      </c>
      <c r="BP27" s="3">
        <v>271330800</v>
      </c>
      <c r="BQ27" s="3">
        <v>238941800</v>
      </c>
      <c r="BR27" s="3">
        <v>107325600</v>
      </c>
      <c r="BS27" s="3">
        <v>37362400</v>
      </c>
      <c r="BT27" s="3">
        <v>225123700</v>
      </c>
      <c r="BU27" s="3">
        <v>71864000</v>
      </c>
      <c r="BV27" s="3">
        <v>73751600</v>
      </c>
      <c r="BW27" s="3">
        <v>32557000</v>
      </c>
      <c r="BX27" s="3">
        <v>213798300</v>
      </c>
      <c r="BY27" s="3" t="s">
        <v>133</v>
      </c>
    </row>
    <row r="28" spans="1:77" x14ac:dyDescent="0.25">
      <c r="A28" s="3" t="s">
        <v>152</v>
      </c>
      <c r="B28" s="4">
        <f>IF(ISNUMBER(benefit_original!B28),benefit_original!B28/100000000,benefit_original!B28)</f>
        <v>119.231269</v>
      </c>
      <c r="C28" s="4">
        <f>IF(ISNUMBER(benefit_original!C28),benefit_original!C28/100000000,benefit_original!C28)</f>
        <v>100.64693</v>
      </c>
      <c r="D28" s="4">
        <f>IF(ISNUMBER(benefit_original!D28),benefit_original!D28/100000000,benefit_original!D28)</f>
        <v>138.628535</v>
      </c>
      <c r="E28" s="4">
        <f>IF(ISNUMBER(benefit_original!E28),benefit_original!E28/100000000,benefit_original!E28)</f>
        <v>115.576975</v>
      </c>
      <c r="F28" s="4">
        <f>IF(ISNUMBER(benefit_original!F28),benefit_original!F28/100000000,benefit_original!F28)</f>
        <v>112.157758</v>
      </c>
      <c r="G28" s="4">
        <f>IF(ISNUMBER(benefit_original!G28),benefit_original!G28/100000000,benefit_original!G28)</f>
        <v>92.808064000000002</v>
      </c>
      <c r="H28" s="4">
        <f>IF(ISNUMBER(benefit_original!H28),benefit_original!H28/100000000,benefit_original!H28)</f>
        <v>119.157211</v>
      </c>
      <c r="I28" s="4">
        <f>IF(ISNUMBER(benefit_original!I28),benefit_original!I28/100000000,benefit_original!I28)</f>
        <v>112.582628</v>
      </c>
      <c r="J28" s="4">
        <f>IF(ISNUMBER(benefit_original!J28),benefit_original!J28/100000000,benefit_original!J28)</f>
        <v>96.500024999999994</v>
      </c>
      <c r="K28" s="4">
        <f>IF(ISNUMBER(benefit_original!K28),benefit_original!K28/100000000,benefit_original!K28)</f>
        <v>77.908167000000006</v>
      </c>
      <c r="L28" s="4">
        <f>IF(ISNUMBER(benefit_original!L28),benefit_original!L28/100000000,benefit_original!L28)</f>
        <v>91.305357999999998</v>
      </c>
      <c r="M28" s="4">
        <f>IF(ISNUMBER(benefit_original!M28),benefit_original!M28/100000000,benefit_original!M28)</f>
        <v>76.449541999999994</v>
      </c>
      <c r="N28" s="4">
        <f>IF(ISNUMBER(benefit_original!N28),benefit_original!N28/100000000,benefit_original!N28)</f>
        <v>93.170304000000002</v>
      </c>
      <c r="O28" s="4">
        <f>IF(ISNUMBER(benefit_original!O28),benefit_original!O28/100000000,benefit_original!O28)</f>
        <v>54.996051999999999</v>
      </c>
      <c r="P28" s="4">
        <f>IF(ISNUMBER(benefit_original!P28),benefit_original!P28/100000000,benefit_original!P28)</f>
        <v>65.448335</v>
      </c>
      <c r="Q28" s="4" t="str">
        <f>IF(ISNUMBER(benefit_original!Q28),benefit_original!Q28/100000000,benefit_original!Q28)</f>
        <v>--</v>
      </c>
      <c r="R28" s="4" t="str">
        <f>IF(ISNUMBER(benefit_original!R28),benefit_original!R28/100000000,benefit_original!R28)</f>
        <v>--</v>
      </c>
      <c r="S28" s="4" t="str">
        <f>IF(ISNUMBER(benefit_original!S28),benefit_original!S28/100000000,benefit_original!S28)</f>
        <v>--</v>
      </c>
      <c r="T28" s="4" t="str">
        <f>IF(ISNUMBER(benefit_original!T28),benefit_original!T28/100000000,benefit_original!T28)</f>
        <v>--</v>
      </c>
      <c r="U28" s="4" t="str">
        <f>IF(ISNUMBER(benefit_original!U28),benefit_original!U28/100000000,benefit_original!U28)</f>
        <v>--</v>
      </c>
      <c r="V28" s="4" t="str">
        <f>IF(ISNUMBER(benefit_original!V28),benefit_original!V28/100000000,benefit_original!V28)</f>
        <v>--</v>
      </c>
      <c r="W28" s="4" t="str">
        <f>IF(ISNUMBER(benefit_original!W28),benefit_original!W28/100000000,benefit_original!W28)</f>
        <v>--</v>
      </c>
      <c r="X28" s="4" t="str">
        <f>IF(ISNUMBER(benefit_original!X28),benefit_original!X28/100000000,benefit_original!X28)</f>
        <v>--</v>
      </c>
      <c r="Y28" s="4" t="str">
        <f>IF(ISNUMBER(benefit_original!Y28),benefit_original!Y28/100000000,benefit_original!Y28)</f>
        <v>--</v>
      </c>
      <c r="Z28" s="4" t="str">
        <f>IF(ISNUMBER(benefit_original!Z28),benefit_original!Z28/100000000,benefit_original!Z28)</f>
        <v>--</v>
      </c>
      <c r="AA28" s="4" t="str">
        <f>IF(ISNUMBER(benefit_original!AA28),benefit_original!AA28/100000000,benefit_original!AA28)</f>
        <v>--</v>
      </c>
      <c r="AB28" s="4" t="str">
        <f>IF(ISNUMBER(benefit_original!AB28),benefit_original!AB28/100000000,benefit_original!AB28)</f>
        <v>--</v>
      </c>
      <c r="AC28" s="4" t="str">
        <f>IF(ISNUMBER(benefit_original!AC28),benefit_original!AC28/100000000,benefit_original!AC28)</f>
        <v>--</v>
      </c>
      <c r="AD28" s="4" t="str">
        <f>IF(ISNUMBER(benefit_original!AD28),benefit_original!AD28/100000000,benefit_original!AD28)</f>
        <v>--</v>
      </c>
      <c r="AE28" s="4" t="str">
        <f>IF(ISNUMBER(benefit_original!AE28),benefit_original!AE28/100000000,benefit_original!AE28)</f>
        <v>--</v>
      </c>
      <c r="AF28" s="4" t="str">
        <f>IF(ISNUMBER(benefit_original!AF28),benefit_original!AF28/100000000,benefit_original!AF28)</f>
        <v>--</v>
      </c>
      <c r="AG28" s="4" t="str">
        <f>IF(ISNUMBER(benefit_original!AG28),benefit_original!AG28/100000000,benefit_original!AG28)</f>
        <v>--</v>
      </c>
      <c r="AH28" s="4" t="str">
        <f>IF(ISNUMBER(benefit_original!AH28),benefit_original!AH28/100000000,benefit_original!AH28)</f>
        <v>--</v>
      </c>
      <c r="AI28" s="4" t="str">
        <f>IF(ISNUMBER(benefit_original!AI28),benefit_original!AI28/100000000,benefit_original!AI28)</f>
        <v>--</v>
      </c>
      <c r="AJ28" s="4" t="str">
        <f>IF(ISNUMBER(benefit_original!AJ28),benefit_original!AJ28/100000000,benefit_original!AJ28)</f>
        <v>--</v>
      </c>
      <c r="AK28" s="4" t="str">
        <f>IF(ISNUMBER(benefit_original!AK28),benefit_original!AK28/100000000,benefit_original!AK28)</f>
        <v>--</v>
      </c>
      <c r="AL28" s="4" t="str">
        <f>IF(ISNUMBER(benefit_original!AL28),benefit_original!AL28/100000000,benefit_original!AL28)</f>
        <v>--</v>
      </c>
      <c r="AM28" s="4" t="str">
        <f>IF(ISNUMBER(benefit_original!AM28),benefit_original!AM28/100000000,benefit_original!AM28)</f>
        <v>--</v>
      </c>
      <c r="AN28" s="4" t="str">
        <f>IF(ISNUMBER(benefit_original!AN28),benefit_original!AN28/100000000,benefit_original!AN28)</f>
        <v>--</v>
      </c>
      <c r="AO28" s="4" t="str">
        <f>IF(ISNUMBER(benefit_original!AO28),benefit_original!AO28/100000000,benefit_original!AO28)</f>
        <v>--</v>
      </c>
      <c r="AP28" s="4" t="str">
        <f>IF(ISNUMBER(benefit_original!AP28),benefit_original!AP28/100000000,benefit_original!AP28)</f>
        <v>--</v>
      </c>
      <c r="AQ28" s="4" t="str">
        <f>IF(ISNUMBER(benefit_original!AQ28),benefit_original!AQ28/100000000,benefit_original!AQ28)</f>
        <v>--</v>
      </c>
      <c r="AR28" s="3" t="s">
        <v>133</v>
      </c>
      <c r="AS28" s="3" t="s">
        <v>133</v>
      </c>
      <c r="AT28" s="3" t="s">
        <v>133</v>
      </c>
      <c r="AU28" s="3" t="s">
        <v>133</v>
      </c>
      <c r="AV28" s="3" t="s">
        <v>133</v>
      </c>
      <c r="AW28" s="3" t="s">
        <v>133</v>
      </c>
      <c r="AX28" s="3" t="s">
        <v>133</v>
      </c>
      <c r="AY28" s="3" t="s">
        <v>133</v>
      </c>
      <c r="AZ28" s="3" t="s">
        <v>133</v>
      </c>
      <c r="BA28" s="3" t="s">
        <v>133</v>
      </c>
      <c r="BB28" s="3" t="s">
        <v>133</v>
      </c>
      <c r="BC28" s="3" t="s">
        <v>133</v>
      </c>
      <c r="BD28" s="3" t="s">
        <v>133</v>
      </c>
      <c r="BE28" s="3" t="s">
        <v>133</v>
      </c>
      <c r="BF28" s="3" t="s">
        <v>133</v>
      </c>
      <c r="BG28" s="3" t="s">
        <v>133</v>
      </c>
      <c r="BH28" s="3" t="s">
        <v>133</v>
      </c>
      <c r="BI28" s="3" t="s">
        <v>133</v>
      </c>
      <c r="BJ28" s="3" t="s">
        <v>133</v>
      </c>
      <c r="BK28" s="3" t="s">
        <v>133</v>
      </c>
      <c r="BL28" s="3" t="s">
        <v>133</v>
      </c>
      <c r="BM28" s="3" t="s">
        <v>133</v>
      </c>
      <c r="BN28" s="3" t="s">
        <v>133</v>
      </c>
      <c r="BO28" s="3" t="s">
        <v>133</v>
      </c>
      <c r="BP28" s="3" t="s">
        <v>133</v>
      </c>
      <c r="BQ28" s="3" t="s">
        <v>133</v>
      </c>
      <c r="BR28" s="3" t="s">
        <v>133</v>
      </c>
      <c r="BS28" s="3" t="s">
        <v>133</v>
      </c>
      <c r="BT28" s="3" t="s">
        <v>133</v>
      </c>
      <c r="BU28" s="3" t="s">
        <v>133</v>
      </c>
      <c r="BV28" s="3" t="s">
        <v>133</v>
      </c>
      <c r="BW28" s="3" t="s">
        <v>133</v>
      </c>
      <c r="BX28" s="3" t="s">
        <v>133</v>
      </c>
      <c r="BY28" s="3" t="s">
        <v>133</v>
      </c>
    </row>
    <row r="29" spans="1:77" x14ac:dyDescent="0.25">
      <c r="A29" s="3" t="s">
        <v>153</v>
      </c>
      <c r="B29" s="4">
        <f>IF(ISNUMBER(benefit_original!B29),benefit_original!B29/100000000,benefit_original!B29)</f>
        <v>112.25448900000001</v>
      </c>
      <c r="C29" s="4">
        <f>IF(ISNUMBER(benefit_original!C29),benefit_original!C29/100000000,benefit_original!C29)</f>
        <v>95.078849000000005</v>
      </c>
      <c r="D29" s="4">
        <f>IF(ISNUMBER(benefit_original!D29),benefit_original!D29/100000000,benefit_original!D29)</f>
        <v>130.937702</v>
      </c>
      <c r="E29" s="4">
        <f>IF(ISNUMBER(benefit_original!E29),benefit_original!E29/100000000,benefit_original!E29)</f>
        <v>107.516156</v>
      </c>
      <c r="F29" s="4">
        <f>IF(ISNUMBER(benefit_original!F29),benefit_original!F29/100000000,benefit_original!F29)</f>
        <v>105.038298</v>
      </c>
      <c r="G29" s="4">
        <f>IF(ISNUMBER(benefit_original!G29),benefit_original!G29/100000000,benefit_original!G29)</f>
        <v>87.295942999999994</v>
      </c>
      <c r="H29" s="4">
        <f>IF(ISNUMBER(benefit_original!H29),benefit_original!H29/100000000,benefit_original!H29)</f>
        <v>112.214313</v>
      </c>
      <c r="I29" s="4">
        <f>IF(ISNUMBER(benefit_original!I29),benefit_original!I29/100000000,benefit_original!I29)</f>
        <v>104.70072500000001</v>
      </c>
      <c r="J29" s="4">
        <f>IF(ISNUMBER(benefit_original!J29),benefit_original!J29/100000000,benefit_original!J29)</f>
        <v>89.693669</v>
      </c>
      <c r="K29" s="4">
        <f>IF(ISNUMBER(benefit_original!K29),benefit_original!K29/100000000,benefit_original!K29)</f>
        <v>72.572790999999995</v>
      </c>
      <c r="L29" s="4">
        <f>IF(ISNUMBER(benefit_original!L29),benefit_original!L29/100000000,benefit_original!L29)</f>
        <v>85.069067000000004</v>
      </c>
      <c r="M29" s="4">
        <f>IF(ISNUMBER(benefit_original!M29),benefit_original!M29/100000000,benefit_original!M29)</f>
        <v>70.955133000000004</v>
      </c>
      <c r="N29" s="4">
        <f>IF(ISNUMBER(benefit_original!N29),benefit_original!N29/100000000,benefit_original!N29)</f>
        <v>87.329860999999994</v>
      </c>
      <c r="O29" s="4">
        <f>IF(ISNUMBER(benefit_original!O29),benefit_original!O29/100000000,benefit_original!O29)</f>
        <v>51.277416000000002</v>
      </c>
      <c r="P29" s="4">
        <f>IF(ISNUMBER(benefit_original!P29),benefit_original!P29/100000000,benefit_original!P29)</f>
        <v>61.231192999999998</v>
      </c>
      <c r="Q29" s="4">
        <f>IF(ISNUMBER(benefit_original!Q29),benefit_original!Q29/100000000,benefit_original!Q29)</f>
        <v>42.527850000000001</v>
      </c>
      <c r="R29" s="4">
        <f>IF(ISNUMBER(benefit_original!R29),benefit_original!R29/100000000,benefit_original!R29)</f>
        <v>36.629406000000003</v>
      </c>
      <c r="S29" s="4">
        <f>IF(ISNUMBER(benefit_original!S29),benefit_original!S29/100000000,benefit_original!S29)</f>
        <v>39.133654999999997</v>
      </c>
      <c r="T29" s="4">
        <f>IF(ISNUMBER(benefit_original!T29),benefit_original!T29/100000000,benefit_original!T29)</f>
        <v>48.892716</v>
      </c>
      <c r="U29" s="4">
        <f>IF(ISNUMBER(benefit_original!U29),benefit_original!U29/100000000,benefit_original!U29)</f>
        <v>40.784525000000002</v>
      </c>
      <c r="V29" s="4">
        <f>IF(ISNUMBER(benefit_original!V29),benefit_original!V29/100000000,benefit_original!V29)</f>
        <v>35.364055</v>
      </c>
      <c r="W29" s="4">
        <f>IF(ISNUMBER(benefit_original!W29),benefit_original!W29/100000000,benefit_original!W29)</f>
        <v>35.233305999999999</v>
      </c>
      <c r="X29" s="4">
        <f>IF(ISNUMBER(benefit_original!X29),benefit_original!X29/100000000,benefit_original!X29)</f>
        <v>43.649017000000001</v>
      </c>
      <c r="Y29" s="4">
        <f>IF(ISNUMBER(benefit_original!Y29),benefit_original!Y29/100000000,benefit_original!Y29)</f>
        <v>46.564751000000001</v>
      </c>
      <c r="Z29" s="4">
        <f>IF(ISNUMBER(benefit_original!Z29),benefit_original!Z29/100000000,benefit_original!Z29)</f>
        <v>34.634754000000001</v>
      </c>
      <c r="AA29" s="4">
        <f>IF(ISNUMBER(benefit_original!AA29),benefit_original!AA29/100000000,benefit_original!AA29)</f>
        <v>35.304676000000001</v>
      </c>
      <c r="AB29" s="4">
        <f>IF(ISNUMBER(benefit_original!AB29),benefit_original!AB29/100000000,benefit_original!AB29)</f>
        <v>36.993862999999997</v>
      </c>
      <c r="AC29" s="4">
        <f>IF(ISNUMBER(benefit_original!AC29),benefit_original!AC29/100000000,benefit_original!AC29)</f>
        <v>40.664453000000002</v>
      </c>
      <c r="AD29" s="4">
        <f>IF(ISNUMBER(benefit_original!AD29),benefit_original!AD29/100000000,benefit_original!AD29)</f>
        <v>38.222498000000002</v>
      </c>
      <c r="AE29" s="4">
        <f>IF(ISNUMBER(benefit_original!AE29),benefit_original!AE29/100000000,benefit_original!AE29)</f>
        <v>36.548465999999998</v>
      </c>
      <c r="AF29" s="4">
        <f>IF(ISNUMBER(benefit_original!AF29),benefit_original!AF29/100000000,benefit_original!AF29)</f>
        <v>35.930981000000003</v>
      </c>
      <c r="AG29" s="4">
        <f>IF(ISNUMBER(benefit_original!AG29),benefit_original!AG29/100000000,benefit_original!AG29)</f>
        <v>28.880203999999999</v>
      </c>
      <c r="AH29" s="4">
        <f>IF(ISNUMBER(benefit_original!AH29),benefit_original!AH29/100000000,benefit_original!AH29)</f>
        <v>34.243375999999998</v>
      </c>
      <c r="AI29" s="4">
        <f>IF(ISNUMBER(benefit_original!AI29),benefit_original!AI29/100000000,benefit_original!AI29)</f>
        <v>40.265058000000003</v>
      </c>
      <c r="AJ29" s="4">
        <f>IF(ISNUMBER(benefit_original!AJ29),benefit_original!AJ29/100000000,benefit_original!AJ29)</f>
        <v>29.692157999999999</v>
      </c>
      <c r="AK29" s="4">
        <f>IF(ISNUMBER(benefit_original!AK29),benefit_original!AK29/100000000,benefit_original!AK29)</f>
        <v>21.940612999999999</v>
      </c>
      <c r="AL29" s="4">
        <f>IF(ISNUMBER(benefit_original!AL29),benefit_original!AL29/100000000,benefit_original!AL29)</f>
        <v>16.619074999999999</v>
      </c>
      <c r="AM29" s="4">
        <f>IF(ISNUMBER(benefit_original!AM29),benefit_original!AM29/100000000,benefit_original!AM29)</f>
        <v>30.231822000000001</v>
      </c>
      <c r="AN29" s="4">
        <f>IF(ISNUMBER(benefit_original!AN29),benefit_original!AN29/100000000,benefit_original!AN29)</f>
        <v>18.839950000000002</v>
      </c>
      <c r="AO29" s="4">
        <f>IF(ISNUMBER(benefit_original!AO29),benefit_original!AO29/100000000,benefit_original!AO29)</f>
        <v>8.7702019999999994</v>
      </c>
      <c r="AP29" s="4">
        <f>IF(ISNUMBER(benefit_original!AP29),benefit_original!AP29/100000000,benefit_original!AP29)</f>
        <v>10.744166999999999</v>
      </c>
      <c r="AQ29" s="4">
        <f>IF(ISNUMBER(benefit_original!AQ29),benefit_original!AQ29/100000000,benefit_original!AQ29)</f>
        <v>18.340947</v>
      </c>
      <c r="AR29" s="3">
        <v>1265662600</v>
      </c>
      <c r="AS29" s="3">
        <v>525494700</v>
      </c>
      <c r="AT29" s="3">
        <v>996674900</v>
      </c>
      <c r="AU29" s="3">
        <v>1573267000</v>
      </c>
      <c r="AV29" s="3">
        <v>1217009500</v>
      </c>
      <c r="AW29" s="3">
        <v>654721700</v>
      </c>
      <c r="AX29" s="3">
        <v>905197800</v>
      </c>
      <c r="AY29" s="3">
        <v>1366207000</v>
      </c>
      <c r="AZ29" s="3">
        <v>873354100</v>
      </c>
      <c r="BA29" s="3">
        <v>1240337000</v>
      </c>
      <c r="BB29" s="3">
        <v>740770900</v>
      </c>
      <c r="BC29" s="3">
        <v>313646200</v>
      </c>
      <c r="BD29" s="3">
        <v>536077500</v>
      </c>
      <c r="BE29" s="3">
        <v>535805100</v>
      </c>
      <c r="BF29" s="3">
        <v>434938100</v>
      </c>
      <c r="BG29" s="3">
        <v>141619600</v>
      </c>
      <c r="BH29" s="3">
        <v>432449600</v>
      </c>
      <c r="BI29" s="3">
        <v>416056000</v>
      </c>
      <c r="BJ29" s="3">
        <v>221698700</v>
      </c>
      <c r="BK29" s="3">
        <v>111647500</v>
      </c>
      <c r="BL29" s="3">
        <v>369139400</v>
      </c>
      <c r="BM29" s="3">
        <v>304984800</v>
      </c>
      <c r="BN29" s="3">
        <v>166485000</v>
      </c>
      <c r="BO29" s="3">
        <v>87580400</v>
      </c>
      <c r="BP29" s="3">
        <v>261503800</v>
      </c>
      <c r="BQ29" s="3">
        <v>232248100</v>
      </c>
      <c r="BR29" s="3">
        <v>101978900</v>
      </c>
      <c r="BS29" s="3">
        <v>34911800</v>
      </c>
      <c r="BT29" s="3">
        <v>217609000</v>
      </c>
      <c r="BU29" s="3">
        <v>66932900</v>
      </c>
      <c r="BV29" s="3">
        <v>70974600</v>
      </c>
      <c r="BW29" s="3">
        <v>31827700</v>
      </c>
      <c r="BX29" s="3">
        <v>206448300</v>
      </c>
      <c r="BY29" s="3" t="s">
        <v>133</v>
      </c>
    </row>
    <row r="30" spans="1:77" x14ac:dyDescent="0.25">
      <c r="A30" s="3" t="s">
        <v>154</v>
      </c>
      <c r="B30" s="4">
        <f>IF(ISNUMBER(benefit_original!B30),benefit_original!B30/100000000,benefit_original!B30)</f>
        <v>6.9767799999999998</v>
      </c>
      <c r="C30" s="4">
        <f>IF(ISNUMBER(benefit_original!C30),benefit_original!C30/100000000,benefit_original!C30)</f>
        <v>5.5680810000000003</v>
      </c>
      <c r="D30" s="4">
        <f>IF(ISNUMBER(benefit_original!D30),benefit_original!D30/100000000,benefit_original!D30)</f>
        <v>7.6908329999999996</v>
      </c>
      <c r="E30" s="4">
        <f>IF(ISNUMBER(benefit_original!E30),benefit_original!E30/100000000,benefit_original!E30)</f>
        <v>8.0608179999999994</v>
      </c>
      <c r="F30" s="4">
        <f>IF(ISNUMBER(benefit_original!F30),benefit_original!F30/100000000,benefit_original!F30)</f>
        <v>7.1194600000000001</v>
      </c>
      <c r="G30" s="4">
        <f>IF(ISNUMBER(benefit_original!G30),benefit_original!G30/100000000,benefit_original!G30)</f>
        <v>5.5121219999999997</v>
      </c>
      <c r="H30" s="4">
        <f>IF(ISNUMBER(benefit_original!H30),benefit_original!H30/100000000,benefit_original!H30)</f>
        <v>6.9428979999999996</v>
      </c>
      <c r="I30" s="4">
        <f>IF(ISNUMBER(benefit_original!I30),benefit_original!I30/100000000,benefit_original!I30)</f>
        <v>7.8819030000000003</v>
      </c>
      <c r="J30" s="4">
        <f>IF(ISNUMBER(benefit_original!J30),benefit_original!J30/100000000,benefit_original!J30)</f>
        <v>6.8063560000000001</v>
      </c>
      <c r="K30" s="4">
        <f>IF(ISNUMBER(benefit_original!K30),benefit_original!K30/100000000,benefit_original!K30)</f>
        <v>5.3353760000000001</v>
      </c>
      <c r="L30" s="4">
        <f>IF(ISNUMBER(benefit_original!L30),benefit_original!L30/100000000,benefit_original!L30)</f>
        <v>6.2362909999999996</v>
      </c>
      <c r="M30" s="4">
        <f>IF(ISNUMBER(benefit_original!M30),benefit_original!M30/100000000,benefit_original!M30)</f>
        <v>5.4944090000000001</v>
      </c>
      <c r="N30" s="4">
        <f>IF(ISNUMBER(benefit_original!N30),benefit_original!N30/100000000,benefit_original!N30)</f>
        <v>5.8404429999999996</v>
      </c>
      <c r="O30" s="4">
        <f>IF(ISNUMBER(benefit_original!O30),benefit_original!O30/100000000,benefit_original!O30)</f>
        <v>3.7186360000000001</v>
      </c>
      <c r="P30" s="4">
        <f>IF(ISNUMBER(benefit_original!P30),benefit_original!P30/100000000,benefit_original!P30)</f>
        <v>4.2171409999999998</v>
      </c>
      <c r="Q30" s="4">
        <f>IF(ISNUMBER(benefit_original!Q30),benefit_original!Q30/100000000,benefit_original!Q30)</f>
        <v>3.476664</v>
      </c>
      <c r="R30" s="4">
        <f>IF(ISNUMBER(benefit_original!R30),benefit_original!R30/100000000,benefit_original!R30)</f>
        <v>2.9004819999999998</v>
      </c>
      <c r="S30" s="4">
        <f>IF(ISNUMBER(benefit_original!S30),benefit_original!S30/100000000,benefit_original!S30)</f>
        <v>2.5175879999999999</v>
      </c>
      <c r="T30" s="4">
        <f>IF(ISNUMBER(benefit_original!T30),benefit_original!T30/100000000,benefit_original!T30)</f>
        <v>3.2280709999999999</v>
      </c>
      <c r="U30" s="4">
        <f>IF(ISNUMBER(benefit_original!U30),benefit_original!U30/100000000,benefit_original!U30)</f>
        <v>2.4975480000000001</v>
      </c>
      <c r="V30" s="4">
        <f>IF(ISNUMBER(benefit_original!V30),benefit_original!V30/100000000,benefit_original!V30)</f>
        <v>2.2586339999999998</v>
      </c>
      <c r="W30" s="4">
        <f>IF(ISNUMBER(benefit_original!W30),benefit_original!W30/100000000,benefit_original!W30)</f>
        <v>2.128695</v>
      </c>
      <c r="X30" s="4">
        <f>IF(ISNUMBER(benefit_original!X30),benefit_original!X30/100000000,benefit_original!X30)</f>
        <v>2.6341869999999998</v>
      </c>
      <c r="Y30" s="4">
        <f>IF(ISNUMBER(benefit_original!Y30),benefit_original!Y30/100000000,benefit_original!Y30)</f>
        <v>2.3720669999999999</v>
      </c>
      <c r="Z30" s="4">
        <f>IF(ISNUMBER(benefit_original!Z30),benefit_original!Z30/100000000,benefit_original!Z30)</f>
        <v>2.476763</v>
      </c>
      <c r="AA30" s="4">
        <f>IF(ISNUMBER(benefit_original!AA30),benefit_original!AA30/100000000,benefit_original!AA30)</f>
        <v>1.8113699999999999</v>
      </c>
      <c r="AB30" s="4">
        <f>IF(ISNUMBER(benefit_original!AB30),benefit_original!AB30/100000000,benefit_original!AB30)</f>
        <v>2.5354719999999999</v>
      </c>
      <c r="AC30" s="4">
        <f>IF(ISNUMBER(benefit_original!AC30),benefit_original!AC30/100000000,benefit_original!AC30)</f>
        <v>2.3627929999999999</v>
      </c>
      <c r="AD30" s="4">
        <f>IF(ISNUMBER(benefit_original!AD30),benefit_original!AD30/100000000,benefit_original!AD30)</f>
        <v>2.1901069999999998</v>
      </c>
      <c r="AE30" s="4">
        <f>IF(ISNUMBER(benefit_original!AE30),benefit_original!AE30/100000000,benefit_original!AE30)</f>
        <v>1.9270499999999999</v>
      </c>
      <c r="AF30" s="4">
        <f>IF(ISNUMBER(benefit_original!AF30),benefit_original!AF30/100000000,benefit_original!AF30)</f>
        <v>1.802651</v>
      </c>
      <c r="AG30" s="4">
        <f>IF(ISNUMBER(benefit_original!AG30),benefit_original!AG30/100000000,benefit_original!AG30)</f>
        <v>1.824505</v>
      </c>
      <c r="AH30" s="4">
        <f>IF(ISNUMBER(benefit_original!AH30),benefit_original!AH30/100000000,benefit_original!AH30)</f>
        <v>1.6470260000000001</v>
      </c>
      <c r="AI30" s="4">
        <f>IF(ISNUMBER(benefit_original!AI30),benefit_original!AI30/100000000,benefit_original!AI30)</f>
        <v>1.9294290000000001</v>
      </c>
      <c r="AJ30" s="4">
        <f>IF(ISNUMBER(benefit_original!AJ30),benefit_original!AJ30/100000000,benefit_original!AJ30)</f>
        <v>1.6027499999999999</v>
      </c>
      <c r="AK30" s="4">
        <f>IF(ISNUMBER(benefit_original!AK30),benefit_original!AK30/100000000,benefit_original!AK30)</f>
        <v>1.255482</v>
      </c>
      <c r="AL30" s="4">
        <f>IF(ISNUMBER(benefit_original!AL30),benefit_original!AL30/100000000,benefit_original!AL30)</f>
        <v>1.0250060000000001</v>
      </c>
      <c r="AM30" s="4">
        <f>IF(ISNUMBER(benefit_original!AM30),benefit_original!AM30/100000000,benefit_original!AM30)</f>
        <v>1.518327</v>
      </c>
      <c r="AN30" s="4">
        <f>IF(ISNUMBER(benefit_original!AN30),benefit_original!AN30/100000000,benefit_original!AN30)</f>
        <v>1.072964</v>
      </c>
      <c r="AO30" s="4">
        <f>IF(ISNUMBER(benefit_original!AO30),benefit_original!AO30/100000000,benefit_original!AO30)</f>
        <v>0.51636800000000005</v>
      </c>
      <c r="AP30" s="4">
        <f>IF(ISNUMBER(benefit_original!AP30),benefit_original!AP30/100000000,benefit_original!AP30)</f>
        <v>0.62125200000000003</v>
      </c>
      <c r="AQ30" s="4">
        <f>IF(ISNUMBER(benefit_original!AQ30),benefit_original!AQ30/100000000,benefit_original!AQ30)</f>
        <v>0.96085100000000001</v>
      </c>
      <c r="AR30" s="3">
        <v>78720200</v>
      </c>
      <c r="AS30" s="3">
        <v>47598600</v>
      </c>
      <c r="AT30" s="3">
        <v>54278400</v>
      </c>
      <c r="AU30" s="3">
        <v>76734700</v>
      </c>
      <c r="AV30" s="3">
        <v>61831100</v>
      </c>
      <c r="AW30" s="3">
        <v>41838900</v>
      </c>
      <c r="AX30" s="3">
        <v>47061700</v>
      </c>
      <c r="AY30" s="3">
        <v>68683500</v>
      </c>
      <c r="AZ30" s="3">
        <v>43694700</v>
      </c>
      <c r="BA30" s="3">
        <v>56493600</v>
      </c>
      <c r="BB30" s="3">
        <v>34502800</v>
      </c>
      <c r="BC30" s="3">
        <v>18861300</v>
      </c>
      <c r="BD30" s="3">
        <v>25363200</v>
      </c>
      <c r="BE30" s="3">
        <v>23968900</v>
      </c>
      <c r="BF30" s="3">
        <v>18545200</v>
      </c>
      <c r="BG30" s="3">
        <v>10082100</v>
      </c>
      <c r="BH30" s="3">
        <v>18966600</v>
      </c>
      <c r="BI30" s="3">
        <v>18433800</v>
      </c>
      <c r="BJ30" s="3">
        <v>10228600</v>
      </c>
      <c r="BK30" s="3">
        <v>7116100</v>
      </c>
      <c r="BL30" s="3">
        <v>14802000</v>
      </c>
      <c r="BM30" s="3">
        <v>11111900</v>
      </c>
      <c r="BN30" s="3">
        <v>7528500</v>
      </c>
      <c r="BO30" s="3">
        <v>5150900</v>
      </c>
      <c r="BP30" s="3">
        <v>9827000</v>
      </c>
      <c r="BQ30" s="3">
        <v>6693700</v>
      </c>
      <c r="BR30" s="3">
        <v>5346700</v>
      </c>
      <c r="BS30" s="3">
        <v>2450600</v>
      </c>
      <c r="BT30" s="3">
        <v>7514700</v>
      </c>
      <c r="BU30" s="3">
        <v>4931000</v>
      </c>
      <c r="BV30" s="3">
        <v>2777000</v>
      </c>
      <c r="BW30" s="3">
        <v>729300</v>
      </c>
      <c r="BX30" s="3">
        <v>7350100</v>
      </c>
      <c r="BY30" s="3" t="s">
        <v>133</v>
      </c>
    </row>
    <row r="31" spans="1:77" x14ac:dyDescent="0.25">
      <c r="A31" s="3" t="s">
        <v>155</v>
      </c>
      <c r="B31" s="4">
        <f>IF(ISNUMBER(benefit_original!B31),benefit_original!B31/100000000,benefit_original!B31)</f>
        <v>112.293745</v>
      </c>
      <c r="C31" s="4">
        <f>IF(ISNUMBER(benefit_original!C31),benefit_original!C31/100000000,benefit_original!C31)</f>
        <v>95.175095999999996</v>
      </c>
      <c r="D31" s="4">
        <f>IF(ISNUMBER(benefit_original!D31),benefit_original!D31/100000000,benefit_original!D31)</f>
        <v>131.552167</v>
      </c>
      <c r="E31" s="4">
        <f>IF(ISNUMBER(benefit_original!E31),benefit_original!E31/100000000,benefit_original!E31)</f>
        <v>108.72688100000001</v>
      </c>
      <c r="F31" s="4">
        <f>IF(ISNUMBER(benefit_original!F31),benefit_original!F31/100000000,benefit_original!F31)</f>
        <v>105.027817</v>
      </c>
      <c r="G31" s="4">
        <f>IF(ISNUMBER(benefit_original!G31),benefit_original!G31/100000000,benefit_original!G31)</f>
        <v>87.297173999999998</v>
      </c>
      <c r="H31" s="4">
        <f>IF(ISNUMBER(benefit_original!H31),benefit_original!H31/100000000,benefit_original!H31)</f>
        <v>113.017218</v>
      </c>
      <c r="I31" s="4">
        <f>IF(ISNUMBER(benefit_original!I31),benefit_original!I31/100000000,benefit_original!I31)</f>
        <v>106.564325</v>
      </c>
      <c r="J31" s="4">
        <f>IF(ISNUMBER(benefit_original!J31),benefit_original!J31/100000000,benefit_original!J31)</f>
        <v>90.448425999999998</v>
      </c>
      <c r="K31" s="4">
        <f>IF(ISNUMBER(benefit_original!K31),benefit_original!K31/100000000,benefit_original!K31)</f>
        <v>73.733896000000001</v>
      </c>
      <c r="L31" s="4">
        <f>IF(ISNUMBER(benefit_original!L31),benefit_original!L31/100000000,benefit_original!L31)</f>
        <v>85.107788999999997</v>
      </c>
      <c r="M31" s="4">
        <f>IF(ISNUMBER(benefit_original!M31),benefit_original!M31/100000000,benefit_original!M31)</f>
        <v>71.370748000000006</v>
      </c>
      <c r="N31" s="4">
        <f>IF(ISNUMBER(benefit_original!N31),benefit_original!N31/100000000,benefit_original!N31)</f>
        <v>88.071323000000007</v>
      </c>
      <c r="O31" s="4">
        <f>IF(ISNUMBER(benefit_original!O31),benefit_original!O31/100000000,benefit_original!O31)</f>
        <v>51.316918999999999</v>
      </c>
      <c r="P31" s="4">
        <f>IF(ISNUMBER(benefit_original!P31),benefit_original!P31/100000000,benefit_original!P31)</f>
        <v>61.481847000000002</v>
      </c>
      <c r="Q31" s="4">
        <f>IF(ISNUMBER(benefit_original!Q31),benefit_original!Q31/100000000,benefit_original!Q31)</f>
        <v>44.094155999999998</v>
      </c>
      <c r="R31" s="4">
        <f>IF(ISNUMBER(benefit_original!R31),benefit_original!R31/100000000,benefit_original!R31)</f>
        <v>37.463251999999997</v>
      </c>
      <c r="S31" s="4">
        <f>IF(ISNUMBER(benefit_original!S31),benefit_original!S31/100000000,benefit_original!S31)</f>
        <v>39.126609999999999</v>
      </c>
      <c r="T31" s="4">
        <f>IF(ISNUMBER(benefit_original!T31),benefit_original!T31/100000000,benefit_original!T31)</f>
        <v>48.862872000000003</v>
      </c>
      <c r="U31" s="4">
        <f>IF(ISNUMBER(benefit_original!U31),benefit_original!U31/100000000,benefit_original!U31)</f>
        <v>40.963614999999997</v>
      </c>
      <c r="V31" s="4">
        <f>IF(ISNUMBER(benefit_original!V31),benefit_original!V31/100000000,benefit_original!V31)</f>
        <v>36.306091000000002</v>
      </c>
      <c r="W31" s="4">
        <f>IF(ISNUMBER(benefit_original!W31),benefit_original!W31/100000000,benefit_original!W31)</f>
        <v>35.232599</v>
      </c>
      <c r="X31" s="4">
        <f>IF(ISNUMBER(benefit_original!X31),benefit_original!X31/100000000,benefit_original!X31)</f>
        <v>43.666359999999997</v>
      </c>
      <c r="Y31" s="4">
        <f>IF(ISNUMBER(benefit_original!Y31),benefit_original!Y31/100000000,benefit_original!Y31)</f>
        <v>47.294159999999998</v>
      </c>
      <c r="Z31" s="4">
        <f>IF(ISNUMBER(benefit_original!Z31),benefit_original!Z31/100000000,benefit_original!Z31)</f>
        <v>35.414527</v>
      </c>
      <c r="AA31" s="4">
        <f>IF(ISNUMBER(benefit_original!AA31),benefit_original!AA31/100000000,benefit_original!AA31)</f>
        <v>35.448602000000001</v>
      </c>
      <c r="AB31" s="4">
        <f>IF(ISNUMBER(benefit_original!AB31),benefit_original!AB31/100000000,benefit_original!AB31)</f>
        <v>37.051045000000002</v>
      </c>
      <c r="AC31" s="4">
        <f>IF(ISNUMBER(benefit_original!AC31),benefit_original!AC31/100000000,benefit_original!AC31)</f>
        <v>41.351757999999997</v>
      </c>
      <c r="AD31" s="4">
        <f>IF(ISNUMBER(benefit_original!AD31),benefit_original!AD31/100000000,benefit_original!AD31)</f>
        <v>38.736178000000002</v>
      </c>
      <c r="AE31" s="4">
        <f>IF(ISNUMBER(benefit_original!AE31),benefit_original!AE31/100000000,benefit_original!AE31)</f>
        <v>36.698799000000001</v>
      </c>
      <c r="AF31" s="4">
        <f>IF(ISNUMBER(benefit_original!AF31),benefit_original!AF31/100000000,benefit_original!AF31)</f>
        <v>37.728538999999998</v>
      </c>
      <c r="AG31" s="4">
        <f>IF(ISNUMBER(benefit_original!AG31),benefit_original!AG31/100000000,benefit_original!AG31)</f>
        <v>29.082428</v>
      </c>
      <c r="AH31" s="4">
        <f>IF(ISNUMBER(benefit_original!AH31),benefit_original!AH31/100000000,benefit_original!AH31)</f>
        <v>34.976841</v>
      </c>
      <c r="AI31" s="4">
        <f>IF(ISNUMBER(benefit_original!AI31),benefit_original!AI31/100000000,benefit_original!AI31)</f>
        <v>40.276088000000001</v>
      </c>
      <c r="AJ31" s="4">
        <f>IF(ISNUMBER(benefit_original!AJ31),benefit_original!AJ31/100000000,benefit_original!AJ31)</f>
        <v>29.678357999999999</v>
      </c>
      <c r="AK31" s="4">
        <f>IF(ISNUMBER(benefit_original!AK31),benefit_original!AK31/100000000,benefit_original!AK31)</f>
        <v>21.931676</v>
      </c>
      <c r="AL31" s="4">
        <f>IF(ISNUMBER(benefit_original!AL31),benefit_original!AL31/100000000,benefit_original!AL31)</f>
        <v>16.625292000000002</v>
      </c>
      <c r="AM31" s="4">
        <f>IF(ISNUMBER(benefit_original!AM31),benefit_original!AM31/100000000,benefit_original!AM31)</f>
        <v>30.263207000000001</v>
      </c>
      <c r="AN31" s="4">
        <f>IF(ISNUMBER(benefit_original!AN31),benefit_original!AN31/100000000,benefit_original!AN31)</f>
        <v>18.826758999999999</v>
      </c>
      <c r="AO31" s="4">
        <f>IF(ISNUMBER(benefit_original!AO31),benefit_original!AO31/100000000,benefit_original!AO31)</f>
        <v>8.755865</v>
      </c>
      <c r="AP31" s="4">
        <f>IF(ISNUMBER(benefit_original!AP31),benefit_original!AP31/100000000,benefit_original!AP31)</f>
        <v>10.732697999999999</v>
      </c>
      <c r="AQ31" s="4">
        <f>IF(ISNUMBER(benefit_original!AQ31),benefit_original!AQ31/100000000,benefit_original!AQ31)</f>
        <v>18.336151000000001</v>
      </c>
      <c r="AR31" s="3">
        <v>1267754800</v>
      </c>
      <c r="AS31" s="3">
        <v>520783500</v>
      </c>
      <c r="AT31" s="3">
        <v>997802400</v>
      </c>
      <c r="AU31" s="3">
        <v>1572637200</v>
      </c>
      <c r="AV31" s="3">
        <v>1216891500</v>
      </c>
      <c r="AW31" s="3">
        <v>652288900</v>
      </c>
      <c r="AX31" s="3">
        <v>904340100</v>
      </c>
      <c r="AY31" s="3">
        <v>1373083600</v>
      </c>
      <c r="AZ31" s="3">
        <v>872926200</v>
      </c>
      <c r="BA31" s="3">
        <v>1244115600</v>
      </c>
      <c r="BB31" s="3">
        <v>740665500</v>
      </c>
      <c r="BC31" s="3">
        <v>312936700</v>
      </c>
      <c r="BD31" s="3">
        <v>535335500</v>
      </c>
      <c r="BE31" s="3">
        <v>547180400</v>
      </c>
      <c r="BF31" s="3">
        <v>345679200</v>
      </c>
      <c r="BG31" s="3">
        <v>155266300</v>
      </c>
      <c r="BH31" s="3">
        <v>449371300</v>
      </c>
      <c r="BI31" s="3">
        <v>416280100</v>
      </c>
      <c r="BJ31" s="3">
        <v>221621500</v>
      </c>
      <c r="BK31" s="3">
        <v>110852800</v>
      </c>
      <c r="BL31" s="3">
        <v>369131700</v>
      </c>
      <c r="BM31" s="3">
        <v>303345800</v>
      </c>
      <c r="BN31" s="3">
        <v>166400000</v>
      </c>
      <c r="BO31" s="3">
        <v>87567200</v>
      </c>
      <c r="BP31" s="3">
        <v>261494800</v>
      </c>
      <c r="BQ31" s="3">
        <v>231937000</v>
      </c>
      <c r="BR31" s="3">
        <v>101429800</v>
      </c>
      <c r="BS31" s="3">
        <v>252137300</v>
      </c>
      <c r="BT31" s="3" t="s">
        <v>133</v>
      </c>
      <c r="BU31" s="3">
        <v>68780600</v>
      </c>
      <c r="BV31" s="3">
        <v>71154600</v>
      </c>
      <c r="BW31" s="3">
        <v>238253300</v>
      </c>
      <c r="BX31" s="3" t="s">
        <v>133</v>
      </c>
      <c r="BY31" s="3" t="s">
        <v>133</v>
      </c>
    </row>
    <row r="32" spans="1:77" x14ac:dyDescent="0.25">
      <c r="A32" s="3" t="s">
        <v>156</v>
      </c>
      <c r="B32" s="4">
        <f>IF(ISNUMBER(benefit_original!B32),benefit_original!B32/100000000,benefit_original!B32)</f>
        <v>0</v>
      </c>
      <c r="C32" s="4">
        <f>IF(ISNUMBER(benefit_original!C32),benefit_original!C32/100000000,benefit_original!C32)</f>
        <v>0</v>
      </c>
      <c r="D32" s="4">
        <f>IF(ISNUMBER(benefit_original!D32),benefit_original!D32/100000000,benefit_original!D32)</f>
        <v>0</v>
      </c>
      <c r="E32" s="4">
        <f>IF(ISNUMBER(benefit_original!E32),benefit_original!E32/100000000,benefit_original!E32)</f>
        <v>0</v>
      </c>
      <c r="F32" s="4">
        <f>IF(ISNUMBER(benefit_original!F32),benefit_original!F32/100000000,benefit_original!F32)</f>
        <v>0</v>
      </c>
      <c r="G32" s="4">
        <f>IF(ISNUMBER(benefit_original!G32),benefit_original!G32/100000000,benefit_original!G32)</f>
        <v>0</v>
      </c>
      <c r="H32" s="4">
        <f>IF(ISNUMBER(benefit_original!H32),benefit_original!H32/100000000,benefit_original!H32)</f>
        <v>0</v>
      </c>
      <c r="I32" s="4">
        <f>IF(ISNUMBER(benefit_original!I32),benefit_original!I32/100000000,benefit_original!I32)</f>
        <v>0</v>
      </c>
      <c r="J32" s="4">
        <f>IF(ISNUMBER(benefit_original!J32),benefit_original!J32/100000000,benefit_original!J32)</f>
        <v>0</v>
      </c>
      <c r="K32" s="4">
        <f>IF(ISNUMBER(benefit_original!K32),benefit_original!K32/100000000,benefit_original!K32)</f>
        <v>0</v>
      </c>
      <c r="L32" s="4">
        <f>IF(ISNUMBER(benefit_original!L32),benefit_original!L32/100000000,benefit_original!L32)</f>
        <v>0</v>
      </c>
      <c r="M32" s="4">
        <f>IF(ISNUMBER(benefit_original!M32),benefit_original!M32/100000000,benefit_original!M32)</f>
        <v>0</v>
      </c>
      <c r="N32" s="4">
        <f>IF(ISNUMBER(benefit_original!N32),benefit_original!N32/100000000,benefit_original!N32)</f>
        <v>0</v>
      </c>
      <c r="O32" s="4">
        <f>IF(ISNUMBER(benefit_original!O32),benefit_original!O32/100000000,benefit_original!O32)</f>
        <v>0</v>
      </c>
      <c r="P32" s="4">
        <f>IF(ISNUMBER(benefit_original!P32),benefit_original!P32/100000000,benefit_original!P32)</f>
        <v>0</v>
      </c>
      <c r="Q32" s="4">
        <f>IF(ISNUMBER(benefit_original!Q32),benefit_original!Q32/100000000,benefit_original!Q32)</f>
        <v>0</v>
      </c>
      <c r="R32" s="4">
        <f>IF(ISNUMBER(benefit_original!R32),benefit_original!R32/100000000,benefit_original!R32)</f>
        <v>0</v>
      </c>
      <c r="S32" s="4">
        <f>IF(ISNUMBER(benefit_original!S32),benefit_original!S32/100000000,benefit_original!S32)</f>
        <v>0</v>
      </c>
      <c r="T32" s="4">
        <f>IF(ISNUMBER(benefit_original!T32),benefit_original!T32/100000000,benefit_original!T32)</f>
        <v>0</v>
      </c>
      <c r="U32" s="4">
        <f>IF(ISNUMBER(benefit_original!U32),benefit_original!U32/100000000,benefit_original!U32)</f>
        <v>0</v>
      </c>
      <c r="V32" s="4">
        <f>IF(ISNUMBER(benefit_original!V32),benefit_original!V32/100000000,benefit_original!V32)</f>
        <v>0</v>
      </c>
      <c r="W32" s="4">
        <f>IF(ISNUMBER(benefit_original!W32),benefit_original!W32/100000000,benefit_original!W32)</f>
        <v>0</v>
      </c>
      <c r="X32" s="4">
        <f>IF(ISNUMBER(benefit_original!X32),benefit_original!X32/100000000,benefit_original!X32)</f>
        <v>0</v>
      </c>
      <c r="Y32" s="4">
        <f>IF(ISNUMBER(benefit_original!Y32),benefit_original!Y32/100000000,benefit_original!Y32)</f>
        <v>0</v>
      </c>
      <c r="Z32" s="4">
        <f>IF(ISNUMBER(benefit_original!Z32),benefit_original!Z32/100000000,benefit_original!Z32)</f>
        <v>0</v>
      </c>
      <c r="AA32" s="4">
        <f>IF(ISNUMBER(benefit_original!AA32),benefit_original!AA32/100000000,benefit_original!AA32)</f>
        <v>0</v>
      </c>
      <c r="AB32" s="4">
        <f>IF(ISNUMBER(benefit_original!AB32),benefit_original!AB32/100000000,benefit_original!AB32)</f>
        <v>0</v>
      </c>
      <c r="AC32" s="4">
        <f>IF(ISNUMBER(benefit_original!AC32),benefit_original!AC32/100000000,benefit_original!AC32)</f>
        <v>0</v>
      </c>
      <c r="AD32" s="4">
        <f>IF(ISNUMBER(benefit_original!AD32),benefit_original!AD32/100000000,benefit_original!AD32)</f>
        <v>0</v>
      </c>
      <c r="AE32" s="4">
        <f>IF(ISNUMBER(benefit_original!AE32),benefit_original!AE32/100000000,benefit_original!AE32)</f>
        <v>0</v>
      </c>
      <c r="AF32" s="4">
        <f>IF(ISNUMBER(benefit_original!AF32),benefit_original!AF32/100000000,benefit_original!AF32)</f>
        <v>0</v>
      </c>
      <c r="AG32" s="4">
        <f>IF(ISNUMBER(benefit_original!AG32),benefit_original!AG32/100000000,benefit_original!AG32)</f>
        <v>0</v>
      </c>
      <c r="AH32" s="4">
        <f>IF(ISNUMBER(benefit_original!AH32),benefit_original!AH32/100000000,benefit_original!AH32)</f>
        <v>0</v>
      </c>
      <c r="AI32" s="4">
        <f>IF(ISNUMBER(benefit_original!AI32),benefit_original!AI32/100000000,benefit_original!AI32)</f>
        <v>0</v>
      </c>
      <c r="AJ32" s="4">
        <f>IF(ISNUMBER(benefit_original!AJ32),benefit_original!AJ32/100000000,benefit_original!AJ32)</f>
        <v>0</v>
      </c>
      <c r="AK32" s="4">
        <f>IF(ISNUMBER(benefit_original!AK32),benefit_original!AK32/100000000,benefit_original!AK32)</f>
        <v>0</v>
      </c>
      <c r="AL32" s="4">
        <f>IF(ISNUMBER(benefit_original!AL32),benefit_original!AL32/100000000,benefit_original!AL32)</f>
        <v>0</v>
      </c>
      <c r="AM32" s="4">
        <f>IF(ISNUMBER(benefit_original!AM32),benefit_original!AM32/100000000,benefit_original!AM32)</f>
        <v>0</v>
      </c>
      <c r="AN32" s="4">
        <f>IF(ISNUMBER(benefit_original!AN32),benefit_original!AN32/100000000,benefit_original!AN32)</f>
        <v>0</v>
      </c>
      <c r="AO32" s="4">
        <f>IF(ISNUMBER(benefit_original!AO32),benefit_original!AO32/100000000,benefit_original!AO32)</f>
        <v>0</v>
      </c>
      <c r="AP32" s="4">
        <f>IF(ISNUMBER(benefit_original!AP32),benefit_original!AP32/100000000,benefit_original!AP32)</f>
        <v>0</v>
      </c>
      <c r="AQ32" s="4">
        <f>IF(ISNUMBER(benefit_original!AQ32),benefit_original!AQ32/100000000,benefit_original!AQ32)</f>
        <v>0</v>
      </c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</row>
    <row r="33" spans="1:77" x14ac:dyDescent="0.25">
      <c r="A33" s="3" t="s">
        <v>157</v>
      </c>
      <c r="B33" s="4">
        <f>IF(ISNUMBER(benefit_original!B33),benefit_original!B33/100000000,benefit_original!B33)</f>
        <v>8.9399999999999993E-8</v>
      </c>
      <c r="C33" s="4">
        <f>IF(ISNUMBER(benefit_original!C33),benefit_original!C33/100000000,benefit_original!C33)</f>
        <v>7.5699999999999996E-8</v>
      </c>
      <c r="D33" s="4">
        <f>IF(ISNUMBER(benefit_original!D33),benefit_original!D33/100000000,benefit_original!D33)</f>
        <v>1.0419999999999999E-7</v>
      </c>
      <c r="E33" s="4">
        <f>IF(ISNUMBER(benefit_original!E33),benefit_original!E33/100000000,benefit_original!E33)</f>
        <v>8.5599999999999999E-8</v>
      </c>
      <c r="F33" s="4">
        <f>IF(ISNUMBER(benefit_original!F33),benefit_original!F33/100000000,benefit_original!F33)</f>
        <v>8.3599999999999994E-8</v>
      </c>
      <c r="G33" s="4">
        <f>IF(ISNUMBER(benefit_original!G33),benefit_original!G33/100000000,benefit_original!G33)</f>
        <v>6.9500000000000007E-8</v>
      </c>
      <c r="H33" s="4">
        <f>IF(ISNUMBER(benefit_original!H33),benefit_original!H33/100000000,benefit_original!H33)</f>
        <v>8.9299999999999999E-8</v>
      </c>
      <c r="I33" s="4">
        <f>IF(ISNUMBER(benefit_original!I33),benefit_original!I33/100000000,benefit_original!I33)</f>
        <v>8.3299999999999998E-8</v>
      </c>
      <c r="J33" s="4">
        <f>IF(ISNUMBER(benefit_original!J33),benefit_original!J33/100000000,benefit_original!J33)</f>
        <v>7.1399999999999991E-8</v>
      </c>
      <c r="K33" s="4">
        <f>IF(ISNUMBER(benefit_original!K33),benefit_original!K33/100000000,benefit_original!K33)</f>
        <v>5.7800000000000001E-8</v>
      </c>
      <c r="L33" s="4">
        <f>IF(ISNUMBER(benefit_original!L33),benefit_original!L33/100000000,benefit_original!L33)</f>
        <v>6.7699999999999991E-8</v>
      </c>
      <c r="M33" s="4">
        <f>IF(ISNUMBER(benefit_original!M33),benefit_original!M33/100000000,benefit_original!M33)</f>
        <v>5.6500000000000003E-8</v>
      </c>
      <c r="N33" s="4">
        <f>IF(ISNUMBER(benefit_original!N33),benefit_original!N33/100000000,benefit_original!N33)</f>
        <v>6.9500000000000007E-8</v>
      </c>
      <c r="O33" s="4">
        <f>IF(ISNUMBER(benefit_original!O33),benefit_original!O33/100000000,benefit_original!O33)</f>
        <v>4.0899999999999996E-8</v>
      </c>
      <c r="P33" s="4">
        <f>IF(ISNUMBER(benefit_original!P33),benefit_original!P33/100000000,benefit_original!P33)</f>
        <v>4.8699999999999999E-8</v>
      </c>
      <c r="Q33" s="4">
        <f>IF(ISNUMBER(benefit_original!Q33),benefit_original!Q33/100000000,benefit_original!Q33)</f>
        <v>3.3899999999999999E-8</v>
      </c>
      <c r="R33" s="4">
        <f>IF(ISNUMBER(benefit_original!R33),benefit_original!R33/100000000,benefit_original!R33)</f>
        <v>2.9100000000000002E-8</v>
      </c>
      <c r="S33" s="4">
        <f>IF(ISNUMBER(benefit_original!S33),benefit_original!S33/100000000,benefit_original!S33)</f>
        <v>3.1200000000000001E-8</v>
      </c>
      <c r="T33" s="4">
        <f>IF(ISNUMBER(benefit_original!T33),benefit_original!T33/100000000,benefit_original!T33)</f>
        <v>3.8900000000000004E-8</v>
      </c>
      <c r="U33" s="4">
        <f>IF(ISNUMBER(benefit_original!U33),benefit_original!U33/100000000,benefit_original!U33)</f>
        <v>3.25E-8</v>
      </c>
      <c r="V33" s="4">
        <f>IF(ISNUMBER(benefit_original!V33),benefit_original!V33/100000000,benefit_original!V33)</f>
        <v>2.81E-8</v>
      </c>
      <c r="W33" s="4">
        <f>IF(ISNUMBER(benefit_original!W33),benefit_original!W33/100000000,benefit_original!W33)</f>
        <v>2.81E-8</v>
      </c>
      <c r="X33" s="4">
        <f>IF(ISNUMBER(benefit_original!X33),benefit_original!X33/100000000,benefit_original!X33)</f>
        <v>3.47E-8</v>
      </c>
      <c r="Y33" s="4">
        <f>IF(ISNUMBER(benefit_original!Y33),benefit_original!Y33/100000000,benefit_original!Y33)</f>
        <v>3.7100000000000001E-8</v>
      </c>
      <c r="Z33" s="4">
        <f>IF(ISNUMBER(benefit_original!Z33),benefit_original!Z33/100000000,benefit_original!Z33)</f>
        <v>2.18E-8</v>
      </c>
      <c r="AA33" s="4">
        <f>IF(ISNUMBER(benefit_original!AA33),benefit_original!AA33/100000000,benefit_original!AA33)</f>
        <v>3.0899999999999999E-8</v>
      </c>
      <c r="AB33" s="4">
        <f>IF(ISNUMBER(benefit_original!AB33),benefit_original!AB33/100000000,benefit_original!AB33)</f>
        <v>3.2399999999999999E-8</v>
      </c>
      <c r="AC33" s="4">
        <f>IF(ISNUMBER(benefit_original!AC33),benefit_original!AC33/100000000,benefit_original!AC33)</f>
        <v>3.5600000000000001E-8</v>
      </c>
      <c r="AD33" s="4">
        <f>IF(ISNUMBER(benefit_original!AD33),benefit_original!AD33/100000000,benefit_original!AD33)</f>
        <v>3.3400000000000001E-8</v>
      </c>
      <c r="AE33" s="4">
        <f>IF(ISNUMBER(benefit_original!AE33),benefit_original!AE33/100000000,benefit_original!AE33)</f>
        <v>2.8900000000000001E-8</v>
      </c>
      <c r="AF33" s="4">
        <f>IF(ISNUMBER(benefit_original!AF33),benefit_original!AF33/100000000,benefit_original!AF33)</f>
        <v>3.4599999999999999E-8</v>
      </c>
      <c r="AG33" s="4">
        <f>IF(ISNUMBER(benefit_original!AG33),benefit_original!AG33/100000000,benefit_original!AG33)</f>
        <v>2.7799999999999997E-8</v>
      </c>
      <c r="AH33" s="4">
        <f>IF(ISNUMBER(benefit_original!AH33),benefit_original!AH33/100000000,benefit_original!AH33)</f>
        <v>3.2999999999999998E-8</v>
      </c>
      <c r="AI33" s="4">
        <f>IF(ISNUMBER(benefit_original!AI33),benefit_original!AI33/100000000,benefit_original!AI33)</f>
        <v>3.8799999999999997E-8</v>
      </c>
      <c r="AJ33" s="4">
        <f>IF(ISNUMBER(benefit_original!AJ33),benefit_original!AJ33/100000000,benefit_original!AJ33)</f>
        <v>2.8599999999999998E-8</v>
      </c>
      <c r="AK33" s="4">
        <f>IF(ISNUMBER(benefit_original!AK33),benefit_original!AK33/100000000,benefit_original!AK33)</f>
        <v>2.11E-8</v>
      </c>
      <c r="AL33" s="4">
        <f>IF(ISNUMBER(benefit_original!AL33),benefit_original!AL33/100000000,benefit_original!AL33)</f>
        <v>1.6000000000000001E-8</v>
      </c>
      <c r="AM33" s="4">
        <f>IF(ISNUMBER(benefit_original!AM33),benefit_original!AM33/100000000,benefit_original!AM33)</f>
        <v>2.92E-8</v>
      </c>
      <c r="AN33" s="4">
        <f>IF(ISNUMBER(benefit_original!AN33),benefit_original!AN33/100000000,benefit_original!AN33)</f>
        <v>1.81E-8</v>
      </c>
      <c r="AO33" s="4">
        <f>IF(ISNUMBER(benefit_original!AO33),benefit_original!AO33/100000000,benefit_original!AO33)</f>
        <v>8.5E-9</v>
      </c>
      <c r="AP33" s="4">
        <f>IF(ISNUMBER(benefit_original!AP33),benefit_original!AP33/100000000,benefit_original!AP33)</f>
        <v>7.4000000000000001E-9</v>
      </c>
      <c r="AQ33" s="4">
        <f>IF(ISNUMBER(benefit_original!AQ33),benefit_original!AQ33/100000000,benefit_original!AQ33)</f>
        <v>1.9399999999999998E-8</v>
      </c>
      <c r="AR33" s="3">
        <v>1.34</v>
      </c>
      <c r="AS33" s="3">
        <v>0.56000000000000005</v>
      </c>
      <c r="AT33" s="3">
        <v>1.05</v>
      </c>
      <c r="AU33" s="3">
        <v>1.67</v>
      </c>
      <c r="AV33" s="3">
        <v>1.29</v>
      </c>
      <c r="AW33" s="3">
        <v>0.7</v>
      </c>
      <c r="AX33" s="3">
        <v>0.96</v>
      </c>
      <c r="AY33" s="3">
        <v>1.44</v>
      </c>
      <c r="AZ33" s="3">
        <v>0.93</v>
      </c>
      <c r="BA33" s="3">
        <v>1.31</v>
      </c>
      <c r="BB33" s="3">
        <v>0.79</v>
      </c>
      <c r="BC33" s="3">
        <v>0.33</v>
      </c>
      <c r="BD33" s="3">
        <v>0.56999999999999995</v>
      </c>
      <c r="BE33" s="3">
        <v>0.56999999999999995</v>
      </c>
      <c r="BF33" s="3">
        <v>0.46</v>
      </c>
      <c r="BG33" s="3">
        <v>-0.31</v>
      </c>
      <c r="BH33" s="3">
        <v>0.92</v>
      </c>
      <c r="BI33" s="3" t="s">
        <v>133</v>
      </c>
      <c r="BJ33" s="3" t="s">
        <v>133</v>
      </c>
      <c r="BK33" s="3" t="s">
        <v>133</v>
      </c>
      <c r="BL33" s="3" t="s">
        <v>133</v>
      </c>
      <c r="BM33" s="3" t="s">
        <v>133</v>
      </c>
      <c r="BN33" s="3" t="s">
        <v>133</v>
      </c>
      <c r="BO33" s="3" t="s">
        <v>133</v>
      </c>
      <c r="BP33" s="3" t="s">
        <v>133</v>
      </c>
      <c r="BQ33" s="3" t="s">
        <v>133</v>
      </c>
      <c r="BR33" s="3" t="s">
        <v>133</v>
      </c>
      <c r="BS33" s="3" t="s">
        <v>133</v>
      </c>
      <c r="BT33" s="3" t="s">
        <v>133</v>
      </c>
      <c r="BU33" s="3" t="s">
        <v>133</v>
      </c>
      <c r="BV33" s="3" t="s">
        <v>133</v>
      </c>
      <c r="BW33" s="3" t="s">
        <v>133</v>
      </c>
      <c r="BX33" s="3" t="s">
        <v>133</v>
      </c>
      <c r="BY33" s="3">
        <v>0.38</v>
      </c>
    </row>
    <row r="34" spans="1:77" x14ac:dyDescent="0.25">
      <c r="A34" s="3" t="s">
        <v>158</v>
      </c>
      <c r="B34" s="4">
        <f>IF(ISNUMBER(benefit_original!B34),benefit_original!B34/100000000,benefit_original!B34)</f>
        <v>8.9399999999999993E-8</v>
      </c>
      <c r="C34" s="4">
        <f>IF(ISNUMBER(benefit_original!C34),benefit_original!C34/100000000,benefit_original!C34)</f>
        <v>7.5699999999999996E-8</v>
      </c>
      <c r="D34" s="4">
        <f>IF(ISNUMBER(benefit_original!D34),benefit_original!D34/100000000,benefit_original!D34)</f>
        <v>1.0419999999999999E-7</v>
      </c>
      <c r="E34" s="4">
        <f>IF(ISNUMBER(benefit_original!E34),benefit_original!E34/100000000,benefit_original!E34)</f>
        <v>8.5599999999999999E-8</v>
      </c>
      <c r="F34" s="4">
        <f>IF(ISNUMBER(benefit_original!F34),benefit_original!F34/100000000,benefit_original!F34)</f>
        <v>8.3599999999999994E-8</v>
      </c>
      <c r="G34" s="4">
        <f>IF(ISNUMBER(benefit_original!G34),benefit_original!G34/100000000,benefit_original!G34)</f>
        <v>6.9500000000000007E-8</v>
      </c>
      <c r="H34" s="4">
        <f>IF(ISNUMBER(benefit_original!H34),benefit_original!H34/100000000,benefit_original!H34)</f>
        <v>8.9299999999999999E-8</v>
      </c>
      <c r="I34" s="4">
        <f>IF(ISNUMBER(benefit_original!I34),benefit_original!I34/100000000,benefit_original!I34)</f>
        <v>8.3299999999999998E-8</v>
      </c>
      <c r="J34" s="4">
        <f>IF(ISNUMBER(benefit_original!J34),benefit_original!J34/100000000,benefit_original!J34)</f>
        <v>7.1399999999999991E-8</v>
      </c>
      <c r="K34" s="4">
        <f>IF(ISNUMBER(benefit_original!K34),benefit_original!K34/100000000,benefit_original!K34)</f>
        <v>5.7800000000000001E-8</v>
      </c>
      <c r="L34" s="4">
        <f>IF(ISNUMBER(benefit_original!L34),benefit_original!L34/100000000,benefit_original!L34)</f>
        <v>6.7699999999999991E-8</v>
      </c>
      <c r="M34" s="4">
        <f>IF(ISNUMBER(benefit_original!M34),benefit_original!M34/100000000,benefit_original!M34)</f>
        <v>5.6500000000000003E-8</v>
      </c>
      <c r="N34" s="4">
        <f>IF(ISNUMBER(benefit_original!N34),benefit_original!N34/100000000,benefit_original!N34)</f>
        <v>6.9500000000000007E-8</v>
      </c>
      <c r="O34" s="4">
        <f>IF(ISNUMBER(benefit_original!O34),benefit_original!O34/100000000,benefit_original!O34)</f>
        <v>4.0899999999999996E-8</v>
      </c>
      <c r="P34" s="4">
        <f>IF(ISNUMBER(benefit_original!P34),benefit_original!P34/100000000,benefit_original!P34)</f>
        <v>4.8699999999999999E-8</v>
      </c>
      <c r="Q34" s="4">
        <f>IF(ISNUMBER(benefit_original!Q34),benefit_original!Q34/100000000,benefit_original!Q34)</f>
        <v>3.3899999999999999E-8</v>
      </c>
      <c r="R34" s="4">
        <f>IF(ISNUMBER(benefit_original!R34),benefit_original!R34/100000000,benefit_original!R34)</f>
        <v>2.9100000000000002E-8</v>
      </c>
      <c r="S34" s="4">
        <f>IF(ISNUMBER(benefit_original!S34),benefit_original!S34/100000000,benefit_original!S34)</f>
        <v>3.1200000000000001E-8</v>
      </c>
      <c r="T34" s="4">
        <f>IF(ISNUMBER(benefit_original!T34),benefit_original!T34/100000000,benefit_original!T34)</f>
        <v>3.8900000000000004E-8</v>
      </c>
      <c r="U34" s="4">
        <f>IF(ISNUMBER(benefit_original!U34),benefit_original!U34/100000000,benefit_original!U34)</f>
        <v>3.25E-8</v>
      </c>
      <c r="V34" s="4">
        <f>IF(ISNUMBER(benefit_original!V34),benefit_original!V34/100000000,benefit_original!V34)</f>
        <v>2.81E-8</v>
      </c>
      <c r="W34" s="4">
        <f>IF(ISNUMBER(benefit_original!W34),benefit_original!W34/100000000,benefit_original!W34)</f>
        <v>2.81E-8</v>
      </c>
      <c r="X34" s="4">
        <f>IF(ISNUMBER(benefit_original!X34),benefit_original!X34/100000000,benefit_original!X34)</f>
        <v>3.47E-8</v>
      </c>
      <c r="Y34" s="4">
        <f>IF(ISNUMBER(benefit_original!Y34),benefit_original!Y34/100000000,benefit_original!Y34)</f>
        <v>3.7100000000000001E-8</v>
      </c>
      <c r="Z34" s="4">
        <f>IF(ISNUMBER(benefit_original!Z34),benefit_original!Z34/100000000,benefit_original!Z34)</f>
        <v>2.18E-8</v>
      </c>
      <c r="AA34" s="4">
        <f>IF(ISNUMBER(benefit_original!AA34),benefit_original!AA34/100000000,benefit_original!AA34)</f>
        <v>3.0899999999999999E-8</v>
      </c>
      <c r="AB34" s="4">
        <f>IF(ISNUMBER(benefit_original!AB34),benefit_original!AB34/100000000,benefit_original!AB34)</f>
        <v>3.2399999999999999E-8</v>
      </c>
      <c r="AC34" s="4">
        <f>IF(ISNUMBER(benefit_original!AC34),benefit_original!AC34/100000000,benefit_original!AC34)</f>
        <v>3.5600000000000001E-8</v>
      </c>
      <c r="AD34" s="4">
        <f>IF(ISNUMBER(benefit_original!AD34),benefit_original!AD34/100000000,benefit_original!AD34)</f>
        <v>3.3400000000000001E-8</v>
      </c>
      <c r="AE34" s="4">
        <f>IF(ISNUMBER(benefit_original!AE34),benefit_original!AE34/100000000,benefit_original!AE34)</f>
        <v>2.8900000000000001E-8</v>
      </c>
      <c r="AF34" s="4">
        <f>IF(ISNUMBER(benefit_original!AF34),benefit_original!AF34/100000000,benefit_original!AF34)</f>
        <v>3.4599999999999999E-8</v>
      </c>
      <c r="AG34" s="4">
        <f>IF(ISNUMBER(benefit_original!AG34),benefit_original!AG34/100000000,benefit_original!AG34)</f>
        <v>2.7799999999999997E-8</v>
      </c>
      <c r="AH34" s="4">
        <f>IF(ISNUMBER(benefit_original!AH34),benefit_original!AH34/100000000,benefit_original!AH34)</f>
        <v>3.2999999999999998E-8</v>
      </c>
      <c r="AI34" s="4">
        <f>IF(ISNUMBER(benefit_original!AI34),benefit_original!AI34/100000000,benefit_original!AI34)</f>
        <v>3.8799999999999997E-8</v>
      </c>
      <c r="AJ34" s="4">
        <f>IF(ISNUMBER(benefit_original!AJ34),benefit_original!AJ34/100000000,benefit_original!AJ34)</f>
        <v>2.8599999999999998E-8</v>
      </c>
      <c r="AK34" s="4">
        <f>IF(ISNUMBER(benefit_original!AK34),benefit_original!AK34/100000000,benefit_original!AK34)</f>
        <v>2.11E-8</v>
      </c>
      <c r="AL34" s="4">
        <f>IF(ISNUMBER(benefit_original!AL34),benefit_original!AL34/100000000,benefit_original!AL34)</f>
        <v>1.6000000000000001E-8</v>
      </c>
      <c r="AM34" s="4">
        <f>IF(ISNUMBER(benefit_original!AM34),benefit_original!AM34/100000000,benefit_original!AM34)</f>
        <v>2.92E-8</v>
      </c>
      <c r="AN34" s="4">
        <f>IF(ISNUMBER(benefit_original!AN34),benefit_original!AN34/100000000,benefit_original!AN34)</f>
        <v>1.81E-8</v>
      </c>
      <c r="AO34" s="4">
        <f>IF(ISNUMBER(benefit_original!AO34),benefit_original!AO34/100000000,benefit_original!AO34)</f>
        <v>8.5E-9</v>
      </c>
      <c r="AP34" s="4">
        <f>IF(ISNUMBER(benefit_original!AP34),benefit_original!AP34/100000000,benefit_original!AP34)</f>
        <v>7.4000000000000001E-9</v>
      </c>
      <c r="AQ34" s="4">
        <f>IF(ISNUMBER(benefit_original!AQ34),benefit_original!AQ34/100000000,benefit_original!AQ34)</f>
        <v>1.9399999999999998E-8</v>
      </c>
      <c r="AR34" s="3">
        <v>1.34</v>
      </c>
      <c r="AS34" s="3">
        <v>0.56000000000000005</v>
      </c>
      <c r="AT34" s="3">
        <v>1.05</v>
      </c>
      <c r="AU34" s="3">
        <v>1.67</v>
      </c>
      <c r="AV34" s="3">
        <v>1.29</v>
      </c>
      <c r="AW34" s="3">
        <v>0.7</v>
      </c>
      <c r="AX34" s="3">
        <v>0.96</v>
      </c>
      <c r="AY34" s="3" t="s">
        <v>133</v>
      </c>
      <c r="AZ34" s="3" t="s">
        <v>133</v>
      </c>
      <c r="BA34" s="3">
        <v>1.31</v>
      </c>
      <c r="BB34" s="3">
        <v>0.79</v>
      </c>
      <c r="BC34" s="3" t="s">
        <v>133</v>
      </c>
      <c r="BD34" s="3" t="s">
        <v>133</v>
      </c>
      <c r="BE34" s="3">
        <v>0.56999999999999995</v>
      </c>
      <c r="BF34" s="3">
        <v>0.46</v>
      </c>
      <c r="BG34" s="3" t="s">
        <v>133</v>
      </c>
      <c r="BH34" s="3" t="s">
        <v>133</v>
      </c>
      <c r="BI34" s="3" t="s">
        <v>133</v>
      </c>
      <c r="BJ34" s="3" t="s">
        <v>133</v>
      </c>
      <c r="BK34" s="3" t="s">
        <v>133</v>
      </c>
      <c r="BL34" s="3" t="s">
        <v>133</v>
      </c>
      <c r="BM34" s="3" t="s">
        <v>133</v>
      </c>
      <c r="BN34" s="3" t="s">
        <v>133</v>
      </c>
      <c r="BO34" s="3" t="s">
        <v>133</v>
      </c>
      <c r="BP34" s="3" t="s">
        <v>133</v>
      </c>
      <c r="BQ34" s="3" t="s">
        <v>133</v>
      </c>
      <c r="BR34" s="3" t="s">
        <v>133</v>
      </c>
      <c r="BS34" s="3" t="s">
        <v>133</v>
      </c>
      <c r="BT34" s="3" t="s">
        <v>133</v>
      </c>
      <c r="BU34" s="3" t="s">
        <v>133</v>
      </c>
      <c r="BV34" s="3" t="s">
        <v>133</v>
      </c>
      <c r="BW34" s="3" t="s">
        <v>133</v>
      </c>
      <c r="BX34" s="3" t="s">
        <v>133</v>
      </c>
      <c r="BY34" s="3" t="s">
        <v>133</v>
      </c>
    </row>
    <row r="35" spans="1:77" x14ac:dyDescent="0.25">
      <c r="A35" s="3" t="s">
        <v>159</v>
      </c>
      <c r="B35" s="4">
        <f>IF(ISNUMBER(benefit_original!B35),benefit_original!B35/100000000,benefit_original!B35)</f>
        <v>2.7469999999999999E-3</v>
      </c>
      <c r="C35" s="4">
        <f>IF(ISNUMBER(benefit_original!C35),benefit_original!C35/100000000,benefit_original!C35)</f>
        <v>1.3528E-2</v>
      </c>
      <c r="D35" s="4">
        <f>IF(ISNUMBER(benefit_original!D35),benefit_original!D35/100000000,benefit_original!D35)</f>
        <v>-5.6300000000000002E-4</v>
      </c>
      <c r="E35" s="4">
        <f>IF(ISNUMBER(benefit_original!E35),benefit_original!E35/100000000,benefit_original!E35)</f>
        <v>5.176E-3</v>
      </c>
      <c r="F35" s="4">
        <f>IF(ISNUMBER(benefit_original!F35),benefit_original!F35/100000000,benefit_original!F35)</f>
        <v>-5.0679999999999996E-3</v>
      </c>
      <c r="G35" s="4">
        <f>IF(ISNUMBER(benefit_original!G35),benefit_original!G35/100000000,benefit_original!G35)</f>
        <v>2.0038E-2</v>
      </c>
      <c r="H35" s="4">
        <f>IF(ISNUMBER(benefit_original!H35),benefit_original!H35/100000000,benefit_original!H35)</f>
        <v>-2.1475999999999999E-2</v>
      </c>
      <c r="I35" s="4">
        <f>IF(ISNUMBER(benefit_original!I35),benefit_original!I35/100000000,benefit_original!I35)</f>
        <v>-1.1369000000000001E-2</v>
      </c>
      <c r="J35" s="4">
        <f>IF(ISNUMBER(benefit_original!J35),benefit_original!J35/100000000,benefit_original!J35)</f>
        <v>2.5850000000000001E-2</v>
      </c>
      <c r="K35" s="4">
        <f>IF(ISNUMBER(benefit_original!K35),benefit_original!K35/100000000,benefit_original!K35)</f>
        <v>-6.3010000000000002E-3</v>
      </c>
      <c r="L35" s="4">
        <f>IF(ISNUMBER(benefit_original!L35),benefit_original!L35/100000000,benefit_original!L35)</f>
        <v>-4.8209999999999998E-3</v>
      </c>
      <c r="M35" s="4">
        <f>IF(ISNUMBER(benefit_original!M35),benefit_original!M35/100000000,benefit_original!M35)</f>
        <v>-1.72E-3</v>
      </c>
      <c r="N35" s="4">
        <f>IF(ISNUMBER(benefit_original!N35),benefit_original!N35/100000000,benefit_original!N35)</f>
        <v>5.6420000000000003E-3</v>
      </c>
      <c r="O35" s="4">
        <f>IF(ISNUMBER(benefit_original!O35),benefit_original!O35/100000000,benefit_original!O35)</f>
        <v>2.9360000000000001E-2</v>
      </c>
      <c r="P35" s="4">
        <f>IF(ISNUMBER(benefit_original!P35),benefit_original!P35/100000000,benefit_original!P35)</f>
        <v>5.11E-3</v>
      </c>
      <c r="Q35" s="4">
        <f>IF(ISNUMBER(benefit_original!Q35),benefit_original!Q35/100000000,benefit_original!Q35)</f>
        <v>-1.4119E-2</v>
      </c>
      <c r="R35" s="4">
        <f>IF(ISNUMBER(benefit_original!R35),benefit_original!R35/100000000,benefit_original!R35)</f>
        <v>9.1299999999999992E-3</v>
      </c>
      <c r="S35" s="4">
        <f>IF(ISNUMBER(benefit_original!S35),benefit_original!S35/100000000,benefit_original!S35)</f>
        <v>-1.225E-2</v>
      </c>
      <c r="T35" s="4">
        <f>IF(ISNUMBER(benefit_original!T35),benefit_original!T35/100000000,benefit_original!T35)</f>
        <v>3.5172000000000002E-2</v>
      </c>
      <c r="U35" s="4">
        <f>IF(ISNUMBER(benefit_original!U35),benefit_original!U35/100000000,benefit_original!U35)</f>
        <v>-5.6169999999999996E-3</v>
      </c>
      <c r="V35" s="4">
        <f>IF(ISNUMBER(benefit_original!V35),benefit_original!V35/100000000,benefit_original!V35)</f>
        <v>2.4358999999999999E-2</v>
      </c>
      <c r="W35" s="4">
        <f>IF(ISNUMBER(benefit_original!W35),benefit_original!W35/100000000,benefit_original!W35)</f>
        <v>-3.9469999999999998E-2</v>
      </c>
      <c r="X35" s="4">
        <f>IF(ISNUMBER(benefit_original!X35),benefit_original!X35/100000000,benefit_original!X35)</f>
        <v>-0.103422</v>
      </c>
      <c r="Y35" s="4" t="str">
        <f>IF(ISNUMBER(benefit_original!Y35),benefit_original!Y35/100000000,benefit_original!Y35)</f>
        <v>--</v>
      </c>
      <c r="Z35" s="4" t="str">
        <f>IF(ISNUMBER(benefit_original!Z35),benefit_original!Z35/100000000,benefit_original!Z35)</f>
        <v>--</v>
      </c>
      <c r="AA35" s="4" t="str">
        <f>IF(ISNUMBER(benefit_original!AA35),benefit_original!AA35/100000000,benefit_original!AA35)</f>
        <v>--</v>
      </c>
      <c r="AB35" s="4" t="str">
        <f>IF(ISNUMBER(benefit_original!AB35),benefit_original!AB35/100000000,benefit_original!AB35)</f>
        <v>--</v>
      </c>
      <c r="AC35" s="4" t="str">
        <f>IF(ISNUMBER(benefit_original!AC35),benefit_original!AC35/100000000,benefit_original!AC35)</f>
        <v>--</v>
      </c>
      <c r="AD35" s="4" t="str">
        <f>IF(ISNUMBER(benefit_original!AD35),benefit_original!AD35/100000000,benefit_original!AD35)</f>
        <v>--</v>
      </c>
      <c r="AE35" s="4" t="str">
        <f>IF(ISNUMBER(benefit_original!AE35),benefit_original!AE35/100000000,benefit_original!AE35)</f>
        <v>--</v>
      </c>
      <c r="AF35" s="4" t="str">
        <f>IF(ISNUMBER(benefit_original!AF35),benefit_original!AF35/100000000,benefit_original!AF35)</f>
        <v>--</v>
      </c>
      <c r="AG35" s="4" t="str">
        <f>IF(ISNUMBER(benefit_original!AG35),benefit_original!AG35/100000000,benefit_original!AG35)</f>
        <v>--</v>
      </c>
      <c r="AH35" s="4" t="str">
        <f>IF(ISNUMBER(benefit_original!AH35),benefit_original!AH35/100000000,benefit_original!AH35)</f>
        <v>--</v>
      </c>
      <c r="AI35" s="4" t="str">
        <f>IF(ISNUMBER(benefit_original!AI35),benefit_original!AI35/100000000,benefit_original!AI35)</f>
        <v>--</v>
      </c>
      <c r="AJ35" s="4" t="str">
        <f>IF(ISNUMBER(benefit_original!AJ35),benefit_original!AJ35/100000000,benefit_original!AJ35)</f>
        <v>--</v>
      </c>
      <c r="AK35" s="4" t="str">
        <f>IF(ISNUMBER(benefit_original!AK35),benefit_original!AK35/100000000,benefit_original!AK35)</f>
        <v>--</v>
      </c>
      <c r="AL35" s="4" t="str">
        <f>IF(ISNUMBER(benefit_original!AL35),benefit_original!AL35/100000000,benefit_original!AL35)</f>
        <v>--</v>
      </c>
      <c r="AM35" s="4" t="str">
        <f>IF(ISNUMBER(benefit_original!AM35),benefit_original!AM35/100000000,benefit_original!AM35)</f>
        <v>--</v>
      </c>
      <c r="AN35" s="4" t="str">
        <f>IF(ISNUMBER(benefit_original!AN35),benefit_original!AN35/100000000,benefit_original!AN35)</f>
        <v>--</v>
      </c>
      <c r="AO35" s="4" t="str">
        <f>IF(ISNUMBER(benefit_original!AO35),benefit_original!AO35/100000000,benefit_original!AO35)</f>
        <v>--</v>
      </c>
      <c r="AP35" s="4" t="str">
        <f>IF(ISNUMBER(benefit_original!AP35),benefit_original!AP35/100000000,benefit_original!AP35)</f>
        <v>--</v>
      </c>
      <c r="AQ35" s="4" t="str">
        <f>IF(ISNUMBER(benefit_original!AQ35),benefit_original!AQ35/100000000,benefit_original!AQ35)</f>
        <v>--</v>
      </c>
      <c r="AR35" s="3" t="s">
        <v>133</v>
      </c>
      <c r="AS35" s="3" t="s">
        <v>133</v>
      </c>
      <c r="AT35" s="3" t="s">
        <v>133</v>
      </c>
      <c r="AU35" s="3" t="s">
        <v>133</v>
      </c>
      <c r="AV35" s="3" t="s">
        <v>133</v>
      </c>
      <c r="AW35" s="3" t="s">
        <v>133</v>
      </c>
      <c r="AX35" s="3" t="s">
        <v>133</v>
      </c>
      <c r="AY35" s="3" t="s">
        <v>133</v>
      </c>
      <c r="AZ35" s="3" t="s">
        <v>133</v>
      </c>
      <c r="BA35" s="3" t="s">
        <v>133</v>
      </c>
      <c r="BB35" s="3" t="s">
        <v>133</v>
      </c>
      <c r="BC35" s="3" t="s">
        <v>133</v>
      </c>
      <c r="BD35" s="3" t="s">
        <v>133</v>
      </c>
      <c r="BE35" s="3" t="s">
        <v>133</v>
      </c>
      <c r="BF35" s="3" t="s">
        <v>133</v>
      </c>
      <c r="BG35" s="3" t="s">
        <v>133</v>
      </c>
      <c r="BH35" s="3" t="s">
        <v>133</v>
      </c>
      <c r="BI35" s="3" t="s">
        <v>133</v>
      </c>
      <c r="BJ35" s="3" t="s">
        <v>133</v>
      </c>
      <c r="BK35" s="3" t="s">
        <v>133</v>
      </c>
      <c r="BL35" s="3" t="s">
        <v>133</v>
      </c>
      <c r="BM35" s="3" t="s">
        <v>133</v>
      </c>
      <c r="BN35" s="3" t="s">
        <v>133</v>
      </c>
      <c r="BO35" s="3" t="s">
        <v>133</v>
      </c>
      <c r="BP35" s="3" t="s">
        <v>133</v>
      </c>
      <c r="BQ35" s="3" t="s">
        <v>133</v>
      </c>
      <c r="BR35" s="3" t="s">
        <v>133</v>
      </c>
      <c r="BS35" s="3" t="s">
        <v>133</v>
      </c>
      <c r="BT35" s="3" t="s">
        <v>133</v>
      </c>
      <c r="BU35" s="3" t="s">
        <v>133</v>
      </c>
      <c r="BV35" s="3" t="s">
        <v>133</v>
      </c>
      <c r="BW35" s="3" t="s">
        <v>133</v>
      </c>
      <c r="BX35" s="3" t="s">
        <v>133</v>
      </c>
      <c r="BY35" s="3" t="s">
        <v>133</v>
      </c>
    </row>
    <row r="36" spans="1:77" x14ac:dyDescent="0.25">
      <c r="A36" s="3" t="s">
        <v>160</v>
      </c>
      <c r="B36" s="4">
        <f>IF(ISNUMBER(benefit_original!B36),benefit_original!B36/100000000,benefit_original!B36)</f>
        <v>2.7469999999999999E-3</v>
      </c>
      <c r="C36" s="4">
        <f>IF(ISNUMBER(benefit_original!C36),benefit_original!C36/100000000,benefit_original!C36)</f>
        <v>1.3528E-2</v>
      </c>
      <c r="D36" s="4">
        <f>IF(ISNUMBER(benefit_original!D36),benefit_original!D36/100000000,benefit_original!D36)</f>
        <v>-5.6300000000000002E-4</v>
      </c>
      <c r="E36" s="4">
        <f>IF(ISNUMBER(benefit_original!E36),benefit_original!E36/100000000,benefit_original!E36)</f>
        <v>5.176E-3</v>
      </c>
      <c r="F36" s="4">
        <f>IF(ISNUMBER(benefit_original!F36),benefit_original!F36/100000000,benefit_original!F36)</f>
        <v>-5.0679999999999996E-3</v>
      </c>
      <c r="G36" s="4">
        <f>IF(ISNUMBER(benefit_original!G36),benefit_original!G36/100000000,benefit_original!G36)</f>
        <v>2.0038E-2</v>
      </c>
      <c r="H36" s="4">
        <f>IF(ISNUMBER(benefit_original!H36),benefit_original!H36/100000000,benefit_original!H36)</f>
        <v>-2.1475999999999999E-2</v>
      </c>
      <c r="I36" s="4">
        <f>IF(ISNUMBER(benefit_original!I36),benefit_original!I36/100000000,benefit_original!I36)</f>
        <v>-1.1369000000000001E-2</v>
      </c>
      <c r="J36" s="4">
        <f>IF(ISNUMBER(benefit_original!J36),benefit_original!J36/100000000,benefit_original!J36)</f>
        <v>2.5850000000000001E-2</v>
      </c>
      <c r="K36" s="4">
        <f>IF(ISNUMBER(benefit_original!K36),benefit_original!K36/100000000,benefit_original!K36)</f>
        <v>-6.3010000000000002E-3</v>
      </c>
      <c r="L36" s="4">
        <f>IF(ISNUMBER(benefit_original!L36),benefit_original!L36/100000000,benefit_original!L36)</f>
        <v>-4.8209999999999998E-3</v>
      </c>
      <c r="M36" s="4">
        <f>IF(ISNUMBER(benefit_original!M36),benefit_original!M36/100000000,benefit_original!M36)</f>
        <v>-1.72E-3</v>
      </c>
      <c r="N36" s="4">
        <f>IF(ISNUMBER(benefit_original!N36),benefit_original!N36/100000000,benefit_original!N36)</f>
        <v>5.6420000000000003E-3</v>
      </c>
      <c r="O36" s="4">
        <f>IF(ISNUMBER(benefit_original!O36),benefit_original!O36/100000000,benefit_original!O36)</f>
        <v>2.9360000000000001E-2</v>
      </c>
      <c r="P36" s="4">
        <f>IF(ISNUMBER(benefit_original!P36),benefit_original!P36/100000000,benefit_original!P36)</f>
        <v>5.11E-3</v>
      </c>
      <c r="Q36" s="4">
        <f>IF(ISNUMBER(benefit_original!Q36),benefit_original!Q36/100000000,benefit_original!Q36)</f>
        <v>-1.4119E-2</v>
      </c>
      <c r="R36" s="4">
        <f>IF(ISNUMBER(benefit_original!R36),benefit_original!R36/100000000,benefit_original!R36)</f>
        <v>9.1299999999999992E-3</v>
      </c>
      <c r="S36" s="4">
        <f>IF(ISNUMBER(benefit_original!S36),benefit_original!S36/100000000,benefit_original!S36)</f>
        <v>-1.225E-2</v>
      </c>
      <c r="T36" s="4">
        <f>IF(ISNUMBER(benefit_original!T36),benefit_original!T36/100000000,benefit_original!T36)</f>
        <v>3.5172000000000002E-2</v>
      </c>
      <c r="U36" s="4">
        <f>IF(ISNUMBER(benefit_original!U36),benefit_original!U36/100000000,benefit_original!U36)</f>
        <v>-5.6169999999999996E-3</v>
      </c>
      <c r="V36" s="4">
        <f>IF(ISNUMBER(benefit_original!V36),benefit_original!V36/100000000,benefit_original!V36)</f>
        <v>2.4358999999999999E-2</v>
      </c>
      <c r="W36" s="4">
        <f>IF(ISNUMBER(benefit_original!W36),benefit_original!W36/100000000,benefit_original!W36)</f>
        <v>-3.9469999999999998E-2</v>
      </c>
      <c r="X36" s="4">
        <f>IF(ISNUMBER(benefit_original!X36),benefit_original!X36/100000000,benefit_original!X36)</f>
        <v>-0.103422</v>
      </c>
      <c r="Y36" s="4" t="str">
        <f>IF(ISNUMBER(benefit_original!Y36),benefit_original!Y36/100000000,benefit_original!Y36)</f>
        <v>--</v>
      </c>
      <c r="Z36" s="4" t="str">
        <f>IF(ISNUMBER(benefit_original!Z36),benefit_original!Z36/100000000,benefit_original!Z36)</f>
        <v>--</v>
      </c>
      <c r="AA36" s="4" t="str">
        <f>IF(ISNUMBER(benefit_original!AA36),benefit_original!AA36/100000000,benefit_original!AA36)</f>
        <v>--</v>
      </c>
      <c r="AB36" s="4" t="str">
        <f>IF(ISNUMBER(benefit_original!AB36),benefit_original!AB36/100000000,benefit_original!AB36)</f>
        <v>--</v>
      </c>
      <c r="AC36" s="4" t="str">
        <f>IF(ISNUMBER(benefit_original!AC36),benefit_original!AC36/100000000,benefit_original!AC36)</f>
        <v>--</v>
      </c>
      <c r="AD36" s="4" t="str">
        <f>IF(ISNUMBER(benefit_original!AD36),benefit_original!AD36/100000000,benefit_original!AD36)</f>
        <v>--</v>
      </c>
      <c r="AE36" s="4" t="str">
        <f>IF(ISNUMBER(benefit_original!AE36),benefit_original!AE36/100000000,benefit_original!AE36)</f>
        <v>--</v>
      </c>
      <c r="AF36" s="4" t="str">
        <f>IF(ISNUMBER(benefit_original!AF36),benefit_original!AF36/100000000,benefit_original!AF36)</f>
        <v>--</v>
      </c>
      <c r="AG36" s="4" t="str">
        <f>IF(ISNUMBER(benefit_original!AG36),benefit_original!AG36/100000000,benefit_original!AG36)</f>
        <v>--</v>
      </c>
      <c r="AH36" s="4" t="str">
        <f>IF(ISNUMBER(benefit_original!AH36),benefit_original!AH36/100000000,benefit_original!AH36)</f>
        <v>--</v>
      </c>
      <c r="AI36" s="4" t="str">
        <f>IF(ISNUMBER(benefit_original!AI36),benefit_original!AI36/100000000,benefit_original!AI36)</f>
        <v>--</v>
      </c>
      <c r="AJ36" s="4" t="str">
        <f>IF(ISNUMBER(benefit_original!AJ36),benefit_original!AJ36/100000000,benefit_original!AJ36)</f>
        <v>--</v>
      </c>
      <c r="AK36" s="4" t="str">
        <f>IF(ISNUMBER(benefit_original!AK36),benefit_original!AK36/100000000,benefit_original!AK36)</f>
        <v>--</v>
      </c>
      <c r="AL36" s="4" t="str">
        <f>IF(ISNUMBER(benefit_original!AL36),benefit_original!AL36/100000000,benefit_original!AL36)</f>
        <v>--</v>
      </c>
      <c r="AM36" s="4" t="str">
        <f>IF(ISNUMBER(benefit_original!AM36),benefit_original!AM36/100000000,benefit_original!AM36)</f>
        <v>--</v>
      </c>
      <c r="AN36" s="4" t="str">
        <f>IF(ISNUMBER(benefit_original!AN36),benefit_original!AN36/100000000,benefit_original!AN36)</f>
        <v>--</v>
      </c>
      <c r="AO36" s="4" t="str">
        <f>IF(ISNUMBER(benefit_original!AO36),benefit_original!AO36/100000000,benefit_original!AO36)</f>
        <v>--</v>
      </c>
      <c r="AP36" s="4" t="str">
        <f>IF(ISNUMBER(benefit_original!AP36),benefit_original!AP36/100000000,benefit_original!AP36)</f>
        <v>--</v>
      </c>
      <c r="AQ36" s="4" t="str">
        <f>IF(ISNUMBER(benefit_original!AQ36),benefit_original!AQ36/100000000,benefit_original!AQ36)</f>
        <v>--</v>
      </c>
      <c r="AR36" s="3" t="s">
        <v>133</v>
      </c>
      <c r="AS36" s="3" t="s">
        <v>133</v>
      </c>
      <c r="AT36" s="3" t="s">
        <v>133</v>
      </c>
      <c r="AU36" s="3" t="s">
        <v>133</v>
      </c>
      <c r="AV36" s="3" t="s">
        <v>133</v>
      </c>
      <c r="AW36" s="3" t="s">
        <v>133</v>
      </c>
      <c r="AX36" s="3" t="s">
        <v>133</v>
      </c>
      <c r="AY36" s="3" t="s">
        <v>133</v>
      </c>
      <c r="AZ36" s="3" t="s">
        <v>133</v>
      </c>
      <c r="BA36" s="3" t="s">
        <v>133</v>
      </c>
      <c r="BB36" s="3" t="s">
        <v>133</v>
      </c>
      <c r="BC36" s="3" t="s">
        <v>133</v>
      </c>
      <c r="BD36" s="3" t="s">
        <v>133</v>
      </c>
      <c r="BE36" s="3" t="s">
        <v>133</v>
      </c>
      <c r="BF36" s="3" t="s">
        <v>133</v>
      </c>
      <c r="BG36" s="3" t="s">
        <v>133</v>
      </c>
      <c r="BH36" s="3" t="s">
        <v>133</v>
      </c>
      <c r="BI36" s="3" t="s">
        <v>133</v>
      </c>
      <c r="BJ36" s="3" t="s">
        <v>133</v>
      </c>
      <c r="BK36" s="3" t="s">
        <v>133</v>
      </c>
      <c r="BL36" s="3" t="s">
        <v>133</v>
      </c>
      <c r="BM36" s="3" t="s">
        <v>133</v>
      </c>
      <c r="BN36" s="3" t="s">
        <v>133</v>
      </c>
      <c r="BO36" s="3" t="s">
        <v>133</v>
      </c>
      <c r="BP36" s="3" t="s">
        <v>133</v>
      </c>
      <c r="BQ36" s="3" t="s">
        <v>133</v>
      </c>
      <c r="BR36" s="3" t="s">
        <v>133</v>
      </c>
      <c r="BS36" s="3" t="s">
        <v>133</v>
      </c>
      <c r="BT36" s="3" t="s">
        <v>133</v>
      </c>
      <c r="BU36" s="3" t="s">
        <v>133</v>
      </c>
      <c r="BV36" s="3" t="s">
        <v>133</v>
      </c>
      <c r="BW36" s="3" t="s">
        <v>133</v>
      </c>
      <c r="BX36" s="3" t="s">
        <v>133</v>
      </c>
      <c r="BY36" s="3" t="s">
        <v>133</v>
      </c>
    </row>
    <row r="37" spans="1:77" x14ac:dyDescent="0.25">
      <c r="A37" s="3" t="s">
        <v>161</v>
      </c>
      <c r="B37" s="4">
        <f>IF(ISNUMBER(benefit_original!B37),benefit_original!B37/100000000,benefit_original!B37)</f>
        <v>119.234015</v>
      </c>
      <c r="C37" s="4">
        <f>IF(ISNUMBER(benefit_original!C37),benefit_original!C37/100000000,benefit_original!C37)</f>
        <v>100.66045800000001</v>
      </c>
      <c r="D37" s="4">
        <f>IF(ISNUMBER(benefit_original!D37),benefit_original!D37/100000000,benefit_original!D37)</f>
        <v>138.627972</v>
      </c>
      <c r="E37" s="4">
        <f>IF(ISNUMBER(benefit_original!E37),benefit_original!E37/100000000,benefit_original!E37)</f>
        <v>115.582151</v>
      </c>
      <c r="F37" s="4">
        <f>IF(ISNUMBER(benefit_original!F37),benefit_original!F37/100000000,benefit_original!F37)</f>
        <v>112.15269000000001</v>
      </c>
      <c r="G37" s="4">
        <f>IF(ISNUMBER(benefit_original!G37),benefit_original!G37/100000000,benefit_original!G37)</f>
        <v>92.828102000000001</v>
      </c>
      <c r="H37" s="4">
        <f>IF(ISNUMBER(benefit_original!H37),benefit_original!H37/100000000,benefit_original!H37)</f>
        <v>119.135735</v>
      </c>
      <c r="I37" s="4">
        <f>IF(ISNUMBER(benefit_original!I37),benefit_original!I37/100000000,benefit_original!I37)</f>
        <v>112.571259</v>
      </c>
      <c r="J37" s="4">
        <f>IF(ISNUMBER(benefit_original!J37),benefit_original!J37/100000000,benefit_original!J37)</f>
        <v>96.525874999999999</v>
      </c>
      <c r="K37" s="4">
        <f>IF(ISNUMBER(benefit_original!K37),benefit_original!K37/100000000,benefit_original!K37)</f>
        <v>77.901865999999998</v>
      </c>
      <c r="L37" s="4">
        <f>IF(ISNUMBER(benefit_original!L37),benefit_original!L37/100000000,benefit_original!L37)</f>
        <v>91.300537000000006</v>
      </c>
      <c r="M37" s="4">
        <f>IF(ISNUMBER(benefit_original!M37),benefit_original!M37/100000000,benefit_original!M37)</f>
        <v>76.447822000000002</v>
      </c>
      <c r="N37" s="4">
        <f>IF(ISNUMBER(benefit_original!N37),benefit_original!N37/100000000,benefit_original!N37)</f>
        <v>93.175945999999996</v>
      </c>
      <c r="O37" s="4">
        <f>IF(ISNUMBER(benefit_original!O37),benefit_original!O37/100000000,benefit_original!O37)</f>
        <v>55.025412000000003</v>
      </c>
      <c r="P37" s="4">
        <f>IF(ISNUMBER(benefit_original!P37),benefit_original!P37/100000000,benefit_original!P37)</f>
        <v>65.453445000000002</v>
      </c>
      <c r="Q37" s="4">
        <f>IF(ISNUMBER(benefit_original!Q37),benefit_original!Q37/100000000,benefit_original!Q37)</f>
        <v>45.990394000000002</v>
      </c>
      <c r="R37" s="4">
        <f>IF(ISNUMBER(benefit_original!R37),benefit_original!R37/100000000,benefit_original!R37)</f>
        <v>39.539017999999999</v>
      </c>
      <c r="S37" s="4">
        <f>IF(ISNUMBER(benefit_original!S37),benefit_original!S37/100000000,benefit_original!S37)</f>
        <v>41.638992999999999</v>
      </c>
      <c r="T37" s="4">
        <f>IF(ISNUMBER(benefit_original!T37),benefit_original!T37/100000000,benefit_original!T37)</f>
        <v>52.155959000000003</v>
      </c>
      <c r="U37" s="4">
        <f>IF(ISNUMBER(benefit_original!U37),benefit_original!U37/100000000,benefit_original!U37)</f>
        <v>43.276454999999999</v>
      </c>
      <c r="V37" s="4">
        <f>IF(ISNUMBER(benefit_original!V37),benefit_original!V37/100000000,benefit_original!V37)</f>
        <v>37.647047000000001</v>
      </c>
      <c r="W37" s="4">
        <f>IF(ISNUMBER(benefit_original!W37),benefit_original!W37/100000000,benefit_original!W37)</f>
        <v>37.322530999999998</v>
      </c>
      <c r="X37" s="4">
        <f>IF(ISNUMBER(benefit_original!X37),benefit_original!X37/100000000,benefit_original!X37)</f>
        <v>46.179782000000003</v>
      </c>
      <c r="Y37" s="4">
        <f>IF(ISNUMBER(benefit_original!Y37),benefit_original!Y37/100000000,benefit_original!Y37)</f>
        <v>48.930627999999999</v>
      </c>
      <c r="Z37" s="4">
        <f>IF(ISNUMBER(benefit_original!Z37),benefit_original!Z37/100000000,benefit_original!Z37)</f>
        <v>37.111516999999999</v>
      </c>
      <c r="AA37" s="4">
        <f>IF(ISNUMBER(benefit_original!AA37),benefit_original!AA37/100000000,benefit_original!AA37)</f>
        <v>37.116045999999997</v>
      </c>
      <c r="AB37" s="4">
        <f>IF(ISNUMBER(benefit_original!AB37),benefit_original!AB37/100000000,benefit_original!AB37)</f>
        <v>39.529335000000003</v>
      </c>
      <c r="AC37" s="4">
        <f>IF(ISNUMBER(benefit_original!AC37),benefit_original!AC37/100000000,benefit_original!AC37)</f>
        <v>43.027245999999998</v>
      </c>
      <c r="AD37" s="4">
        <f>IF(ISNUMBER(benefit_original!AD37),benefit_original!AD37/100000000,benefit_original!AD37)</f>
        <v>40.412604999999999</v>
      </c>
      <c r="AE37" s="4">
        <f>IF(ISNUMBER(benefit_original!AE37),benefit_original!AE37/100000000,benefit_original!AE37)</f>
        <v>38.475515000000001</v>
      </c>
      <c r="AF37" s="4">
        <f>IF(ISNUMBER(benefit_original!AF37),benefit_original!AF37/100000000,benefit_original!AF37)</f>
        <v>37.733632</v>
      </c>
      <c r="AG37" s="4">
        <f>IF(ISNUMBER(benefit_original!AG37),benefit_original!AG37/100000000,benefit_original!AG37)</f>
        <v>30.704709000000001</v>
      </c>
      <c r="AH37" s="4">
        <f>IF(ISNUMBER(benefit_original!AH37),benefit_original!AH37/100000000,benefit_original!AH37)</f>
        <v>35.890402000000002</v>
      </c>
      <c r="AI37" s="4">
        <f>IF(ISNUMBER(benefit_original!AI37),benefit_original!AI37/100000000,benefit_original!AI37)</f>
        <v>42.194487000000002</v>
      </c>
      <c r="AJ37" s="4">
        <f>IF(ISNUMBER(benefit_original!AJ37),benefit_original!AJ37/100000000,benefit_original!AJ37)</f>
        <v>31.294908</v>
      </c>
      <c r="AK37" s="4">
        <f>IF(ISNUMBER(benefit_original!AK37),benefit_original!AK37/100000000,benefit_original!AK37)</f>
        <v>23.196095</v>
      </c>
      <c r="AL37" s="4">
        <f>IF(ISNUMBER(benefit_original!AL37),benefit_original!AL37/100000000,benefit_original!AL37)</f>
        <v>17.644081</v>
      </c>
      <c r="AM37" s="4">
        <f>IF(ISNUMBER(benefit_original!AM37),benefit_original!AM37/100000000,benefit_original!AM37)</f>
        <v>31.750149</v>
      </c>
      <c r="AN37" s="4">
        <f>IF(ISNUMBER(benefit_original!AN37),benefit_original!AN37/100000000,benefit_original!AN37)</f>
        <v>19.912913</v>
      </c>
      <c r="AO37" s="4">
        <f>IF(ISNUMBER(benefit_original!AO37),benefit_original!AO37/100000000,benefit_original!AO37)</f>
        <v>9.2865699999999993</v>
      </c>
      <c r="AP37" s="4">
        <f>IF(ISNUMBER(benefit_original!AP37),benefit_original!AP37/100000000,benefit_original!AP37)</f>
        <v>11.365418999999999</v>
      </c>
      <c r="AQ37" s="4">
        <f>IF(ISNUMBER(benefit_original!AQ37),benefit_original!AQ37/100000000,benefit_original!AQ37)</f>
        <v>19.301798000000002</v>
      </c>
      <c r="AR37" s="3">
        <v>1344382800</v>
      </c>
      <c r="AS37" s="3" t="s">
        <v>133</v>
      </c>
      <c r="AT37" s="3" t="s">
        <v>133</v>
      </c>
      <c r="AU37" s="3" t="s">
        <v>133</v>
      </c>
      <c r="AV37" s="3">
        <v>1278840600</v>
      </c>
      <c r="AW37" s="3" t="s">
        <v>133</v>
      </c>
      <c r="AX37" s="3" t="s">
        <v>133</v>
      </c>
      <c r="AY37" s="3" t="s">
        <v>133</v>
      </c>
      <c r="AZ37" s="3" t="s">
        <v>133</v>
      </c>
      <c r="BA37" s="3" t="s">
        <v>133</v>
      </c>
      <c r="BB37" s="3" t="s">
        <v>133</v>
      </c>
      <c r="BC37" s="3" t="s">
        <v>133</v>
      </c>
      <c r="BD37" s="3" t="s">
        <v>133</v>
      </c>
      <c r="BE37" s="3" t="s">
        <v>133</v>
      </c>
      <c r="BF37" s="3" t="s">
        <v>133</v>
      </c>
      <c r="BG37" s="3" t="s">
        <v>133</v>
      </c>
      <c r="BH37" s="3" t="s">
        <v>133</v>
      </c>
      <c r="BI37" s="3" t="s">
        <v>133</v>
      </c>
      <c r="BJ37" s="3" t="s">
        <v>133</v>
      </c>
      <c r="BK37" s="3" t="s">
        <v>133</v>
      </c>
      <c r="BL37" s="3" t="s">
        <v>133</v>
      </c>
      <c r="BM37" s="3" t="s">
        <v>133</v>
      </c>
      <c r="BN37" s="3" t="s">
        <v>133</v>
      </c>
      <c r="BO37" s="3" t="s">
        <v>133</v>
      </c>
      <c r="BP37" s="3" t="s">
        <v>133</v>
      </c>
      <c r="BQ37" s="3" t="s">
        <v>133</v>
      </c>
      <c r="BR37" s="3" t="s">
        <v>133</v>
      </c>
      <c r="BS37" s="3" t="s">
        <v>133</v>
      </c>
      <c r="BT37" s="3" t="s">
        <v>133</v>
      </c>
      <c r="BU37" s="3" t="s">
        <v>133</v>
      </c>
      <c r="BV37" s="3" t="s">
        <v>133</v>
      </c>
      <c r="BW37" s="3" t="s">
        <v>133</v>
      </c>
      <c r="BX37" s="3" t="s">
        <v>133</v>
      </c>
      <c r="BY37" s="3" t="s">
        <v>133</v>
      </c>
    </row>
    <row r="38" spans="1:77" x14ac:dyDescent="0.25">
      <c r="A38" s="3" t="s">
        <v>162</v>
      </c>
      <c r="B38" s="4">
        <f>IF(ISNUMBER(benefit_original!B38),benefit_original!B38/100000000,benefit_original!B38)</f>
        <v>112.25723499999999</v>
      </c>
      <c r="C38" s="4">
        <f>IF(ISNUMBER(benefit_original!C38),benefit_original!C38/100000000,benefit_original!C38)</f>
        <v>95.092376000000002</v>
      </c>
      <c r="D38" s="4">
        <f>IF(ISNUMBER(benefit_original!D38),benefit_original!D38/100000000,benefit_original!D38)</f>
        <v>130.93714</v>
      </c>
      <c r="E38" s="4">
        <f>IF(ISNUMBER(benefit_original!E38),benefit_original!E38/100000000,benefit_original!E38)</f>
        <v>107.521333</v>
      </c>
      <c r="F38" s="4">
        <f>IF(ISNUMBER(benefit_original!F38),benefit_original!F38/100000000,benefit_original!F38)</f>
        <v>105.03323</v>
      </c>
      <c r="G38" s="4">
        <f>IF(ISNUMBER(benefit_original!G38),benefit_original!G38/100000000,benefit_original!G38)</f>
        <v>87.315980999999994</v>
      </c>
      <c r="H38" s="4">
        <f>IF(ISNUMBER(benefit_original!H38),benefit_original!H38/100000000,benefit_original!H38)</f>
        <v>112.192837</v>
      </c>
      <c r="I38" s="4">
        <f>IF(ISNUMBER(benefit_original!I38),benefit_original!I38/100000000,benefit_original!I38)</f>
        <v>104.689356</v>
      </c>
      <c r="J38" s="4">
        <f>IF(ISNUMBER(benefit_original!J38),benefit_original!J38/100000000,benefit_original!J38)</f>
        <v>89.719519000000005</v>
      </c>
      <c r="K38" s="4">
        <f>IF(ISNUMBER(benefit_original!K38),benefit_original!K38/100000000,benefit_original!K38)</f>
        <v>72.566490000000002</v>
      </c>
      <c r="L38" s="4">
        <f>IF(ISNUMBER(benefit_original!L38),benefit_original!L38/100000000,benefit_original!L38)</f>
        <v>85.064245999999997</v>
      </c>
      <c r="M38" s="4">
        <f>IF(ISNUMBER(benefit_original!M38),benefit_original!M38/100000000,benefit_original!M38)</f>
        <v>70.953412999999998</v>
      </c>
      <c r="N38" s="4">
        <f>IF(ISNUMBER(benefit_original!N38),benefit_original!N38/100000000,benefit_original!N38)</f>
        <v>87.335503000000003</v>
      </c>
      <c r="O38" s="4">
        <f>IF(ISNUMBER(benefit_original!O38),benefit_original!O38/100000000,benefit_original!O38)</f>
        <v>51.306775999999999</v>
      </c>
      <c r="P38" s="4">
        <f>IF(ISNUMBER(benefit_original!P38),benefit_original!P38/100000000,benefit_original!P38)</f>
        <v>61.236302999999999</v>
      </c>
      <c r="Q38" s="4">
        <f>IF(ISNUMBER(benefit_original!Q38),benefit_original!Q38/100000000,benefit_original!Q38)</f>
        <v>42.513730000000002</v>
      </c>
      <c r="R38" s="4">
        <f>IF(ISNUMBER(benefit_original!R38),benefit_original!R38/100000000,benefit_original!R38)</f>
        <v>36.638536000000002</v>
      </c>
      <c r="S38" s="4">
        <f>IF(ISNUMBER(benefit_original!S38),benefit_original!S38/100000000,benefit_original!S38)</f>
        <v>39.121405000000003</v>
      </c>
      <c r="T38" s="4">
        <f>IF(ISNUMBER(benefit_original!T38),benefit_original!T38/100000000,benefit_original!T38)</f>
        <v>48.927888000000003</v>
      </c>
      <c r="U38" s="4">
        <f>IF(ISNUMBER(benefit_original!U38),benefit_original!U38/100000000,benefit_original!U38)</f>
        <v>40.778908000000001</v>
      </c>
      <c r="V38" s="4">
        <f>IF(ISNUMBER(benefit_original!V38),benefit_original!V38/100000000,benefit_original!V38)</f>
        <v>35.388413</v>
      </c>
      <c r="W38" s="4">
        <f>IF(ISNUMBER(benefit_original!W38),benefit_original!W38/100000000,benefit_original!W38)</f>
        <v>35.193835999999997</v>
      </c>
      <c r="X38" s="4">
        <f>IF(ISNUMBER(benefit_original!X38),benefit_original!X38/100000000,benefit_original!X38)</f>
        <v>43.545594999999999</v>
      </c>
      <c r="Y38" s="4">
        <f>IF(ISNUMBER(benefit_original!Y38),benefit_original!Y38/100000000,benefit_original!Y38)</f>
        <v>46.558560999999997</v>
      </c>
      <c r="Z38" s="4">
        <f>IF(ISNUMBER(benefit_original!Z38),benefit_original!Z38/100000000,benefit_original!Z38)</f>
        <v>34.634754000000001</v>
      </c>
      <c r="AA38" s="4">
        <f>IF(ISNUMBER(benefit_original!AA38),benefit_original!AA38/100000000,benefit_original!AA38)</f>
        <v>35.304676000000001</v>
      </c>
      <c r="AB38" s="4">
        <f>IF(ISNUMBER(benefit_original!AB38),benefit_original!AB38/100000000,benefit_original!AB38)</f>
        <v>36.993862999999997</v>
      </c>
      <c r="AC38" s="4">
        <f>IF(ISNUMBER(benefit_original!AC38),benefit_original!AC38/100000000,benefit_original!AC38)</f>
        <v>40.664453000000002</v>
      </c>
      <c r="AD38" s="4">
        <f>IF(ISNUMBER(benefit_original!AD38),benefit_original!AD38/100000000,benefit_original!AD38)</f>
        <v>38.222498000000002</v>
      </c>
      <c r="AE38" s="4">
        <f>IF(ISNUMBER(benefit_original!AE38),benefit_original!AE38/100000000,benefit_original!AE38)</f>
        <v>36.548465999999998</v>
      </c>
      <c r="AF38" s="4">
        <f>IF(ISNUMBER(benefit_original!AF38),benefit_original!AF38/100000000,benefit_original!AF38)</f>
        <v>35.930981000000003</v>
      </c>
      <c r="AG38" s="4">
        <f>IF(ISNUMBER(benefit_original!AG38),benefit_original!AG38/100000000,benefit_original!AG38)</f>
        <v>28.880203999999999</v>
      </c>
      <c r="AH38" s="4">
        <f>IF(ISNUMBER(benefit_original!AH38),benefit_original!AH38/100000000,benefit_original!AH38)</f>
        <v>34.243375999999998</v>
      </c>
      <c r="AI38" s="4">
        <f>IF(ISNUMBER(benefit_original!AI38),benefit_original!AI38/100000000,benefit_original!AI38)</f>
        <v>40.265058000000003</v>
      </c>
      <c r="AJ38" s="4">
        <f>IF(ISNUMBER(benefit_original!AJ38),benefit_original!AJ38/100000000,benefit_original!AJ38)</f>
        <v>29.692157999999999</v>
      </c>
      <c r="AK38" s="4">
        <f>IF(ISNUMBER(benefit_original!AK38),benefit_original!AK38/100000000,benefit_original!AK38)</f>
        <v>21.940612999999999</v>
      </c>
      <c r="AL38" s="4">
        <f>IF(ISNUMBER(benefit_original!AL38),benefit_original!AL38/100000000,benefit_original!AL38)</f>
        <v>16.619074999999999</v>
      </c>
      <c r="AM38" s="4">
        <f>IF(ISNUMBER(benefit_original!AM38),benefit_original!AM38/100000000,benefit_original!AM38)</f>
        <v>30.231822000000001</v>
      </c>
      <c r="AN38" s="4">
        <f>IF(ISNUMBER(benefit_original!AN38),benefit_original!AN38/100000000,benefit_original!AN38)</f>
        <v>18.839950000000002</v>
      </c>
      <c r="AO38" s="4">
        <f>IF(ISNUMBER(benefit_original!AO38),benefit_original!AO38/100000000,benefit_original!AO38)</f>
        <v>8.7702019999999994</v>
      </c>
      <c r="AP38" s="4">
        <f>IF(ISNUMBER(benefit_original!AP38),benefit_original!AP38/100000000,benefit_original!AP38)</f>
        <v>10.744166999999999</v>
      </c>
      <c r="AQ38" s="4">
        <f>IF(ISNUMBER(benefit_original!AQ38),benefit_original!AQ38/100000000,benefit_original!AQ38)</f>
        <v>18.340947</v>
      </c>
      <c r="AR38" s="3">
        <v>1265662600</v>
      </c>
      <c r="AS38" s="3" t="s">
        <v>133</v>
      </c>
      <c r="AT38" s="3" t="s">
        <v>133</v>
      </c>
      <c r="AU38" s="3" t="s">
        <v>133</v>
      </c>
      <c r="AV38" s="3">
        <v>1217009500</v>
      </c>
      <c r="AW38" s="3" t="s">
        <v>133</v>
      </c>
      <c r="AX38" s="3" t="s">
        <v>133</v>
      </c>
      <c r="AY38" s="3" t="s">
        <v>133</v>
      </c>
      <c r="AZ38" s="3" t="s">
        <v>133</v>
      </c>
      <c r="BA38" s="3" t="s">
        <v>133</v>
      </c>
      <c r="BB38" s="3" t="s">
        <v>133</v>
      </c>
      <c r="BC38" s="3" t="s">
        <v>133</v>
      </c>
      <c r="BD38" s="3" t="s">
        <v>133</v>
      </c>
      <c r="BE38" s="3" t="s">
        <v>133</v>
      </c>
      <c r="BF38" s="3" t="s">
        <v>133</v>
      </c>
      <c r="BG38" s="3" t="s">
        <v>133</v>
      </c>
      <c r="BH38" s="3" t="s">
        <v>133</v>
      </c>
      <c r="BI38" s="3" t="s">
        <v>133</v>
      </c>
      <c r="BJ38" s="3" t="s">
        <v>133</v>
      </c>
      <c r="BK38" s="3" t="s">
        <v>133</v>
      </c>
      <c r="BL38" s="3" t="s">
        <v>133</v>
      </c>
      <c r="BM38" s="3" t="s">
        <v>133</v>
      </c>
      <c r="BN38" s="3" t="s">
        <v>133</v>
      </c>
      <c r="BO38" s="3" t="s">
        <v>133</v>
      </c>
      <c r="BP38" s="3" t="s">
        <v>133</v>
      </c>
      <c r="BQ38" s="3" t="s">
        <v>133</v>
      </c>
      <c r="BR38" s="3" t="s">
        <v>133</v>
      </c>
      <c r="BS38" s="3" t="s">
        <v>133</v>
      </c>
      <c r="BT38" s="3" t="s">
        <v>133</v>
      </c>
      <c r="BU38" s="3" t="s">
        <v>133</v>
      </c>
      <c r="BV38" s="3" t="s">
        <v>133</v>
      </c>
      <c r="BW38" s="3" t="s">
        <v>133</v>
      </c>
      <c r="BX38" s="3" t="s">
        <v>133</v>
      </c>
      <c r="BY38" s="3" t="s">
        <v>133</v>
      </c>
    </row>
    <row r="39" spans="1:77" x14ac:dyDescent="0.25">
      <c r="A39" s="3" t="s">
        <v>163</v>
      </c>
      <c r="B39" s="4">
        <f>IF(ISNUMBER(benefit_original!B39),benefit_original!B39/100000000,benefit_original!B39)</f>
        <v>6.9767799999999998</v>
      </c>
      <c r="C39" s="4">
        <f>IF(ISNUMBER(benefit_original!C39),benefit_original!C39/100000000,benefit_original!C39)</f>
        <v>5.5680810000000003</v>
      </c>
      <c r="D39" s="4">
        <f>IF(ISNUMBER(benefit_original!D39),benefit_original!D39/100000000,benefit_original!D39)</f>
        <v>7.6908329999999996</v>
      </c>
      <c r="E39" s="4">
        <f>IF(ISNUMBER(benefit_original!E39),benefit_original!E39/100000000,benefit_original!E39)</f>
        <v>8.0608179999999994</v>
      </c>
      <c r="F39" s="4">
        <f>IF(ISNUMBER(benefit_original!F39),benefit_original!F39/100000000,benefit_original!F39)</f>
        <v>7.1194600000000001</v>
      </c>
      <c r="G39" s="4">
        <f>IF(ISNUMBER(benefit_original!G39),benefit_original!G39/100000000,benefit_original!G39)</f>
        <v>5.5121219999999997</v>
      </c>
      <c r="H39" s="4">
        <f>IF(ISNUMBER(benefit_original!H39),benefit_original!H39/100000000,benefit_original!H39)</f>
        <v>6.9428979999999996</v>
      </c>
      <c r="I39" s="4">
        <f>IF(ISNUMBER(benefit_original!I39),benefit_original!I39/100000000,benefit_original!I39)</f>
        <v>7.8819030000000003</v>
      </c>
      <c r="J39" s="4">
        <f>IF(ISNUMBER(benefit_original!J39),benefit_original!J39/100000000,benefit_original!J39)</f>
        <v>6.8063560000000001</v>
      </c>
      <c r="K39" s="4">
        <f>IF(ISNUMBER(benefit_original!K39),benefit_original!K39/100000000,benefit_original!K39)</f>
        <v>5.3353760000000001</v>
      </c>
      <c r="L39" s="4">
        <f>IF(ISNUMBER(benefit_original!L39),benefit_original!L39/100000000,benefit_original!L39)</f>
        <v>6.2362909999999996</v>
      </c>
      <c r="M39" s="4">
        <f>IF(ISNUMBER(benefit_original!M39),benefit_original!M39/100000000,benefit_original!M39)</f>
        <v>5.4944090000000001</v>
      </c>
      <c r="N39" s="4">
        <f>IF(ISNUMBER(benefit_original!N39),benefit_original!N39/100000000,benefit_original!N39)</f>
        <v>5.8404429999999996</v>
      </c>
      <c r="O39" s="4">
        <f>IF(ISNUMBER(benefit_original!O39),benefit_original!O39/100000000,benefit_original!O39)</f>
        <v>3.7186360000000001</v>
      </c>
      <c r="P39" s="4">
        <f>IF(ISNUMBER(benefit_original!P39),benefit_original!P39/100000000,benefit_original!P39)</f>
        <v>4.2171409999999998</v>
      </c>
      <c r="Q39" s="4">
        <f>IF(ISNUMBER(benefit_original!Q39),benefit_original!Q39/100000000,benefit_original!Q39)</f>
        <v>3.476664</v>
      </c>
      <c r="R39" s="4">
        <f>IF(ISNUMBER(benefit_original!R39),benefit_original!R39/100000000,benefit_original!R39)</f>
        <v>2.9004819999999998</v>
      </c>
      <c r="S39" s="4">
        <f>IF(ISNUMBER(benefit_original!S39),benefit_original!S39/100000000,benefit_original!S39)</f>
        <v>2.5175879999999999</v>
      </c>
      <c r="T39" s="4">
        <f>IF(ISNUMBER(benefit_original!T39),benefit_original!T39/100000000,benefit_original!T39)</f>
        <v>3.2280709999999999</v>
      </c>
      <c r="U39" s="4">
        <f>IF(ISNUMBER(benefit_original!U39),benefit_original!U39/100000000,benefit_original!U39)</f>
        <v>2.4975480000000001</v>
      </c>
      <c r="V39" s="4">
        <f>IF(ISNUMBER(benefit_original!V39),benefit_original!V39/100000000,benefit_original!V39)</f>
        <v>2.2586339999999998</v>
      </c>
      <c r="W39" s="4">
        <f>IF(ISNUMBER(benefit_original!W39),benefit_original!W39/100000000,benefit_original!W39)</f>
        <v>2.128695</v>
      </c>
      <c r="X39" s="4">
        <f>IF(ISNUMBER(benefit_original!X39),benefit_original!X39/100000000,benefit_original!X39)</f>
        <v>2.6341869999999998</v>
      </c>
      <c r="Y39" s="4">
        <f>IF(ISNUMBER(benefit_original!Y39),benefit_original!Y39/100000000,benefit_original!Y39)</f>
        <v>2.3720669999999999</v>
      </c>
      <c r="Z39" s="4">
        <f>IF(ISNUMBER(benefit_original!Z39),benefit_original!Z39/100000000,benefit_original!Z39)</f>
        <v>2.476763</v>
      </c>
      <c r="AA39" s="4">
        <f>IF(ISNUMBER(benefit_original!AA39),benefit_original!AA39/100000000,benefit_original!AA39)</f>
        <v>1.8113699999999999</v>
      </c>
      <c r="AB39" s="4">
        <f>IF(ISNUMBER(benefit_original!AB39),benefit_original!AB39/100000000,benefit_original!AB39)</f>
        <v>2.5354719999999999</v>
      </c>
      <c r="AC39" s="4">
        <f>IF(ISNUMBER(benefit_original!AC39),benefit_original!AC39/100000000,benefit_original!AC39)</f>
        <v>2.3627929999999999</v>
      </c>
      <c r="AD39" s="4">
        <f>IF(ISNUMBER(benefit_original!AD39),benefit_original!AD39/100000000,benefit_original!AD39)</f>
        <v>2.1901069999999998</v>
      </c>
      <c r="AE39" s="4">
        <f>IF(ISNUMBER(benefit_original!AE39),benefit_original!AE39/100000000,benefit_original!AE39)</f>
        <v>1.9270499999999999</v>
      </c>
      <c r="AF39" s="4">
        <f>IF(ISNUMBER(benefit_original!AF39),benefit_original!AF39/100000000,benefit_original!AF39)</f>
        <v>1.802651</v>
      </c>
      <c r="AG39" s="4">
        <f>IF(ISNUMBER(benefit_original!AG39),benefit_original!AG39/100000000,benefit_original!AG39)</f>
        <v>1.824505</v>
      </c>
      <c r="AH39" s="4">
        <f>IF(ISNUMBER(benefit_original!AH39),benefit_original!AH39/100000000,benefit_original!AH39)</f>
        <v>1.6470260000000001</v>
      </c>
      <c r="AI39" s="4">
        <f>IF(ISNUMBER(benefit_original!AI39),benefit_original!AI39/100000000,benefit_original!AI39)</f>
        <v>1.9294290000000001</v>
      </c>
      <c r="AJ39" s="4">
        <f>IF(ISNUMBER(benefit_original!AJ39),benefit_original!AJ39/100000000,benefit_original!AJ39)</f>
        <v>1.6027499999999999</v>
      </c>
      <c r="AK39" s="4">
        <f>IF(ISNUMBER(benefit_original!AK39),benefit_original!AK39/100000000,benefit_original!AK39)</f>
        <v>1.255482</v>
      </c>
      <c r="AL39" s="4">
        <f>IF(ISNUMBER(benefit_original!AL39),benefit_original!AL39/100000000,benefit_original!AL39)</f>
        <v>1.0250060000000001</v>
      </c>
      <c r="AM39" s="4">
        <f>IF(ISNUMBER(benefit_original!AM39),benefit_original!AM39/100000000,benefit_original!AM39)</f>
        <v>1.518327</v>
      </c>
      <c r="AN39" s="4">
        <f>IF(ISNUMBER(benefit_original!AN39),benefit_original!AN39/100000000,benefit_original!AN39)</f>
        <v>1.072964</v>
      </c>
      <c r="AO39" s="4">
        <f>IF(ISNUMBER(benefit_original!AO39),benefit_original!AO39/100000000,benefit_original!AO39)</f>
        <v>0.51636800000000005</v>
      </c>
      <c r="AP39" s="4">
        <f>IF(ISNUMBER(benefit_original!AP39),benefit_original!AP39/100000000,benefit_original!AP39)</f>
        <v>0.62125200000000003</v>
      </c>
      <c r="AQ39" s="4">
        <f>IF(ISNUMBER(benefit_original!AQ39),benefit_original!AQ39/100000000,benefit_original!AQ39)</f>
        <v>0.96085100000000001</v>
      </c>
      <c r="AR39" s="3">
        <v>78720200</v>
      </c>
      <c r="AS39" s="3" t="s">
        <v>133</v>
      </c>
      <c r="AT39" s="3" t="s">
        <v>133</v>
      </c>
      <c r="AU39" s="3" t="s">
        <v>133</v>
      </c>
      <c r="AV39" s="3">
        <v>61831100</v>
      </c>
      <c r="AW39" s="3" t="s">
        <v>133</v>
      </c>
      <c r="AX39" s="3" t="s">
        <v>133</v>
      </c>
      <c r="AY39" s="3" t="s">
        <v>133</v>
      </c>
      <c r="AZ39" s="3" t="s">
        <v>133</v>
      </c>
      <c r="BA39" s="3" t="s">
        <v>133</v>
      </c>
      <c r="BB39" s="3" t="s">
        <v>133</v>
      </c>
      <c r="BC39" s="3" t="s">
        <v>133</v>
      </c>
      <c r="BD39" s="3" t="s">
        <v>133</v>
      </c>
      <c r="BE39" s="3" t="s">
        <v>133</v>
      </c>
      <c r="BF39" s="3" t="s">
        <v>133</v>
      </c>
      <c r="BG39" s="3" t="s">
        <v>133</v>
      </c>
      <c r="BH39" s="3" t="s">
        <v>133</v>
      </c>
      <c r="BI39" s="3" t="s">
        <v>133</v>
      </c>
      <c r="BJ39" s="3" t="s">
        <v>133</v>
      </c>
      <c r="BK39" s="3" t="s">
        <v>133</v>
      </c>
      <c r="BL39" s="3" t="s">
        <v>133</v>
      </c>
      <c r="BM39" s="3" t="s">
        <v>133</v>
      </c>
      <c r="BN39" s="3" t="s">
        <v>133</v>
      </c>
      <c r="BO39" s="3" t="s">
        <v>133</v>
      </c>
      <c r="BP39" s="3" t="s">
        <v>133</v>
      </c>
      <c r="BQ39" s="3" t="s">
        <v>133</v>
      </c>
      <c r="BR39" s="3" t="s">
        <v>133</v>
      </c>
      <c r="BS39" s="3" t="s">
        <v>133</v>
      </c>
      <c r="BT39" s="3" t="s">
        <v>133</v>
      </c>
      <c r="BU39" s="3" t="s">
        <v>133</v>
      </c>
      <c r="BV39" s="3" t="s">
        <v>133</v>
      </c>
      <c r="BW39" s="3" t="s">
        <v>133</v>
      </c>
      <c r="BX39" s="3" t="s">
        <v>133</v>
      </c>
      <c r="BY39" s="3" t="s">
        <v>133</v>
      </c>
    </row>
    <row r="40" spans="1:77" x14ac:dyDescent="0.25">
      <c r="B40" s="4">
        <f>IF(ISNUMBER(benefit_original!B40),benefit_original!B40/100000000,benefit_original!B40)</f>
        <v>0</v>
      </c>
      <c r="C40" s="4">
        <f>IF(ISNUMBER(benefit_original!C40),benefit_original!C40/100000000,benefit_original!C40)</f>
        <v>0</v>
      </c>
      <c r="D40" s="4">
        <f>IF(ISNUMBER(benefit_original!D40),benefit_original!D40/100000000,benefit_original!D40)</f>
        <v>0</v>
      </c>
      <c r="E40" s="4">
        <f>IF(ISNUMBER(benefit_original!E40),benefit_original!E40/100000000,benefit_original!E40)</f>
        <v>0</v>
      </c>
      <c r="F40" s="4">
        <f>IF(ISNUMBER(benefit_original!F40),benefit_original!F40/100000000,benefit_original!F40)</f>
        <v>0</v>
      </c>
      <c r="G40" s="4">
        <f>IF(ISNUMBER(benefit_original!G40),benefit_original!G40/100000000,benefit_original!G40)</f>
        <v>0</v>
      </c>
      <c r="H40" s="4">
        <f>IF(ISNUMBER(benefit_original!H40),benefit_original!H40/100000000,benefit_original!H40)</f>
        <v>0</v>
      </c>
      <c r="I40" s="4">
        <f>IF(ISNUMBER(benefit_original!I40),benefit_original!I40/100000000,benefit_original!I40)</f>
        <v>0</v>
      </c>
      <c r="J40" s="4">
        <f>IF(ISNUMBER(benefit_original!J40),benefit_original!J40/100000000,benefit_original!J40)</f>
        <v>0</v>
      </c>
      <c r="K40" s="4">
        <f>IF(ISNUMBER(benefit_original!K40),benefit_original!K40/100000000,benefit_original!K40)</f>
        <v>0</v>
      </c>
      <c r="L40" s="4">
        <f>IF(ISNUMBER(benefit_original!L40),benefit_original!L40/100000000,benefit_original!L40)</f>
        <v>0</v>
      </c>
      <c r="M40" s="4">
        <f>IF(ISNUMBER(benefit_original!M40),benefit_original!M40/100000000,benefit_original!M40)</f>
        <v>0</v>
      </c>
      <c r="N40" s="4">
        <f>IF(ISNUMBER(benefit_original!N40),benefit_original!N40/100000000,benefit_original!N40)</f>
        <v>0</v>
      </c>
      <c r="O40" s="4">
        <f>IF(ISNUMBER(benefit_original!O40),benefit_original!O40/100000000,benefit_original!O40)</f>
        <v>0</v>
      </c>
      <c r="P40" s="4">
        <f>IF(ISNUMBER(benefit_original!P40),benefit_original!P40/100000000,benefit_original!P40)</f>
        <v>0</v>
      </c>
      <c r="Q40" s="4">
        <f>IF(ISNUMBER(benefit_original!Q40),benefit_original!Q40/100000000,benefit_original!Q40)</f>
        <v>0</v>
      </c>
      <c r="R40" s="4">
        <f>IF(ISNUMBER(benefit_original!R40),benefit_original!R40/100000000,benefit_original!R40)</f>
        <v>0</v>
      </c>
      <c r="S40" s="4">
        <f>IF(ISNUMBER(benefit_original!S40),benefit_original!S40/100000000,benefit_original!S40)</f>
        <v>0</v>
      </c>
      <c r="T40" s="4">
        <f>IF(ISNUMBER(benefit_original!T40),benefit_original!T40/100000000,benefit_original!T40)</f>
        <v>0</v>
      </c>
      <c r="U40" s="4">
        <f>IF(ISNUMBER(benefit_original!U40),benefit_original!U40/100000000,benefit_original!U40)</f>
        <v>0</v>
      </c>
      <c r="V40" s="4">
        <f>IF(ISNUMBER(benefit_original!V40),benefit_original!V40/100000000,benefit_original!V40)</f>
        <v>0</v>
      </c>
      <c r="W40" s="4">
        <f>IF(ISNUMBER(benefit_original!W40),benefit_original!W40/100000000,benefit_original!W40)</f>
        <v>0</v>
      </c>
      <c r="X40" s="4">
        <f>IF(ISNUMBER(benefit_original!X40),benefit_original!X40/100000000,benefit_original!X40)</f>
        <v>0</v>
      </c>
      <c r="Y40" s="4">
        <f>IF(ISNUMBER(benefit_original!Y40),benefit_original!Y40/100000000,benefit_original!Y40)</f>
        <v>0</v>
      </c>
      <c r="Z40" s="4">
        <f>IF(ISNUMBER(benefit_original!Z40),benefit_original!Z40/100000000,benefit_original!Z40)</f>
        <v>0</v>
      </c>
      <c r="AA40" s="4">
        <f>IF(ISNUMBER(benefit_original!AA40),benefit_original!AA40/100000000,benefit_original!AA40)</f>
        <v>0</v>
      </c>
      <c r="AB40" s="4">
        <f>IF(ISNUMBER(benefit_original!AB40),benefit_original!AB40/100000000,benefit_original!AB40)</f>
        <v>0</v>
      </c>
      <c r="AC40" s="4">
        <f>IF(ISNUMBER(benefit_original!AC40),benefit_original!AC40/100000000,benefit_original!AC40)</f>
        <v>0</v>
      </c>
      <c r="AD40" s="4">
        <f>IF(ISNUMBER(benefit_original!AD40),benefit_original!AD40/100000000,benefit_original!AD40)</f>
        <v>0</v>
      </c>
      <c r="AE40" s="4">
        <f>IF(ISNUMBER(benefit_original!AE40),benefit_original!AE40/100000000,benefit_original!AE40)</f>
        <v>0</v>
      </c>
      <c r="AF40" s="4">
        <f>IF(ISNUMBER(benefit_original!AF40),benefit_original!AF40/100000000,benefit_original!AF40)</f>
        <v>0</v>
      </c>
      <c r="AG40" s="4">
        <f>IF(ISNUMBER(benefit_original!AG40),benefit_original!AG40/100000000,benefit_original!AG40)</f>
        <v>0</v>
      </c>
      <c r="AH40" s="4">
        <f>IF(ISNUMBER(benefit_original!AH40),benefit_original!AH40/100000000,benefit_original!AH40)</f>
        <v>0</v>
      </c>
      <c r="AI40" s="4">
        <f>IF(ISNUMBER(benefit_original!AI40),benefit_original!AI40/100000000,benefit_original!AI40)</f>
        <v>0</v>
      </c>
      <c r="AJ40" s="4">
        <f>IF(ISNUMBER(benefit_original!AJ40),benefit_original!AJ40/100000000,benefit_original!AJ40)</f>
        <v>0</v>
      </c>
      <c r="AK40" s="4">
        <f>IF(ISNUMBER(benefit_original!AK40),benefit_original!AK40/100000000,benefit_original!AK40)</f>
        <v>0</v>
      </c>
      <c r="AL40" s="4">
        <f>IF(ISNUMBER(benefit_original!AL40),benefit_original!AL40/100000000,benefit_original!AL40)</f>
        <v>0</v>
      </c>
      <c r="AM40" s="4">
        <f>IF(ISNUMBER(benefit_original!AM40),benefit_original!AM40/100000000,benefit_original!AM40)</f>
        <v>0</v>
      </c>
      <c r="AN40" s="4">
        <f>IF(ISNUMBER(benefit_original!AN40),benefit_original!AN40/100000000,benefit_original!AN40)</f>
        <v>0</v>
      </c>
      <c r="AO40" s="4">
        <f>IF(ISNUMBER(benefit_original!AO40),benefit_original!AO40/100000000,benefit_original!AO40)</f>
        <v>0</v>
      </c>
      <c r="AP40" s="4">
        <f>IF(ISNUMBER(benefit_original!AP40),benefit_original!AP40/100000000,benefit_original!AP40)</f>
        <v>0</v>
      </c>
      <c r="AQ40" s="4">
        <f>IF(ISNUMBER(benefit_original!AQ40),benefit_original!AQ40/100000000,benefit_original!AQ40)</f>
        <v>0</v>
      </c>
    </row>
    <row r="41" spans="1:77" x14ac:dyDescent="0.25">
      <c r="B41" s="4">
        <f>IF(ISNUMBER(benefit_original!B41),benefit_original!B41/100000000,benefit_original!B41)</f>
        <v>0</v>
      </c>
      <c r="C41" s="4">
        <f>IF(ISNUMBER(benefit_original!C41),benefit_original!C41/100000000,benefit_original!C41)</f>
        <v>0</v>
      </c>
      <c r="D41" s="4">
        <f>IF(ISNUMBER(benefit_original!D41),benefit_original!D41/100000000,benefit_original!D41)</f>
        <v>0</v>
      </c>
      <c r="E41" s="4">
        <f>IF(ISNUMBER(benefit_original!E41),benefit_original!E41/100000000,benefit_original!E41)</f>
        <v>0</v>
      </c>
      <c r="F41" s="4">
        <f>IF(ISNUMBER(benefit_original!F41),benefit_original!F41/100000000,benefit_original!F41)</f>
        <v>0</v>
      </c>
      <c r="G41" s="4">
        <f>IF(ISNUMBER(benefit_original!G41),benefit_original!G41/100000000,benefit_original!G41)</f>
        <v>0</v>
      </c>
      <c r="H41" s="4">
        <f>IF(ISNUMBER(benefit_original!H41),benefit_original!H41/100000000,benefit_original!H41)</f>
        <v>0</v>
      </c>
      <c r="I41" s="4">
        <f>IF(ISNUMBER(benefit_original!I41),benefit_original!I41/100000000,benefit_original!I41)</f>
        <v>0</v>
      </c>
      <c r="J41" s="4">
        <f>IF(ISNUMBER(benefit_original!J41),benefit_original!J41/100000000,benefit_original!J41)</f>
        <v>0</v>
      </c>
      <c r="K41" s="4">
        <f>IF(ISNUMBER(benefit_original!K41),benefit_original!K41/100000000,benefit_original!K41)</f>
        <v>0</v>
      </c>
      <c r="L41" s="4">
        <f>IF(ISNUMBER(benefit_original!L41),benefit_original!L41/100000000,benefit_original!L41)</f>
        <v>0</v>
      </c>
      <c r="M41" s="4">
        <f>IF(ISNUMBER(benefit_original!M41),benefit_original!M41/100000000,benefit_original!M41)</f>
        <v>0</v>
      </c>
      <c r="N41" s="4">
        <f>IF(ISNUMBER(benefit_original!N41),benefit_original!N41/100000000,benefit_original!N41)</f>
        <v>0</v>
      </c>
      <c r="O41" s="4">
        <f>IF(ISNUMBER(benefit_original!O41),benefit_original!O41/100000000,benefit_original!O41)</f>
        <v>0</v>
      </c>
      <c r="P41" s="4">
        <f>IF(ISNUMBER(benefit_original!P41),benefit_original!P41/100000000,benefit_original!P41)</f>
        <v>0</v>
      </c>
      <c r="Q41" s="4">
        <f>IF(ISNUMBER(benefit_original!Q41),benefit_original!Q41/100000000,benefit_original!Q41)</f>
        <v>0</v>
      </c>
      <c r="R41" s="4">
        <f>IF(ISNUMBER(benefit_original!R41),benefit_original!R41/100000000,benefit_original!R41)</f>
        <v>0</v>
      </c>
      <c r="S41" s="4">
        <f>IF(ISNUMBER(benefit_original!S41),benefit_original!S41/100000000,benefit_original!S41)</f>
        <v>0</v>
      </c>
      <c r="T41" s="4">
        <f>IF(ISNUMBER(benefit_original!T41),benefit_original!T41/100000000,benefit_original!T41)</f>
        <v>0</v>
      </c>
      <c r="U41" s="4">
        <f>IF(ISNUMBER(benefit_original!U41),benefit_original!U41/100000000,benefit_original!U41)</f>
        <v>0</v>
      </c>
      <c r="V41" s="4">
        <f>IF(ISNUMBER(benefit_original!V41),benefit_original!V41/100000000,benefit_original!V41)</f>
        <v>0</v>
      </c>
      <c r="W41" s="4">
        <f>IF(ISNUMBER(benefit_original!W41),benefit_original!W41/100000000,benefit_original!W41)</f>
        <v>0</v>
      </c>
      <c r="X41" s="4">
        <f>IF(ISNUMBER(benefit_original!X41),benefit_original!X41/100000000,benefit_original!X41)</f>
        <v>0</v>
      </c>
      <c r="Y41" s="4">
        <f>IF(ISNUMBER(benefit_original!Y41),benefit_original!Y41/100000000,benefit_original!Y41)</f>
        <v>0</v>
      </c>
      <c r="Z41" s="4">
        <f>IF(ISNUMBER(benefit_original!Z41),benefit_original!Z41/100000000,benefit_original!Z41)</f>
        <v>0</v>
      </c>
      <c r="AA41" s="4">
        <f>IF(ISNUMBER(benefit_original!AA41),benefit_original!AA41/100000000,benefit_original!AA41)</f>
        <v>0</v>
      </c>
      <c r="AB41" s="4">
        <f>IF(ISNUMBER(benefit_original!AB41),benefit_original!AB41/100000000,benefit_original!AB41)</f>
        <v>0</v>
      </c>
      <c r="AC41" s="4">
        <f>IF(ISNUMBER(benefit_original!AC41),benefit_original!AC41/100000000,benefit_original!AC41)</f>
        <v>0</v>
      </c>
      <c r="AD41" s="4">
        <f>IF(ISNUMBER(benefit_original!AD41),benefit_original!AD41/100000000,benefit_original!AD41)</f>
        <v>0</v>
      </c>
      <c r="AE41" s="4">
        <f>IF(ISNUMBER(benefit_original!AE41),benefit_original!AE41/100000000,benefit_original!AE41)</f>
        <v>0</v>
      </c>
      <c r="AF41" s="4">
        <f>IF(ISNUMBER(benefit_original!AF41),benefit_original!AF41/100000000,benefit_original!AF41)</f>
        <v>0</v>
      </c>
      <c r="AG41" s="4">
        <f>IF(ISNUMBER(benefit_original!AG41),benefit_original!AG41/100000000,benefit_original!AG41)</f>
        <v>0</v>
      </c>
      <c r="AH41" s="4">
        <f>IF(ISNUMBER(benefit_original!AH41),benefit_original!AH41/100000000,benefit_original!AH41)</f>
        <v>0</v>
      </c>
      <c r="AI41" s="4">
        <f>IF(ISNUMBER(benefit_original!AI41),benefit_original!AI41/100000000,benefit_original!AI41)</f>
        <v>0</v>
      </c>
      <c r="AJ41" s="4">
        <f>IF(ISNUMBER(benefit_original!AJ41),benefit_original!AJ41/100000000,benefit_original!AJ41)</f>
        <v>0</v>
      </c>
      <c r="AK41" s="4">
        <f>IF(ISNUMBER(benefit_original!AK41),benefit_original!AK41/100000000,benefit_original!AK41)</f>
        <v>0</v>
      </c>
      <c r="AL41" s="4">
        <f>IF(ISNUMBER(benefit_original!AL41),benefit_original!AL41/100000000,benefit_original!AL41)</f>
        <v>0</v>
      </c>
      <c r="AM41" s="4">
        <f>IF(ISNUMBER(benefit_original!AM41),benefit_original!AM41/100000000,benefit_original!AM41)</f>
        <v>0</v>
      </c>
      <c r="AN41" s="4">
        <f>IF(ISNUMBER(benefit_original!AN41),benefit_original!AN41/100000000,benefit_original!AN41)</f>
        <v>0</v>
      </c>
      <c r="AO41" s="4">
        <f>IF(ISNUMBER(benefit_original!AO41),benefit_original!AO41/100000000,benefit_original!AO41)</f>
        <v>0</v>
      </c>
      <c r="AP41" s="4">
        <f>IF(ISNUMBER(benefit_original!AP41),benefit_original!AP41/100000000,benefit_original!AP41)</f>
        <v>0</v>
      </c>
      <c r="AQ41" s="4">
        <f>IF(ISNUMBER(benefit_original!AQ41),benefit_original!AQ41/100000000,benefit_original!AQ41)</f>
        <v>0</v>
      </c>
    </row>
    <row r="42" spans="1:77" x14ac:dyDescent="0.25">
      <c r="B42" s="4">
        <f>IF(ISNUMBER(benefit_original!B42),benefit_original!B42/100000000,benefit_original!B42)</f>
        <v>0</v>
      </c>
      <c r="C42" s="4">
        <f>IF(ISNUMBER(benefit_original!C42),benefit_original!C42/100000000,benefit_original!C42)</f>
        <v>0</v>
      </c>
      <c r="D42" s="4">
        <f>IF(ISNUMBER(benefit_original!D42),benefit_original!D42/100000000,benefit_original!D42)</f>
        <v>0</v>
      </c>
      <c r="E42" s="4">
        <f>IF(ISNUMBER(benefit_original!E42),benefit_original!E42/100000000,benefit_original!E42)</f>
        <v>0</v>
      </c>
      <c r="F42" s="4">
        <f>IF(ISNUMBER(benefit_original!F42),benefit_original!F42/100000000,benefit_original!F42)</f>
        <v>0</v>
      </c>
      <c r="G42" s="4">
        <f>IF(ISNUMBER(benefit_original!G42),benefit_original!G42/100000000,benefit_original!G42)</f>
        <v>0</v>
      </c>
      <c r="H42" s="4">
        <f>IF(ISNUMBER(benefit_original!H42),benefit_original!H42/100000000,benefit_original!H42)</f>
        <v>0</v>
      </c>
      <c r="I42" s="4">
        <f>IF(ISNUMBER(benefit_original!I42),benefit_original!I42/100000000,benefit_original!I42)</f>
        <v>0</v>
      </c>
      <c r="J42" s="4">
        <f>IF(ISNUMBER(benefit_original!J42),benefit_original!J42/100000000,benefit_original!J42)</f>
        <v>0</v>
      </c>
      <c r="K42" s="4">
        <f>IF(ISNUMBER(benefit_original!K42),benefit_original!K42/100000000,benefit_original!K42)</f>
        <v>0</v>
      </c>
      <c r="L42" s="4">
        <f>IF(ISNUMBER(benefit_original!L42),benefit_original!L42/100000000,benefit_original!L42)</f>
        <v>0</v>
      </c>
      <c r="M42" s="4">
        <f>IF(ISNUMBER(benefit_original!M42),benefit_original!M42/100000000,benefit_original!M42)</f>
        <v>0</v>
      </c>
      <c r="N42" s="4">
        <f>IF(ISNUMBER(benefit_original!N42),benefit_original!N42/100000000,benefit_original!N42)</f>
        <v>0</v>
      </c>
      <c r="O42" s="4">
        <f>IF(ISNUMBER(benefit_original!O42),benefit_original!O42/100000000,benefit_original!O42)</f>
        <v>0</v>
      </c>
      <c r="P42" s="4">
        <f>IF(ISNUMBER(benefit_original!P42),benefit_original!P42/100000000,benefit_original!P42)</f>
        <v>0</v>
      </c>
      <c r="Q42" s="4">
        <f>IF(ISNUMBER(benefit_original!Q42),benefit_original!Q42/100000000,benefit_original!Q42)</f>
        <v>0</v>
      </c>
      <c r="R42" s="4">
        <f>IF(ISNUMBER(benefit_original!R42),benefit_original!R42/100000000,benefit_original!R42)</f>
        <v>0</v>
      </c>
      <c r="S42" s="4">
        <f>IF(ISNUMBER(benefit_original!S42),benefit_original!S42/100000000,benefit_original!S42)</f>
        <v>0</v>
      </c>
      <c r="T42" s="4">
        <f>IF(ISNUMBER(benefit_original!T42),benefit_original!T42/100000000,benefit_original!T42)</f>
        <v>0</v>
      </c>
      <c r="U42" s="4">
        <f>IF(ISNUMBER(benefit_original!U42),benefit_original!U42/100000000,benefit_original!U42)</f>
        <v>0</v>
      </c>
      <c r="V42" s="4">
        <f>IF(ISNUMBER(benefit_original!V42),benefit_original!V42/100000000,benefit_original!V42)</f>
        <v>0</v>
      </c>
      <c r="W42" s="4">
        <f>IF(ISNUMBER(benefit_original!W42),benefit_original!W42/100000000,benefit_original!W42)</f>
        <v>0</v>
      </c>
      <c r="X42" s="4">
        <f>IF(ISNUMBER(benefit_original!X42),benefit_original!X42/100000000,benefit_original!X42)</f>
        <v>0</v>
      </c>
      <c r="Y42" s="4">
        <f>IF(ISNUMBER(benefit_original!Y42),benefit_original!Y42/100000000,benefit_original!Y42)</f>
        <v>0</v>
      </c>
      <c r="Z42" s="4">
        <f>IF(ISNUMBER(benefit_original!Z42),benefit_original!Z42/100000000,benefit_original!Z42)</f>
        <v>0</v>
      </c>
      <c r="AA42" s="4">
        <f>IF(ISNUMBER(benefit_original!AA42),benefit_original!AA42/100000000,benefit_original!AA42)</f>
        <v>0</v>
      </c>
      <c r="AB42" s="4">
        <f>IF(ISNUMBER(benefit_original!AB42),benefit_original!AB42/100000000,benefit_original!AB42)</f>
        <v>0</v>
      </c>
      <c r="AC42" s="4">
        <f>IF(ISNUMBER(benefit_original!AC42),benefit_original!AC42/100000000,benefit_original!AC42)</f>
        <v>0</v>
      </c>
      <c r="AD42" s="4">
        <f>IF(ISNUMBER(benefit_original!AD42),benefit_original!AD42/100000000,benefit_original!AD42)</f>
        <v>0</v>
      </c>
      <c r="AE42" s="4">
        <f>IF(ISNUMBER(benefit_original!AE42),benefit_original!AE42/100000000,benefit_original!AE42)</f>
        <v>0</v>
      </c>
      <c r="AF42" s="4">
        <f>IF(ISNUMBER(benefit_original!AF42),benefit_original!AF42/100000000,benefit_original!AF42)</f>
        <v>0</v>
      </c>
      <c r="AG42" s="4">
        <f>IF(ISNUMBER(benefit_original!AG42),benefit_original!AG42/100000000,benefit_original!AG42)</f>
        <v>0</v>
      </c>
      <c r="AH42" s="4">
        <f>IF(ISNUMBER(benefit_original!AH42),benefit_original!AH42/100000000,benefit_original!AH42)</f>
        <v>0</v>
      </c>
      <c r="AI42" s="4">
        <f>IF(ISNUMBER(benefit_original!AI42),benefit_original!AI42/100000000,benefit_original!AI42)</f>
        <v>0</v>
      </c>
      <c r="AJ42" s="4">
        <f>IF(ISNUMBER(benefit_original!AJ42),benefit_original!AJ42/100000000,benefit_original!AJ42)</f>
        <v>0</v>
      </c>
      <c r="AK42" s="4">
        <f>IF(ISNUMBER(benefit_original!AK42),benefit_original!AK42/100000000,benefit_original!AK42)</f>
        <v>0</v>
      </c>
      <c r="AL42" s="4">
        <f>IF(ISNUMBER(benefit_original!AL42),benefit_original!AL42/100000000,benefit_original!AL42)</f>
        <v>0</v>
      </c>
      <c r="AM42" s="4">
        <f>IF(ISNUMBER(benefit_original!AM42),benefit_original!AM42/100000000,benefit_original!AM42)</f>
        <v>0</v>
      </c>
      <c r="AN42" s="4">
        <f>IF(ISNUMBER(benefit_original!AN42),benefit_original!AN42/100000000,benefit_original!AN42)</f>
        <v>0</v>
      </c>
      <c r="AO42" s="4">
        <f>IF(ISNUMBER(benefit_original!AO42),benefit_original!AO42/100000000,benefit_original!AO42)</f>
        <v>0</v>
      </c>
      <c r="AP42" s="4">
        <f>IF(ISNUMBER(benefit_original!AP42),benefit_original!AP42/100000000,benefit_original!AP42)</f>
        <v>0</v>
      </c>
      <c r="AQ42" s="4">
        <f>IF(ISNUMBER(benefit_original!AQ42),benefit_original!AQ42/100000000,benefit_original!AQ42)</f>
        <v>0</v>
      </c>
    </row>
    <row r="43" spans="1:77" x14ac:dyDescent="0.25">
      <c r="B43" s="4">
        <f>IF(ISNUMBER(benefit_original!B43),benefit_original!B43/100000000,benefit_original!B43)</f>
        <v>0</v>
      </c>
      <c r="C43" s="4">
        <f>IF(ISNUMBER(benefit_original!C43),benefit_original!C43/100000000,benefit_original!C43)</f>
        <v>0</v>
      </c>
      <c r="D43" s="4">
        <f>IF(ISNUMBER(benefit_original!D43),benefit_original!D43/100000000,benefit_original!D43)</f>
        <v>0</v>
      </c>
      <c r="E43" s="4">
        <f>IF(ISNUMBER(benefit_original!E43),benefit_original!E43/100000000,benefit_original!E43)</f>
        <v>0</v>
      </c>
      <c r="F43" s="4">
        <f>IF(ISNUMBER(benefit_original!F43),benefit_original!F43/100000000,benefit_original!F43)</f>
        <v>0</v>
      </c>
      <c r="G43" s="4">
        <f>IF(ISNUMBER(benefit_original!G43),benefit_original!G43/100000000,benefit_original!G43)</f>
        <v>0</v>
      </c>
      <c r="H43" s="4">
        <f>IF(ISNUMBER(benefit_original!H43),benefit_original!H43/100000000,benefit_original!H43)</f>
        <v>0</v>
      </c>
      <c r="I43" s="4">
        <f>IF(ISNUMBER(benefit_original!I43),benefit_original!I43/100000000,benefit_original!I43)</f>
        <v>0</v>
      </c>
      <c r="J43" s="4">
        <f>IF(ISNUMBER(benefit_original!J43),benefit_original!J43/100000000,benefit_original!J43)</f>
        <v>0</v>
      </c>
      <c r="K43" s="4">
        <f>IF(ISNUMBER(benefit_original!K43),benefit_original!K43/100000000,benefit_original!K43)</f>
        <v>0</v>
      </c>
      <c r="L43" s="4">
        <f>IF(ISNUMBER(benefit_original!L43),benefit_original!L43/100000000,benefit_original!L43)</f>
        <v>0</v>
      </c>
      <c r="M43" s="4">
        <f>IF(ISNUMBER(benefit_original!M43),benefit_original!M43/100000000,benefit_original!M43)</f>
        <v>0</v>
      </c>
      <c r="N43" s="4">
        <f>IF(ISNUMBER(benefit_original!N43),benefit_original!N43/100000000,benefit_original!N43)</f>
        <v>0</v>
      </c>
      <c r="O43" s="4">
        <f>IF(ISNUMBER(benefit_original!O43),benefit_original!O43/100000000,benefit_original!O43)</f>
        <v>0</v>
      </c>
      <c r="P43" s="4">
        <f>IF(ISNUMBER(benefit_original!P43),benefit_original!P43/100000000,benefit_original!P43)</f>
        <v>0</v>
      </c>
      <c r="Q43" s="4">
        <f>IF(ISNUMBER(benefit_original!Q43),benefit_original!Q43/100000000,benefit_original!Q43)</f>
        <v>0</v>
      </c>
      <c r="R43" s="4">
        <f>IF(ISNUMBER(benefit_original!R43),benefit_original!R43/100000000,benefit_original!R43)</f>
        <v>0</v>
      </c>
      <c r="S43" s="4">
        <f>IF(ISNUMBER(benefit_original!S43),benefit_original!S43/100000000,benefit_original!S43)</f>
        <v>0</v>
      </c>
      <c r="T43" s="4">
        <f>IF(ISNUMBER(benefit_original!T43),benefit_original!T43/100000000,benefit_original!T43)</f>
        <v>0</v>
      </c>
      <c r="U43" s="4">
        <f>IF(ISNUMBER(benefit_original!U43),benefit_original!U43/100000000,benefit_original!U43)</f>
        <v>0</v>
      </c>
      <c r="V43" s="4">
        <f>IF(ISNUMBER(benefit_original!V43),benefit_original!V43/100000000,benefit_original!V43)</f>
        <v>0</v>
      </c>
      <c r="W43" s="4">
        <f>IF(ISNUMBER(benefit_original!W43),benefit_original!W43/100000000,benefit_original!W43)</f>
        <v>0</v>
      </c>
      <c r="X43" s="4">
        <f>IF(ISNUMBER(benefit_original!X43),benefit_original!X43/100000000,benefit_original!X43)</f>
        <v>0</v>
      </c>
      <c r="Y43" s="4">
        <f>IF(ISNUMBER(benefit_original!Y43),benefit_original!Y43/100000000,benefit_original!Y43)</f>
        <v>0</v>
      </c>
      <c r="Z43" s="4">
        <f>IF(ISNUMBER(benefit_original!Z43),benefit_original!Z43/100000000,benefit_original!Z43)</f>
        <v>0</v>
      </c>
      <c r="AA43" s="4">
        <f>IF(ISNUMBER(benefit_original!AA43),benefit_original!AA43/100000000,benefit_original!AA43)</f>
        <v>0</v>
      </c>
      <c r="AB43" s="4">
        <f>IF(ISNUMBER(benefit_original!AB43),benefit_original!AB43/100000000,benefit_original!AB43)</f>
        <v>0</v>
      </c>
      <c r="AC43" s="4">
        <f>IF(ISNUMBER(benefit_original!AC43),benefit_original!AC43/100000000,benefit_original!AC43)</f>
        <v>0</v>
      </c>
      <c r="AD43" s="4">
        <f>IF(ISNUMBER(benefit_original!AD43),benefit_original!AD43/100000000,benefit_original!AD43)</f>
        <v>0</v>
      </c>
      <c r="AE43" s="4">
        <f>IF(ISNUMBER(benefit_original!AE43),benefit_original!AE43/100000000,benefit_original!AE43)</f>
        <v>0</v>
      </c>
      <c r="AF43" s="4">
        <f>IF(ISNUMBER(benefit_original!AF43),benefit_original!AF43/100000000,benefit_original!AF43)</f>
        <v>0</v>
      </c>
      <c r="AG43" s="4">
        <f>IF(ISNUMBER(benefit_original!AG43),benefit_original!AG43/100000000,benefit_original!AG43)</f>
        <v>0</v>
      </c>
      <c r="AH43" s="4">
        <f>IF(ISNUMBER(benefit_original!AH43),benefit_original!AH43/100000000,benefit_original!AH43)</f>
        <v>0</v>
      </c>
      <c r="AI43" s="4">
        <f>IF(ISNUMBER(benefit_original!AI43),benefit_original!AI43/100000000,benefit_original!AI43)</f>
        <v>0</v>
      </c>
      <c r="AJ43" s="4">
        <f>IF(ISNUMBER(benefit_original!AJ43),benefit_original!AJ43/100000000,benefit_original!AJ43)</f>
        <v>0</v>
      </c>
      <c r="AK43" s="4">
        <f>IF(ISNUMBER(benefit_original!AK43),benefit_original!AK43/100000000,benefit_original!AK43)</f>
        <v>0</v>
      </c>
      <c r="AL43" s="4">
        <f>IF(ISNUMBER(benefit_original!AL43),benefit_original!AL43/100000000,benefit_original!AL43)</f>
        <v>0</v>
      </c>
      <c r="AM43" s="4">
        <f>IF(ISNUMBER(benefit_original!AM43),benefit_original!AM43/100000000,benefit_original!AM43)</f>
        <v>0</v>
      </c>
      <c r="AN43" s="4">
        <f>IF(ISNUMBER(benefit_original!AN43),benefit_original!AN43/100000000,benefit_original!AN43)</f>
        <v>0</v>
      </c>
      <c r="AO43" s="4">
        <f>IF(ISNUMBER(benefit_original!AO43),benefit_original!AO43/100000000,benefit_original!AO43)</f>
        <v>0</v>
      </c>
      <c r="AP43" s="4">
        <f>IF(ISNUMBER(benefit_original!AP43),benefit_original!AP43/100000000,benefit_original!AP43)</f>
        <v>0</v>
      </c>
      <c r="AQ43" s="4">
        <f>IF(ISNUMBER(benefit_original!AQ43),benefit_original!AQ43/100000000,benefit_original!AQ43)</f>
        <v>0</v>
      </c>
    </row>
    <row r="44" spans="1:77" x14ac:dyDescent="0.25">
      <c r="B44" s="4">
        <f>IF(ISNUMBER(benefit_original!B44),benefit_original!B44/100000000,benefit_original!B44)</f>
        <v>0</v>
      </c>
      <c r="C44" s="4">
        <f>IF(ISNUMBER(benefit_original!C44),benefit_original!C44/100000000,benefit_original!C44)</f>
        <v>0</v>
      </c>
      <c r="D44" s="4">
        <f>IF(ISNUMBER(benefit_original!D44),benefit_original!D44/100000000,benefit_original!D44)</f>
        <v>0</v>
      </c>
      <c r="E44" s="4">
        <f>IF(ISNUMBER(benefit_original!E44),benefit_original!E44/100000000,benefit_original!E44)</f>
        <v>0</v>
      </c>
      <c r="F44" s="4">
        <f>IF(ISNUMBER(benefit_original!F44),benefit_original!F44/100000000,benefit_original!F44)</f>
        <v>0</v>
      </c>
      <c r="G44" s="4">
        <f>IF(ISNUMBER(benefit_original!G44),benefit_original!G44/100000000,benefit_original!G44)</f>
        <v>0</v>
      </c>
      <c r="H44" s="4">
        <f>IF(ISNUMBER(benefit_original!H44),benefit_original!H44/100000000,benefit_original!H44)</f>
        <v>0</v>
      </c>
      <c r="I44" s="4">
        <f>IF(ISNUMBER(benefit_original!I44),benefit_original!I44/100000000,benefit_original!I44)</f>
        <v>0</v>
      </c>
      <c r="J44" s="4">
        <f>IF(ISNUMBER(benefit_original!J44),benefit_original!J44/100000000,benefit_original!J44)</f>
        <v>0</v>
      </c>
      <c r="K44" s="4">
        <f>IF(ISNUMBER(benefit_original!K44),benefit_original!K44/100000000,benefit_original!K44)</f>
        <v>0</v>
      </c>
      <c r="L44" s="4">
        <f>IF(ISNUMBER(benefit_original!L44),benefit_original!L44/100000000,benefit_original!L44)</f>
        <v>0</v>
      </c>
      <c r="M44" s="4">
        <f>IF(ISNUMBER(benefit_original!M44),benefit_original!M44/100000000,benefit_original!M44)</f>
        <v>0</v>
      </c>
      <c r="N44" s="4">
        <f>IF(ISNUMBER(benefit_original!N44),benefit_original!N44/100000000,benefit_original!N44)</f>
        <v>0</v>
      </c>
      <c r="O44" s="4">
        <f>IF(ISNUMBER(benefit_original!O44),benefit_original!O44/100000000,benefit_original!O44)</f>
        <v>0</v>
      </c>
      <c r="P44" s="4">
        <f>IF(ISNUMBER(benefit_original!P44),benefit_original!P44/100000000,benefit_original!P44)</f>
        <v>0</v>
      </c>
      <c r="Q44" s="4">
        <f>IF(ISNUMBER(benefit_original!Q44),benefit_original!Q44/100000000,benefit_original!Q44)</f>
        <v>0</v>
      </c>
      <c r="R44" s="4">
        <f>IF(ISNUMBER(benefit_original!R44),benefit_original!R44/100000000,benefit_original!R44)</f>
        <v>0</v>
      </c>
      <c r="S44" s="4">
        <f>IF(ISNUMBER(benefit_original!S44),benefit_original!S44/100000000,benefit_original!S44)</f>
        <v>0</v>
      </c>
      <c r="T44" s="4">
        <f>IF(ISNUMBER(benefit_original!T44),benefit_original!T44/100000000,benefit_original!T44)</f>
        <v>0</v>
      </c>
      <c r="U44" s="4">
        <f>IF(ISNUMBER(benefit_original!U44),benefit_original!U44/100000000,benefit_original!U44)</f>
        <v>0</v>
      </c>
      <c r="V44" s="4">
        <f>IF(ISNUMBER(benefit_original!V44),benefit_original!V44/100000000,benefit_original!V44)</f>
        <v>0</v>
      </c>
      <c r="W44" s="4">
        <f>IF(ISNUMBER(benefit_original!W44),benefit_original!W44/100000000,benefit_original!W44)</f>
        <v>0</v>
      </c>
      <c r="X44" s="4">
        <f>IF(ISNUMBER(benefit_original!X44),benefit_original!X44/100000000,benefit_original!X44)</f>
        <v>0</v>
      </c>
      <c r="Y44" s="4">
        <f>IF(ISNUMBER(benefit_original!Y44),benefit_original!Y44/100000000,benefit_original!Y44)</f>
        <v>0</v>
      </c>
      <c r="Z44" s="4">
        <f>IF(ISNUMBER(benefit_original!Z44),benefit_original!Z44/100000000,benefit_original!Z44)</f>
        <v>0</v>
      </c>
      <c r="AA44" s="4">
        <f>IF(ISNUMBER(benefit_original!AA44),benefit_original!AA44/100000000,benefit_original!AA44)</f>
        <v>0</v>
      </c>
      <c r="AB44" s="4">
        <f>IF(ISNUMBER(benefit_original!AB44),benefit_original!AB44/100000000,benefit_original!AB44)</f>
        <v>0</v>
      </c>
      <c r="AC44" s="4">
        <f>IF(ISNUMBER(benefit_original!AC44),benefit_original!AC44/100000000,benefit_original!AC44)</f>
        <v>0</v>
      </c>
      <c r="AD44" s="4">
        <f>IF(ISNUMBER(benefit_original!AD44),benefit_original!AD44/100000000,benefit_original!AD44)</f>
        <v>0</v>
      </c>
      <c r="AE44" s="4">
        <f>IF(ISNUMBER(benefit_original!AE44),benefit_original!AE44/100000000,benefit_original!AE44)</f>
        <v>0</v>
      </c>
      <c r="AF44" s="4">
        <f>IF(ISNUMBER(benefit_original!AF44),benefit_original!AF44/100000000,benefit_original!AF44)</f>
        <v>0</v>
      </c>
      <c r="AG44" s="4">
        <f>IF(ISNUMBER(benefit_original!AG44),benefit_original!AG44/100000000,benefit_original!AG44)</f>
        <v>0</v>
      </c>
      <c r="AH44" s="4">
        <f>IF(ISNUMBER(benefit_original!AH44),benefit_original!AH44/100000000,benefit_original!AH44)</f>
        <v>0</v>
      </c>
      <c r="AI44" s="4">
        <f>IF(ISNUMBER(benefit_original!AI44),benefit_original!AI44/100000000,benefit_original!AI44)</f>
        <v>0</v>
      </c>
      <c r="AJ44" s="4">
        <f>IF(ISNUMBER(benefit_original!AJ44),benefit_original!AJ44/100000000,benefit_original!AJ44)</f>
        <v>0</v>
      </c>
      <c r="AK44" s="4">
        <f>IF(ISNUMBER(benefit_original!AK44),benefit_original!AK44/100000000,benefit_original!AK44)</f>
        <v>0</v>
      </c>
      <c r="AL44" s="4">
        <f>IF(ISNUMBER(benefit_original!AL44),benefit_original!AL44/100000000,benefit_original!AL44)</f>
        <v>0</v>
      </c>
      <c r="AM44" s="4">
        <f>IF(ISNUMBER(benefit_original!AM44),benefit_original!AM44/100000000,benefit_original!AM44)</f>
        <v>0</v>
      </c>
      <c r="AN44" s="4">
        <f>IF(ISNUMBER(benefit_original!AN44),benefit_original!AN44/100000000,benefit_original!AN44)</f>
        <v>0</v>
      </c>
      <c r="AO44" s="4">
        <f>IF(ISNUMBER(benefit_original!AO44),benefit_original!AO44/100000000,benefit_original!AO44)</f>
        <v>0</v>
      </c>
      <c r="AP44" s="4">
        <f>IF(ISNUMBER(benefit_original!AP44),benefit_original!AP44/100000000,benefit_original!AP44)</f>
        <v>0</v>
      </c>
      <c r="AQ44" s="4">
        <f>IF(ISNUMBER(benefit_original!AQ44),benefit_original!AQ44/100000000,benefit_original!AQ44)</f>
        <v>0</v>
      </c>
    </row>
    <row r="45" spans="1:77" x14ac:dyDescent="0.25">
      <c r="B45" s="4">
        <f>IF(ISNUMBER(benefit_original!B45),benefit_original!B45/100000000,benefit_original!B45)</f>
        <v>0</v>
      </c>
      <c r="C45" s="4">
        <f>IF(ISNUMBER(benefit_original!C45),benefit_original!C45/100000000,benefit_original!C45)</f>
        <v>0</v>
      </c>
      <c r="D45" s="4">
        <f>IF(ISNUMBER(benefit_original!D45),benefit_original!D45/100000000,benefit_original!D45)</f>
        <v>0</v>
      </c>
      <c r="E45" s="4">
        <f>IF(ISNUMBER(benefit_original!E45),benefit_original!E45/100000000,benefit_original!E45)</f>
        <v>0</v>
      </c>
      <c r="F45" s="4">
        <f>IF(ISNUMBER(benefit_original!F45),benefit_original!F45/100000000,benefit_original!F45)</f>
        <v>0</v>
      </c>
      <c r="G45" s="4">
        <f>IF(ISNUMBER(benefit_original!G45),benefit_original!G45/100000000,benefit_original!G45)</f>
        <v>0</v>
      </c>
      <c r="H45" s="4">
        <f>IF(ISNUMBER(benefit_original!H45),benefit_original!H45/100000000,benefit_original!H45)</f>
        <v>0</v>
      </c>
      <c r="I45" s="4">
        <f>IF(ISNUMBER(benefit_original!I45),benefit_original!I45/100000000,benefit_original!I45)</f>
        <v>0</v>
      </c>
      <c r="J45" s="4">
        <f>IF(ISNUMBER(benefit_original!J45),benefit_original!J45/100000000,benefit_original!J45)</f>
        <v>0</v>
      </c>
      <c r="K45" s="4">
        <f>IF(ISNUMBER(benefit_original!K45),benefit_original!K45/100000000,benefit_original!K45)</f>
        <v>0</v>
      </c>
      <c r="L45" s="4">
        <f>IF(ISNUMBER(benefit_original!L45),benefit_original!L45/100000000,benefit_original!L45)</f>
        <v>0</v>
      </c>
      <c r="M45" s="4">
        <f>IF(ISNUMBER(benefit_original!M45),benefit_original!M45/100000000,benefit_original!M45)</f>
        <v>0</v>
      </c>
      <c r="N45" s="4">
        <f>IF(ISNUMBER(benefit_original!N45),benefit_original!N45/100000000,benefit_original!N45)</f>
        <v>0</v>
      </c>
      <c r="O45" s="4">
        <f>IF(ISNUMBER(benefit_original!O45),benefit_original!O45/100000000,benefit_original!O45)</f>
        <v>0</v>
      </c>
      <c r="P45" s="4">
        <f>IF(ISNUMBER(benefit_original!P45),benefit_original!P45/100000000,benefit_original!P45)</f>
        <v>0</v>
      </c>
      <c r="Q45" s="4">
        <f>IF(ISNUMBER(benefit_original!Q45),benefit_original!Q45/100000000,benefit_original!Q45)</f>
        <v>0</v>
      </c>
      <c r="R45" s="4">
        <f>IF(ISNUMBER(benefit_original!R45),benefit_original!R45/100000000,benefit_original!R45)</f>
        <v>0</v>
      </c>
      <c r="S45" s="4">
        <f>IF(ISNUMBER(benefit_original!S45),benefit_original!S45/100000000,benefit_original!S45)</f>
        <v>0</v>
      </c>
      <c r="T45" s="4">
        <f>IF(ISNUMBER(benefit_original!T45),benefit_original!T45/100000000,benefit_original!T45)</f>
        <v>0</v>
      </c>
      <c r="U45" s="4">
        <f>IF(ISNUMBER(benefit_original!U45),benefit_original!U45/100000000,benefit_original!U45)</f>
        <v>0</v>
      </c>
      <c r="V45" s="4">
        <f>IF(ISNUMBER(benefit_original!V45),benefit_original!V45/100000000,benefit_original!V45)</f>
        <v>0</v>
      </c>
      <c r="W45" s="4">
        <f>IF(ISNUMBER(benefit_original!W45),benefit_original!W45/100000000,benefit_original!W45)</f>
        <v>0</v>
      </c>
      <c r="X45" s="4">
        <f>IF(ISNUMBER(benefit_original!X45),benefit_original!X45/100000000,benefit_original!X45)</f>
        <v>0</v>
      </c>
      <c r="Y45" s="4">
        <f>IF(ISNUMBER(benefit_original!Y45),benefit_original!Y45/100000000,benefit_original!Y45)</f>
        <v>0</v>
      </c>
      <c r="Z45" s="4">
        <f>IF(ISNUMBER(benefit_original!Z45),benefit_original!Z45/100000000,benefit_original!Z45)</f>
        <v>0</v>
      </c>
      <c r="AA45" s="4">
        <f>IF(ISNUMBER(benefit_original!AA45),benefit_original!AA45/100000000,benefit_original!AA45)</f>
        <v>0</v>
      </c>
      <c r="AB45" s="4">
        <f>IF(ISNUMBER(benefit_original!AB45),benefit_original!AB45/100000000,benefit_original!AB45)</f>
        <v>0</v>
      </c>
      <c r="AC45" s="4">
        <f>IF(ISNUMBER(benefit_original!AC45),benefit_original!AC45/100000000,benefit_original!AC45)</f>
        <v>0</v>
      </c>
      <c r="AD45" s="4">
        <f>IF(ISNUMBER(benefit_original!AD45),benefit_original!AD45/100000000,benefit_original!AD45)</f>
        <v>0</v>
      </c>
      <c r="AE45" s="4">
        <f>IF(ISNUMBER(benefit_original!AE45),benefit_original!AE45/100000000,benefit_original!AE45)</f>
        <v>0</v>
      </c>
      <c r="AF45" s="4">
        <f>IF(ISNUMBER(benefit_original!AF45),benefit_original!AF45/100000000,benefit_original!AF45)</f>
        <v>0</v>
      </c>
      <c r="AG45" s="4">
        <f>IF(ISNUMBER(benefit_original!AG45),benefit_original!AG45/100000000,benefit_original!AG45)</f>
        <v>0</v>
      </c>
      <c r="AH45" s="4">
        <f>IF(ISNUMBER(benefit_original!AH45),benefit_original!AH45/100000000,benefit_original!AH45)</f>
        <v>0</v>
      </c>
      <c r="AI45" s="4">
        <f>IF(ISNUMBER(benefit_original!AI45),benefit_original!AI45/100000000,benefit_original!AI45)</f>
        <v>0</v>
      </c>
      <c r="AJ45" s="4">
        <f>IF(ISNUMBER(benefit_original!AJ45),benefit_original!AJ45/100000000,benefit_original!AJ45)</f>
        <v>0</v>
      </c>
      <c r="AK45" s="4">
        <f>IF(ISNUMBER(benefit_original!AK45),benefit_original!AK45/100000000,benefit_original!AK45)</f>
        <v>0</v>
      </c>
      <c r="AL45" s="4">
        <f>IF(ISNUMBER(benefit_original!AL45),benefit_original!AL45/100000000,benefit_original!AL45)</f>
        <v>0</v>
      </c>
      <c r="AM45" s="4">
        <f>IF(ISNUMBER(benefit_original!AM45),benefit_original!AM45/100000000,benefit_original!AM45)</f>
        <v>0</v>
      </c>
      <c r="AN45" s="4">
        <f>IF(ISNUMBER(benefit_original!AN45),benefit_original!AN45/100000000,benefit_original!AN45)</f>
        <v>0</v>
      </c>
      <c r="AO45" s="4">
        <f>IF(ISNUMBER(benefit_original!AO45),benefit_original!AO45/100000000,benefit_original!AO45)</f>
        <v>0</v>
      </c>
      <c r="AP45" s="4">
        <f>IF(ISNUMBER(benefit_original!AP45),benefit_original!AP45/100000000,benefit_original!AP45)</f>
        <v>0</v>
      </c>
      <c r="AQ45" s="4">
        <f>IF(ISNUMBER(benefit_original!AQ45),benefit_original!AQ45/100000000,benefit_original!AQ45)</f>
        <v>0</v>
      </c>
    </row>
    <row r="46" spans="1:77" x14ac:dyDescent="0.25">
      <c r="B46" s="4">
        <f>IF(ISNUMBER(benefit_original!B46),benefit_original!B46/100000000,benefit_original!B46)</f>
        <v>0</v>
      </c>
      <c r="C46" s="4">
        <f>IF(ISNUMBER(benefit_original!C46),benefit_original!C46/100000000,benefit_original!C46)</f>
        <v>0</v>
      </c>
      <c r="D46" s="4">
        <f>IF(ISNUMBER(benefit_original!D46),benefit_original!D46/100000000,benefit_original!D46)</f>
        <v>0</v>
      </c>
      <c r="E46" s="4">
        <f>IF(ISNUMBER(benefit_original!E46),benefit_original!E46/100000000,benefit_original!E46)</f>
        <v>0</v>
      </c>
      <c r="F46" s="4">
        <f>IF(ISNUMBER(benefit_original!F46),benefit_original!F46/100000000,benefit_original!F46)</f>
        <v>0</v>
      </c>
      <c r="G46" s="4">
        <f>IF(ISNUMBER(benefit_original!G46),benefit_original!G46/100000000,benefit_original!G46)</f>
        <v>0</v>
      </c>
      <c r="H46" s="4">
        <f>IF(ISNUMBER(benefit_original!H46),benefit_original!H46/100000000,benefit_original!H46)</f>
        <v>0</v>
      </c>
      <c r="I46" s="4">
        <f>IF(ISNUMBER(benefit_original!I46),benefit_original!I46/100000000,benefit_original!I46)</f>
        <v>0</v>
      </c>
      <c r="J46" s="4">
        <f>IF(ISNUMBER(benefit_original!J46),benefit_original!J46/100000000,benefit_original!J46)</f>
        <v>0</v>
      </c>
      <c r="K46" s="4">
        <f>IF(ISNUMBER(benefit_original!K46),benefit_original!K46/100000000,benefit_original!K46)</f>
        <v>0</v>
      </c>
      <c r="L46" s="4">
        <f>IF(ISNUMBER(benefit_original!L46),benefit_original!L46/100000000,benefit_original!L46)</f>
        <v>0</v>
      </c>
      <c r="M46" s="4">
        <f>IF(ISNUMBER(benefit_original!M46),benefit_original!M46/100000000,benefit_original!M46)</f>
        <v>0</v>
      </c>
      <c r="N46" s="4">
        <f>IF(ISNUMBER(benefit_original!N46),benefit_original!N46/100000000,benefit_original!N46)</f>
        <v>0</v>
      </c>
      <c r="O46" s="4">
        <f>IF(ISNUMBER(benefit_original!O46),benefit_original!O46/100000000,benefit_original!O46)</f>
        <v>0</v>
      </c>
      <c r="P46" s="4">
        <f>IF(ISNUMBER(benefit_original!P46),benefit_original!P46/100000000,benefit_original!P46)</f>
        <v>0</v>
      </c>
      <c r="Q46" s="4">
        <f>IF(ISNUMBER(benefit_original!Q46),benefit_original!Q46/100000000,benefit_original!Q46)</f>
        <v>0</v>
      </c>
      <c r="R46" s="4">
        <f>IF(ISNUMBER(benefit_original!R46),benefit_original!R46/100000000,benefit_original!R46)</f>
        <v>0</v>
      </c>
      <c r="S46" s="4">
        <f>IF(ISNUMBER(benefit_original!S46),benefit_original!S46/100000000,benefit_original!S46)</f>
        <v>0</v>
      </c>
      <c r="T46" s="4">
        <f>IF(ISNUMBER(benefit_original!T46),benefit_original!T46/100000000,benefit_original!T46)</f>
        <v>0</v>
      </c>
      <c r="U46" s="4">
        <f>IF(ISNUMBER(benefit_original!U46),benefit_original!U46/100000000,benefit_original!U46)</f>
        <v>0</v>
      </c>
      <c r="V46" s="4">
        <f>IF(ISNUMBER(benefit_original!V46),benefit_original!V46/100000000,benefit_original!V46)</f>
        <v>0</v>
      </c>
      <c r="W46" s="4">
        <f>IF(ISNUMBER(benefit_original!W46),benefit_original!W46/100000000,benefit_original!W46)</f>
        <v>0</v>
      </c>
      <c r="X46" s="4">
        <f>IF(ISNUMBER(benefit_original!X46),benefit_original!X46/100000000,benefit_original!X46)</f>
        <v>0</v>
      </c>
      <c r="Y46" s="4">
        <f>IF(ISNUMBER(benefit_original!Y46),benefit_original!Y46/100000000,benefit_original!Y46)</f>
        <v>0</v>
      </c>
      <c r="Z46" s="4">
        <f>IF(ISNUMBER(benefit_original!Z46),benefit_original!Z46/100000000,benefit_original!Z46)</f>
        <v>0</v>
      </c>
      <c r="AA46" s="4">
        <f>IF(ISNUMBER(benefit_original!AA46),benefit_original!AA46/100000000,benefit_original!AA46)</f>
        <v>0</v>
      </c>
      <c r="AB46" s="4">
        <f>IF(ISNUMBER(benefit_original!AB46),benefit_original!AB46/100000000,benefit_original!AB46)</f>
        <v>0</v>
      </c>
      <c r="AC46" s="4">
        <f>IF(ISNUMBER(benefit_original!AC46),benefit_original!AC46/100000000,benefit_original!AC46)</f>
        <v>0</v>
      </c>
      <c r="AD46" s="4">
        <f>IF(ISNUMBER(benefit_original!AD46),benefit_original!AD46/100000000,benefit_original!AD46)</f>
        <v>0</v>
      </c>
      <c r="AE46" s="4">
        <f>IF(ISNUMBER(benefit_original!AE46),benefit_original!AE46/100000000,benefit_original!AE46)</f>
        <v>0</v>
      </c>
      <c r="AF46" s="4">
        <f>IF(ISNUMBER(benefit_original!AF46),benefit_original!AF46/100000000,benefit_original!AF46)</f>
        <v>0</v>
      </c>
      <c r="AG46" s="4">
        <f>IF(ISNUMBER(benefit_original!AG46),benefit_original!AG46/100000000,benefit_original!AG46)</f>
        <v>0</v>
      </c>
      <c r="AH46" s="4">
        <f>IF(ISNUMBER(benefit_original!AH46),benefit_original!AH46/100000000,benefit_original!AH46)</f>
        <v>0</v>
      </c>
      <c r="AI46" s="4">
        <f>IF(ISNUMBER(benefit_original!AI46),benefit_original!AI46/100000000,benefit_original!AI46)</f>
        <v>0</v>
      </c>
      <c r="AJ46" s="4">
        <f>IF(ISNUMBER(benefit_original!AJ46),benefit_original!AJ46/100000000,benefit_original!AJ46)</f>
        <v>0</v>
      </c>
      <c r="AK46" s="4">
        <f>IF(ISNUMBER(benefit_original!AK46),benefit_original!AK46/100000000,benefit_original!AK46)</f>
        <v>0</v>
      </c>
      <c r="AL46" s="4">
        <f>IF(ISNUMBER(benefit_original!AL46),benefit_original!AL46/100000000,benefit_original!AL46)</f>
        <v>0</v>
      </c>
      <c r="AM46" s="4">
        <f>IF(ISNUMBER(benefit_original!AM46),benefit_original!AM46/100000000,benefit_original!AM46)</f>
        <v>0</v>
      </c>
      <c r="AN46" s="4">
        <f>IF(ISNUMBER(benefit_original!AN46),benefit_original!AN46/100000000,benefit_original!AN46)</f>
        <v>0</v>
      </c>
      <c r="AO46" s="4">
        <f>IF(ISNUMBER(benefit_original!AO46),benefit_original!AO46/100000000,benefit_original!AO46)</f>
        <v>0</v>
      </c>
      <c r="AP46" s="4">
        <f>IF(ISNUMBER(benefit_original!AP46),benefit_original!AP46/100000000,benefit_original!AP46)</f>
        <v>0</v>
      </c>
      <c r="AQ46" s="4">
        <f>IF(ISNUMBER(benefit_original!AQ46),benefit_original!AQ46/100000000,benefit_original!AQ46)</f>
        <v>0</v>
      </c>
    </row>
    <row r="47" spans="1:77" x14ac:dyDescent="0.25">
      <c r="B47" s="4">
        <f>IF(ISNUMBER(benefit_original!B47),benefit_original!B47/100000000,benefit_original!B47)</f>
        <v>0</v>
      </c>
      <c r="C47" s="4">
        <f>IF(ISNUMBER(benefit_original!C47),benefit_original!C47/100000000,benefit_original!C47)</f>
        <v>0</v>
      </c>
      <c r="D47" s="4">
        <f>IF(ISNUMBER(benefit_original!D47),benefit_original!D47/100000000,benefit_original!D47)</f>
        <v>0</v>
      </c>
      <c r="E47" s="4">
        <f>IF(ISNUMBER(benefit_original!E47),benefit_original!E47/100000000,benefit_original!E47)</f>
        <v>0</v>
      </c>
      <c r="F47" s="4">
        <f>IF(ISNUMBER(benefit_original!F47),benefit_original!F47/100000000,benefit_original!F47)</f>
        <v>0</v>
      </c>
      <c r="G47" s="4">
        <f>IF(ISNUMBER(benefit_original!G47),benefit_original!G47/100000000,benefit_original!G47)</f>
        <v>0</v>
      </c>
      <c r="H47" s="4">
        <f>IF(ISNUMBER(benefit_original!H47),benefit_original!H47/100000000,benefit_original!H47)</f>
        <v>0</v>
      </c>
      <c r="I47" s="4">
        <f>IF(ISNUMBER(benefit_original!I47),benefit_original!I47/100000000,benefit_original!I47)</f>
        <v>0</v>
      </c>
      <c r="J47" s="4">
        <f>IF(ISNUMBER(benefit_original!J47),benefit_original!J47/100000000,benefit_original!J47)</f>
        <v>0</v>
      </c>
      <c r="K47" s="4">
        <f>IF(ISNUMBER(benefit_original!K47),benefit_original!K47/100000000,benefit_original!K47)</f>
        <v>0</v>
      </c>
      <c r="L47" s="4">
        <f>IF(ISNUMBER(benefit_original!L47),benefit_original!L47/100000000,benefit_original!L47)</f>
        <v>0</v>
      </c>
      <c r="M47" s="4">
        <f>IF(ISNUMBER(benefit_original!M47),benefit_original!M47/100000000,benefit_original!M47)</f>
        <v>0</v>
      </c>
      <c r="N47" s="4">
        <f>IF(ISNUMBER(benefit_original!N47),benefit_original!N47/100000000,benefit_original!N47)</f>
        <v>0</v>
      </c>
      <c r="O47" s="4">
        <f>IF(ISNUMBER(benefit_original!O47),benefit_original!O47/100000000,benefit_original!O47)</f>
        <v>0</v>
      </c>
      <c r="P47" s="4">
        <f>IF(ISNUMBER(benefit_original!P47),benefit_original!P47/100000000,benefit_original!P47)</f>
        <v>0</v>
      </c>
      <c r="Q47" s="4">
        <f>IF(ISNUMBER(benefit_original!Q47),benefit_original!Q47/100000000,benefit_original!Q47)</f>
        <v>0</v>
      </c>
      <c r="R47" s="4">
        <f>IF(ISNUMBER(benefit_original!R47),benefit_original!R47/100000000,benefit_original!R47)</f>
        <v>0</v>
      </c>
      <c r="S47" s="4">
        <f>IF(ISNUMBER(benefit_original!S47),benefit_original!S47/100000000,benefit_original!S47)</f>
        <v>0</v>
      </c>
      <c r="T47" s="4">
        <f>IF(ISNUMBER(benefit_original!T47),benefit_original!T47/100000000,benefit_original!T47)</f>
        <v>0</v>
      </c>
      <c r="U47" s="4">
        <f>IF(ISNUMBER(benefit_original!U47),benefit_original!U47/100000000,benefit_original!U47)</f>
        <v>0</v>
      </c>
      <c r="V47" s="4">
        <f>IF(ISNUMBER(benefit_original!V47),benefit_original!V47/100000000,benefit_original!V47)</f>
        <v>0</v>
      </c>
      <c r="W47" s="4">
        <f>IF(ISNUMBER(benefit_original!W47),benefit_original!W47/100000000,benefit_original!W47)</f>
        <v>0</v>
      </c>
      <c r="X47" s="4">
        <f>IF(ISNUMBER(benefit_original!X47),benefit_original!X47/100000000,benefit_original!X47)</f>
        <v>0</v>
      </c>
      <c r="Y47" s="4">
        <f>IF(ISNUMBER(benefit_original!Y47),benefit_original!Y47/100000000,benefit_original!Y47)</f>
        <v>0</v>
      </c>
      <c r="Z47" s="4">
        <f>IF(ISNUMBER(benefit_original!Z47),benefit_original!Z47/100000000,benefit_original!Z47)</f>
        <v>0</v>
      </c>
      <c r="AA47" s="4">
        <f>IF(ISNUMBER(benefit_original!AA47),benefit_original!AA47/100000000,benefit_original!AA47)</f>
        <v>0</v>
      </c>
      <c r="AB47" s="4">
        <f>IF(ISNUMBER(benefit_original!AB47),benefit_original!AB47/100000000,benefit_original!AB47)</f>
        <v>0</v>
      </c>
      <c r="AC47" s="4">
        <f>IF(ISNUMBER(benefit_original!AC47),benefit_original!AC47/100000000,benefit_original!AC47)</f>
        <v>0</v>
      </c>
      <c r="AD47" s="4">
        <f>IF(ISNUMBER(benefit_original!AD47),benefit_original!AD47/100000000,benefit_original!AD47)</f>
        <v>0</v>
      </c>
      <c r="AE47" s="4">
        <f>IF(ISNUMBER(benefit_original!AE47),benefit_original!AE47/100000000,benefit_original!AE47)</f>
        <v>0</v>
      </c>
      <c r="AF47" s="4">
        <f>IF(ISNUMBER(benefit_original!AF47),benefit_original!AF47/100000000,benefit_original!AF47)</f>
        <v>0</v>
      </c>
      <c r="AG47" s="4">
        <f>IF(ISNUMBER(benefit_original!AG47),benefit_original!AG47/100000000,benefit_original!AG47)</f>
        <v>0</v>
      </c>
      <c r="AH47" s="4">
        <f>IF(ISNUMBER(benefit_original!AH47),benefit_original!AH47/100000000,benefit_original!AH47)</f>
        <v>0</v>
      </c>
      <c r="AI47" s="4">
        <f>IF(ISNUMBER(benefit_original!AI47),benefit_original!AI47/100000000,benefit_original!AI47)</f>
        <v>0</v>
      </c>
      <c r="AJ47" s="4">
        <f>IF(ISNUMBER(benefit_original!AJ47),benefit_original!AJ47/100000000,benefit_original!AJ47)</f>
        <v>0</v>
      </c>
      <c r="AK47" s="4">
        <f>IF(ISNUMBER(benefit_original!AK47),benefit_original!AK47/100000000,benefit_original!AK47)</f>
        <v>0</v>
      </c>
      <c r="AL47" s="4">
        <f>IF(ISNUMBER(benefit_original!AL47),benefit_original!AL47/100000000,benefit_original!AL47)</f>
        <v>0</v>
      </c>
      <c r="AM47" s="4">
        <f>IF(ISNUMBER(benefit_original!AM47),benefit_original!AM47/100000000,benefit_original!AM47)</f>
        <v>0</v>
      </c>
      <c r="AN47" s="4">
        <f>IF(ISNUMBER(benefit_original!AN47),benefit_original!AN47/100000000,benefit_original!AN47)</f>
        <v>0</v>
      </c>
      <c r="AO47" s="4">
        <f>IF(ISNUMBER(benefit_original!AO47),benefit_original!AO47/100000000,benefit_original!AO47)</f>
        <v>0</v>
      </c>
      <c r="AP47" s="4">
        <f>IF(ISNUMBER(benefit_original!AP47),benefit_original!AP47/100000000,benefit_original!AP47)</f>
        <v>0</v>
      </c>
      <c r="AQ47" s="4">
        <f>IF(ISNUMBER(benefit_original!AQ47),benefit_original!AQ47/100000000,benefit_original!AQ47)</f>
        <v>0</v>
      </c>
    </row>
    <row r="48" spans="1:77" x14ac:dyDescent="0.25">
      <c r="B48" s="4">
        <f>IF(ISNUMBER(benefit_original!B48),benefit_original!B48/100000000,benefit_original!B48)</f>
        <v>0</v>
      </c>
      <c r="C48" s="4">
        <f>IF(ISNUMBER(benefit_original!C48),benefit_original!C48/100000000,benefit_original!C48)</f>
        <v>0</v>
      </c>
      <c r="D48" s="4">
        <f>IF(ISNUMBER(benefit_original!D48),benefit_original!D48/100000000,benefit_original!D48)</f>
        <v>0</v>
      </c>
      <c r="E48" s="4">
        <f>IF(ISNUMBER(benefit_original!E48),benefit_original!E48/100000000,benefit_original!E48)</f>
        <v>0</v>
      </c>
      <c r="F48" s="4">
        <f>IF(ISNUMBER(benefit_original!F48),benefit_original!F48/100000000,benefit_original!F48)</f>
        <v>0</v>
      </c>
      <c r="G48" s="4">
        <f>IF(ISNUMBER(benefit_original!G48),benefit_original!G48/100000000,benefit_original!G48)</f>
        <v>0</v>
      </c>
      <c r="H48" s="4">
        <f>IF(ISNUMBER(benefit_original!H48),benefit_original!H48/100000000,benefit_original!H48)</f>
        <v>0</v>
      </c>
      <c r="I48" s="4">
        <f>IF(ISNUMBER(benefit_original!I48),benefit_original!I48/100000000,benefit_original!I48)</f>
        <v>0</v>
      </c>
      <c r="J48" s="4">
        <f>IF(ISNUMBER(benefit_original!J48),benefit_original!J48/100000000,benefit_original!J48)</f>
        <v>0</v>
      </c>
      <c r="K48" s="4">
        <f>IF(ISNUMBER(benefit_original!K48),benefit_original!K48/100000000,benefit_original!K48)</f>
        <v>0</v>
      </c>
      <c r="L48" s="4">
        <f>IF(ISNUMBER(benefit_original!L48),benefit_original!L48/100000000,benefit_original!L48)</f>
        <v>0</v>
      </c>
      <c r="M48" s="4">
        <f>IF(ISNUMBER(benefit_original!M48),benefit_original!M48/100000000,benefit_original!M48)</f>
        <v>0</v>
      </c>
      <c r="N48" s="4">
        <f>IF(ISNUMBER(benefit_original!N48),benefit_original!N48/100000000,benefit_original!N48)</f>
        <v>0</v>
      </c>
      <c r="O48" s="4">
        <f>IF(ISNUMBER(benefit_original!O48),benefit_original!O48/100000000,benefit_original!O48)</f>
        <v>0</v>
      </c>
      <c r="P48" s="4">
        <f>IF(ISNUMBER(benefit_original!P48),benefit_original!P48/100000000,benefit_original!P48)</f>
        <v>0</v>
      </c>
      <c r="Q48" s="4">
        <f>IF(ISNUMBER(benefit_original!Q48),benefit_original!Q48/100000000,benefit_original!Q48)</f>
        <v>0</v>
      </c>
      <c r="R48" s="4">
        <f>IF(ISNUMBER(benefit_original!R48),benefit_original!R48/100000000,benefit_original!R48)</f>
        <v>0</v>
      </c>
      <c r="S48" s="4">
        <f>IF(ISNUMBER(benefit_original!S48),benefit_original!S48/100000000,benefit_original!S48)</f>
        <v>0</v>
      </c>
      <c r="T48" s="4">
        <f>IF(ISNUMBER(benefit_original!T48),benefit_original!T48/100000000,benefit_original!T48)</f>
        <v>0</v>
      </c>
      <c r="U48" s="4">
        <f>IF(ISNUMBER(benefit_original!U48),benefit_original!U48/100000000,benefit_original!U48)</f>
        <v>0</v>
      </c>
      <c r="V48" s="4">
        <f>IF(ISNUMBER(benefit_original!V48),benefit_original!V48/100000000,benefit_original!V48)</f>
        <v>0</v>
      </c>
      <c r="W48" s="4">
        <f>IF(ISNUMBER(benefit_original!W48),benefit_original!W48/100000000,benefit_original!W48)</f>
        <v>0</v>
      </c>
      <c r="X48" s="4">
        <f>IF(ISNUMBER(benefit_original!X48),benefit_original!X48/100000000,benefit_original!X48)</f>
        <v>0</v>
      </c>
      <c r="Y48" s="4">
        <f>IF(ISNUMBER(benefit_original!Y48),benefit_original!Y48/100000000,benefit_original!Y48)</f>
        <v>0</v>
      </c>
      <c r="Z48" s="4">
        <f>IF(ISNUMBER(benefit_original!Z48),benefit_original!Z48/100000000,benefit_original!Z48)</f>
        <v>0</v>
      </c>
      <c r="AA48" s="4">
        <f>IF(ISNUMBER(benefit_original!AA48),benefit_original!AA48/100000000,benefit_original!AA48)</f>
        <v>0</v>
      </c>
      <c r="AB48" s="4">
        <f>IF(ISNUMBER(benefit_original!AB48),benefit_original!AB48/100000000,benefit_original!AB48)</f>
        <v>0</v>
      </c>
      <c r="AC48" s="4">
        <f>IF(ISNUMBER(benefit_original!AC48),benefit_original!AC48/100000000,benefit_original!AC48)</f>
        <v>0</v>
      </c>
      <c r="AD48" s="4">
        <f>IF(ISNUMBER(benefit_original!AD48),benefit_original!AD48/100000000,benefit_original!AD48)</f>
        <v>0</v>
      </c>
      <c r="AE48" s="4">
        <f>IF(ISNUMBER(benefit_original!AE48),benefit_original!AE48/100000000,benefit_original!AE48)</f>
        <v>0</v>
      </c>
      <c r="AF48" s="4">
        <f>IF(ISNUMBER(benefit_original!AF48),benefit_original!AF48/100000000,benefit_original!AF48)</f>
        <v>0</v>
      </c>
      <c r="AG48" s="4">
        <f>IF(ISNUMBER(benefit_original!AG48),benefit_original!AG48/100000000,benefit_original!AG48)</f>
        <v>0</v>
      </c>
      <c r="AH48" s="4">
        <f>IF(ISNUMBER(benefit_original!AH48),benefit_original!AH48/100000000,benefit_original!AH48)</f>
        <v>0</v>
      </c>
      <c r="AI48" s="4">
        <f>IF(ISNUMBER(benefit_original!AI48),benefit_original!AI48/100000000,benefit_original!AI48)</f>
        <v>0</v>
      </c>
      <c r="AJ48" s="4">
        <f>IF(ISNUMBER(benefit_original!AJ48),benefit_original!AJ48/100000000,benefit_original!AJ48)</f>
        <v>0</v>
      </c>
      <c r="AK48" s="4">
        <f>IF(ISNUMBER(benefit_original!AK48),benefit_original!AK48/100000000,benefit_original!AK48)</f>
        <v>0</v>
      </c>
      <c r="AL48" s="4">
        <f>IF(ISNUMBER(benefit_original!AL48),benefit_original!AL48/100000000,benefit_original!AL48)</f>
        <v>0</v>
      </c>
      <c r="AM48" s="4">
        <f>IF(ISNUMBER(benefit_original!AM48),benefit_original!AM48/100000000,benefit_original!AM48)</f>
        <v>0</v>
      </c>
      <c r="AN48" s="4">
        <f>IF(ISNUMBER(benefit_original!AN48),benefit_original!AN48/100000000,benefit_original!AN48)</f>
        <v>0</v>
      </c>
      <c r="AO48" s="4">
        <f>IF(ISNUMBER(benefit_original!AO48),benefit_original!AO48/100000000,benefit_original!AO48)</f>
        <v>0</v>
      </c>
      <c r="AP48" s="4">
        <f>IF(ISNUMBER(benefit_original!AP48),benefit_original!AP48/100000000,benefit_original!AP48)</f>
        <v>0</v>
      </c>
      <c r="AQ48" s="4">
        <f>IF(ISNUMBER(benefit_original!AQ48),benefit_original!AQ48/100000000,benefit_original!AQ48)</f>
        <v>0</v>
      </c>
    </row>
    <row r="49" spans="2:43" x14ac:dyDescent="0.25">
      <c r="B49" s="4">
        <f>IF(ISNUMBER(benefit_original!B49),benefit_original!B49/100000000,benefit_original!B49)</f>
        <v>0</v>
      </c>
      <c r="C49" s="4">
        <f>IF(ISNUMBER(benefit_original!C49),benefit_original!C49/100000000,benefit_original!C49)</f>
        <v>0</v>
      </c>
      <c r="D49" s="4">
        <f>IF(ISNUMBER(benefit_original!D49),benefit_original!D49/100000000,benefit_original!D49)</f>
        <v>0</v>
      </c>
      <c r="E49" s="4">
        <f>IF(ISNUMBER(benefit_original!E49),benefit_original!E49/100000000,benefit_original!E49)</f>
        <v>0</v>
      </c>
      <c r="F49" s="4">
        <f>IF(ISNUMBER(benefit_original!F49),benefit_original!F49/100000000,benefit_original!F49)</f>
        <v>0</v>
      </c>
      <c r="G49" s="4">
        <f>IF(ISNUMBER(benefit_original!G49),benefit_original!G49/100000000,benefit_original!G49)</f>
        <v>0</v>
      </c>
      <c r="H49" s="4">
        <f>IF(ISNUMBER(benefit_original!H49),benefit_original!H49/100000000,benefit_original!H49)</f>
        <v>0</v>
      </c>
      <c r="I49" s="4">
        <f>IF(ISNUMBER(benefit_original!I49),benefit_original!I49/100000000,benefit_original!I49)</f>
        <v>0</v>
      </c>
      <c r="J49" s="4">
        <f>IF(ISNUMBER(benefit_original!J49),benefit_original!J49/100000000,benefit_original!J49)</f>
        <v>0</v>
      </c>
      <c r="K49" s="4">
        <f>IF(ISNUMBER(benefit_original!K49),benefit_original!K49/100000000,benefit_original!K49)</f>
        <v>0</v>
      </c>
      <c r="L49" s="4">
        <f>IF(ISNUMBER(benefit_original!L49),benefit_original!L49/100000000,benefit_original!L49)</f>
        <v>0</v>
      </c>
      <c r="M49" s="4">
        <f>IF(ISNUMBER(benefit_original!M49),benefit_original!M49/100000000,benefit_original!M49)</f>
        <v>0</v>
      </c>
      <c r="N49" s="4">
        <f>IF(ISNUMBER(benefit_original!N49),benefit_original!N49/100000000,benefit_original!N49)</f>
        <v>0</v>
      </c>
      <c r="O49" s="4">
        <f>IF(ISNUMBER(benefit_original!O49),benefit_original!O49/100000000,benefit_original!O49)</f>
        <v>0</v>
      </c>
      <c r="P49" s="4">
        <f>IF(ISNUMBER(benefit_original!P49),benefit_original!P49/100000000,benefit_original!P49)</f>
        <v>0</v>
      </c>
      <c r="Q49" s="4">
        <f>IF(ISNUMBER(benefit_original!Q49),benefit_original!Q49/100000000,benefit_original!Q49)</f>
        <v>0</v>
      </c>
      <c r="R49" s="4">
        <f>IF(ISNUMBER(benefit_original!R49),benefit_original!R49/100000000,benefit_original!R49)</f>
        <v>0</v>
      </c>
      <c r="S49" s="4">
        <f>IF(ISNUMBER(benefit_original!S49),benefit_original!S49/100000000,benefit_original!S49)</f>
        <v>0</v>
      </c>
      <c r="T49" s="4">
        <f>IF(ISNUMBER(benefit_original!T49),benefit_original!T49/100000000,benefit_original!T49)</f>
        <v>0</v>
      </c>
      <c r="U49" s="4">
        <f>IF(ISNUMBER(benefit_original!U49),benefit_original!U49/100000000,benefit_original!U49)</f>
        <v>0</v>
      </c>
      <c r="V49" s="4">
        <f>IF(ISNUMBER(benefit_original!V49),benefit_original!V49/100000000,benefit_original!V49)</f>
        <v>0</v>
      </c>
      <c r="W49" s="4">
        <f>IF(ISNUMBER(benefit_original!W49),benefit_original!W49/100000000,benefit_original!W49)</f>
        <v>0</v>
      </c>
      <c r="X49" s="4">
        <f>IF(ISNUMBER(benefit_original!X49),benefit_original!X49/100000000,benefit_original!X49)</f>
        <v>0</v>
      </c>
      <c r="Y49" s="4">
        <f>IF(ISNUMBER(benefit_original!Y49),benefit_original!Y49/100000000,benefit_original!Y49)</f>
        <v>0</v>
      </c>
      <c r="Z49" s="4">
        <f>IF(ISNUMBER(benefit_original!Z49),benefit_original!Z49/100000000,benefit_original!Z49)</f>
        <v>0</v>
      </c>
      <c r="AA49" s="4">
        <f>IF(ISNUMBER(benefit_original!AA49),benefit_original!AA49/100000000,benefit_original!AA49)</f>
        <v>0</v>
      </c>
      <c r="AB49" s="4">
        <f>IF(ISNUMBER(benefit_original!AB49),benefit_original!AB49/100000000,benefit_original!AB49)</f>
        <v>0</v>
      </c>
      <c r="AC49" s="4">
        <f>IF(ISNUMBER(benefit_original!AC49),benefit_original!AC49/100000000,benefit_original!AC49)</f>
        <v>0</v>
      </c>
      <c r="AD49" s="4">
        <f>IF(ISNUMBER(benefit_original!AD49),benefit_original!AD49/100000000,benefit_original!AD49)</f>
        <v>0</v>
      </c>
      <c r="AE49" s="4">
        <f>IF(ISNUMBER(benefit_original!AE49),benefit_original!AE49/100000000,benefit_original!AE49)</f>
        <v>0</v>
      </c>
      <c r="AF49" s="4">
        <f>IF(ISNUMBER(benefit_original!AF49),benefit_original!AF49/100000000,benefit_original!AF49)</f>
        <v>0</v>
      </c>
      <c r="AG49" s="4">
        <f>IF(ISNUMBER(benefit_original!AG49),benefit_original!AG49/100000000,benefit_original!AG49)</f>
        <v>0</v>
      </c>
      <c r="AH49" s="4">
        <f>IF(ISNUMBER(benefit_original!AH49),benefit_original!AH49/100000000,benefit_original!AH49)</f>
        <v>0</v>
      </c>
      <c r="AI49" s="4">
        <f>IF(ISNUMBER(benefit_original!AI49),benefit_original!AI49/100000000,benefit_original!AI49)</f>
        <v>0</v>
      </c>
      <c r="AJ49" s="4">
        <f>IF(ISNUMBER(benefit_original!AJ49),benefit_original!AJ49/100000000,benefit_original!AJ49)</f>
        <v>0</v>
      </c>
      <c r="AK49" s="4">
        <f>IF(ISNUMBER(benefit_original!AK49),benefit_original!AK49/100000000,benefit_original!AK49)</f>
        <v>0</v>
      </c>
      <c r="AL49" s="4">
        <f>IF(ISNUMBER(benefit_original!AL49),benefit_original!AL49/100000000,benefit_original!AL49)</f>
        <v>0</v>
      </c>
      <c r="AM49" s="4">
        <f>IF(ISNUMBER(benefit_original!AM49),benefit_original!AM49/100000000,benefit_original!AM49)</f>
        <v>0</v>
      </c>
      <c r="AN49" s="4">
        <f>IF(ISNUMBER(benefit_original!AN49),benefit_original!AN49/100000000,benefit_original!AN49)</f>
        <v>0</v>
      </c>
      <c r="AO49" s="4">
        <f>IF(ISNUMBER(benefit_original!AO49),benefit_original!AO49/100000000,benefit_original!AO49)</f>
        <v>0</v>
      </c>
      <c r="AP49" s="4">
        <f>IF(ISNUMBER(benefit_original!AP49),benefit_original!AP49/100000000,benefit_original!AP49)</f>
        <v>0</v>
      </c>
      <c r="AQ49" s="4">
        <f>IF(ISNUMBER(benefit_original!AQ49),benefit_original!AQ49/100000000,benefit_original!AQ49)</f>
        <v>0</v>
      </c>
    </row>
    <row r="50" spans="2:43" x14ac:dyDescent="0.25">
      <c r="B50" s="4">
        <f>IF(ISNUMBER(benefit_original!B50),benefit_original!B50/100000000,benefit_original!B50)</f>
        <v>0</v>
      </c>
      <c r="C50" s="4">
        <f>IF(ISNUMBER(benefit_original!C50),benefit_original!C50/100000000,benefit_original!C50)</f>
        <v>0</v>
      </c>
      <c r="D50" s="4">
        <f>IF(ISNUMBER(benefit_original!D50),benefit_original!D50/100000000,benefit_original!D50)</f>
        <v>0</v>
      </c>
      <c r="E50" s="4">
        <f>IF(ISNUMBER(benefit_original!E50),benefit_original!E50/100000000,benefit_original!E50)</f>
        <v>0</v>
      </c>
      <c r="F50" s="4">
        <f>IF(ISNUMBER(benefit_original!F50),benefit_original!F50/100000000,benefit_original!F50)</f>
        <v>0</v>
      </c>
      <c r="G50" s="4">
        <f>IF(ISNUMBER(benefit_original!G50),benefit_original!G50/100000000,benefit_original!G50)</f>
        <v>0</v>
      </c>
      <c r="H50" s="4">
        <f>IF(ISNUMBER(benefit_original!H50),benefit_original!H50/100000000,benefit_original!H50)</f>
        <v>0</v>
      </c>
      <c r="I50" s="4">
        <f>IF(ISNUMBER(benefit_original!I50),benefit_original!I50/100000000,benefit_original!I50)</f>
        <v>0</v>
      </c>
      <c r="J50" s="4">
        <f>IF(ISNUMBER(benefit_original!J50),benefit_original!J50/100000000,benefit_original!J50)</f>
        <v>0</v>
      </c>
      <c r="K50" s="4">
        <f>IF(ISNUMBER(benefit_original!K50),benefit_original!K50/100000000,benefit_original!K50)</f>
        <v>0</v>
      </c>
      <c r="L50" s="4">
        <f>IF(ISNUMBER(benefit_original!L50),benefit_original!L50/100000000,benefit_original!L50)</f>
        <v>0</v>
      </c>
      <c r="M50" s="4">
        <f>IF(ISNUMBER(benefit_original!M50),benefit_original!M50/100000000,benefit_original!M50)</f>
        <v>0</v>
      </c>
      <c r="N50" s="4">
        <f>IF(ISNUMBER(benefit_original!N50),benefit_original!N50/100000000,benefit_original!N50)</f>
        <v>0</v>
      </c>
      <c r="O50" s="4">
        <f>IF(ISNUMBER(benefit_original!O50),benefit_original!O50/100000000,benefit_original!O50)</f>
        <v>0</v>
      </c>
      <c r="P50" s="4">
        <f>IF(ISNUMBER(benefit_original!P50),benefit_original!P50/100000000,benefit_original!P50)</f>
        <v>0</v>
      </c>
      <c r="Q50" s="4">
        <f>IF(ISNUMBER(benefit_original!Q50),benefit_original!Q50/100000000,benefit_original!Q50)</f>
        <v>0</v>
      </c>
      <c r="R50" s="4">
        <f>IF(ISNUMBER(benefit_original!R50),benefit_original!R50/100000000,benefit_original!R50)</f>
        <v>0</v>
      </c>
      <c r="S50" s="4">
        <f>IF(ISNUMBER(benefit_original!S50),benefit_original!S50/100000000,benefit_original!S50)</f>
        <v>0</v>
      </c>
      <c r="T50" s="4">
        <f>IF(ISNUMBER(benefit_original!T50),benefit_original!T50/100000000,benefit_original!T50)</f>
        <v>0</v>
      </c>
      <c r="U50" s="4">
        <f>IF(ISNUMBER(benefit_original!U50),benefit_original!U50/100000000,benefit_original!U50)</f>
        <v>0</v>
      </c>
      <c r="V50" s="4">
        <f>IF(ISNUMBER(benefit_original!V50),benefit_original!V50/100000000,benefit_original!V50)</f>
        <v>0</v>
      </c>
      <c r="W50" s="4">
        <f>IF(ISNUMBER(benefit_original!W50),benefit_original!W50/100000000,benefit_original!W50)</f>
        <v>0</v>
      </c>
      <c r="X50" s="4">
        <f>IF(ISNUMBER(benefit_original!X50),benefit_original!X50/100000000,benefit_original!X50)</f>
        <v>0</v>
      </c>
      <c r="Y50" s="4">
        <f>IF(ISNUMBER(benefit_original!Y50),benefit_original!Y50/100000000,benefit_original!Y50)</f>
        <v>0</v>
      </c>
      <c r="Z50" s="4">
        <f>IF(ISNUMBER(benefit_original!Z50),benefit_original!Z50/100000000,benefit_original!Z50)</f>
        <v>0</v>
      </c>
      <c r="AA50" s="4">
        <f>IF(ISNUMBER(benefit_original!AA50),benefit_original!AA50/100000000,benefit_original!AA50)</f>
        <v>0</v>
      </c>
      <c r="AB50" s="4">
        <f>IF(ISNUMBER(benefit_original!AB50),benefit_original!AB50/100000000,benefit_original!AB50)</f>
        <v>0</v>
      </c>
      <c r="AC50" s="4">
        <f>IF(ISNUMBER(benefit_original!AC50),benefit_original!AC50/100000000,benefit_original!AC50)</f>
        <v>0</v>
      </c>
      <c r="AD50" s="4">
        <f>IF(ISNUMBER(benefit_original!AD50),benefit_original!AD50/100000000,benefit_original!AD50)</f>
        <v>0</v>
      </c>
      <c r="AE50" s="4">
        <f>IF(ISNUMBER(benefit_original!AE50),benefit_original!AE50/100000000,benefit_original!AE50)</f>
        <v>0</v>
      </c>
      <c r="AF50" s="4">
        <f>IF(ISNUMBER(benefit_original!AF50),benefit_original!AF50/100000000,benefit_original!AF50)</f>
        <v>0</v>
      </c>
      <c r="AG50" s="4">
        <f>IF(ISNUMBER(benefit_original!AG50),benefit_original!AG50/100000000,benefit_original!AG50)</f>
        <v>0</v>
      </c>
      <c r="AH50" s="4">
        <f>IF(ISNUMBER(benefit_original!AH50),benefit_original!AH50/100000000,benefit_original!AH50)</f>
        <v>0</v>
      </c>
      <c r="AI50" s="4">
        <f>IF(ISNUMBER(benefit_original!AI50),benefit_original!AI50/100000000,benefit_original!AI50)</f>
        <v>0</v>
      </c>
      <c r="AJ50" s="4">
        <f>IF(ISNUMBER(benefit_original!AJ50),benefit_original!AJ50/100000000,benefit_original!AJ50)</f>
        <v>0</v>
      </c>
      <c r="AK50" s="4">
        <f>IF(ISNUMBER(benefit_original!AK50),benefit_original!AK50/100000000,benefit_original!AK50)</f>
        <v>0</v>
      </c>
      <c r="AL50" s="4">
        <f>IF(ISNUMBER(benefit_original!AL50),benefit_original!AL50/100000000,benefit_original!AL50)</f>
        <v>0</v>
      </c>
      <c r="AM50" s="4">
        <f>IF(ISNUMBER(benefit_original!AM50),benefit_original!AM50/100000000,benefit_original!AM50)</f>
        <v>0</v>
      </c>
      <c r="AN50" s="4">
        <f>IF(ISNUMBER(benefit_original!AN50),benefit_original!AN50/100000000,benefit_original!AN50)</f>
        <v>0</v>
      </c>
      <c r="AO50" s="4">
        <f>IF(ISNUMBER(benefit_original!AO50),benefit_original!AO50/100000000,benefit_original!AO50)</f>
        <v>0</v>
      </c>
      <c r="AP50" s="4">
        <f>IF(ISNUMBER(benefit_original!AP50),benefit_original!AP50/100000000,benefit_original!AP50)</f>
        <v>0</v>
      </c>
      <c r="AQ50" s="4">
        <f>IF(ISNUMBER(benefit_original!AQ50),benefit_original!AQ50/100000000,benefit_original!AQ50)</f>
        <v>0</v>
      </c>
    </row>
    <row r="51" spans="2:43" x14ac:dyDescent="0.25">
      <c r="B51" s="4">
        <f>IF(ISNUMBER(benefit_original!B51),benefit_original!B51/100000000,benefit_original!B51)</f>
        <v>0</v>
      </c>
      <c r="C51" s="4">
        <f>IF(ISNUMBER(benefit_original!C51),benefit_original!C51/100000000,benefit_original!C51)</f>
        <v>0</v>
      </c>
      <c r="D51" s="4">
        <f>IF(ISNUMBER(benefit_original!D51),benefit_original!D51/100000000,benefit_original!D51)</f>
        <v>0</v>
      </c>
      <c r="E51" s="4">
        <f>IF(ISNUMBER(benefit_original!E51),benefit_original!E51/100000000,benefit_original!E51)</f>
        <v>0</v>
      </c>
      <c r="F51" s="4">
        <f>IF(ISNUMBER(benefit_original!F51),benefit_original!F51/100000000,benefit_original!F51)</f>
        <v>0</v>
      </c>
      <c r="G51" s="4">
        <f>IF(ISNUMBER(benefit_original!G51),benefit_original!G51/100000000,benefit_original!G51)</f>
        <v>0</v>
      </c>
      <c r="H51" s="4">
        <f>IF(ISNUMBER(benefit_original!H51),benefit_original!H51/100000000,benefit_original!H51)</f>
        <v>0</v>
      </c>
      <c r="I51" s="4">
        <f>IF(ISNUMBER(benefit_original!I51),benefit_original!I51/100000000,benefit_original!I51)</f>
        <v>0</v>
      </c>
      <c r="J51" s="4">
        <f>IF(ISNUMBER(benefit_original!J51),benefit_original!J51/100000000,benefit_original!J51)</f>
        <v>0</v>
      </c>
      <c r="K51" s="4">
        <f>IF(ISNUMBER(benefit_original!K51),benefit_original!K51/100000000,benefit_original!K51)</f>
        <v>0</v>
      </c>
      <c r="L51" s="4">
        <f>IF(ISNUMBER(benefit_original!L51),benefit_original!L51/100000000,benefit_original!L51)</f>
        <v>0</v>
      </c>
      <c r="M51" s="4">
        <f>IF(ISNUMBER(benefit_original!M51),benefit_original!M51/100000000,benefit_original!M51)</f>
        <v>0</v>
      </c>
      <c r="N51" s="4">
        <f>IF(ISNUMBER(benefit_original!N51),benefit_original!N51/100000000,benefit_original!N51)</f>
        <v>0</v>
      </c>
      <c r="O51" s="4">
        <f>IF(ISNUMBER(benefit_original!O51),benefit_original!O51/100000000,benefit_original!O51)</f>
        <v>0</v>
      </c>
      <c r="P51" s="4">
        <f>IF(ISNUMBER(benefit_original!P51),benefit_original!P51/100000000,benefit_original!P51)</f>
        <v>0</v>
      </c>
      <c r="Q51" s="4">
        <f>IF(ISNUMBER(benefit_original!Q51),benefit_original!Q51/100000000,benefit_original!Q51)</f>
        <v>0</v>
      </c>
      <c r="R51" s="4">
        <f>IF(ISNUMBER(benefit_original!R51),benefit_original!R51/100000000,benefit_original!R51)</f>
        <v>0</v>
      </c>
      <c r="S51" s="4">
        <f>IF(ISNUMBER(benefit_original!S51),benefit_original!S51/100000000,benefit_original!S51)</f>
        <v>0</v>
      </c>
      <c r="T51" s="4">
        <f>IF(ISNUMBER(benefit_original!T51),benefit_original!T51/100000000,benefit_original!T51)</f>
        <v>0</v>
      </c>
      <c r="U51" s="4">
        <f>IF(ISNUMBER(benefit_original!U51),benefit_original!U51/100000000,benefit_original!U51)</f>
        <v>0</v>
      </c>
      <c r="V51" s="4">
        <f>IF(ISNUMBER(benefit_original!V51),benefit_original!V51/100000000,benefit_original!V51)</f>
        <v>0</v>
      </c>
      <c r="W51" s="4">
        <f>IF(ISNUMBER(benefit_original!W51),benefit_original!W51/100000000,benefit_original!W51)</f>
        <v>0</v>
      </c>
      <c r="X51" s="4">
        <f>IF(ISNUMBER(benefit_original!X51),benefit_original!X51/100000000,benefit_original!X51)</f>
        <v>0</v>
      </c>
      <c r="Y51" s="4">
        <f>IF(ISNUMBER(benefit_original!Y51),benefit_original!Y51/100000000,benefit_original!Y51)</f>
        <v>0</v>
      </c>
      <c r="Z51" s="4">
        <f>IF(ISNUMBER(benefit_original!Z51),benefit_original!Z51/100000000,benefit_original!Z51)</f>
        <v>0</v>
      </c>
      <c r="AA51" s="4">
        <f>IF(ISNUMBER(benefit_original!AA51),benefit_original!AA51/100000000,benefit_original!AA51)</f>
        <v>0</v>
      </c>
      <c r="AB51" s="4">
        <f>IF(ISNUMBER(benefit_original!AB51),benefit_original!AB51/100000000,benefit_original!AB51)</f>
        <v>0</v>
      </c>
      <c r="AC51" s="4">
        <f>IF(ISNUMBER(benefit_original!AC51),benefit_original!AC51/100000000,benefit_original!AC51)</f>
        <v>0</v>
      </c>
      <c r="AD51" s="4">
        <f>IF(ISNUMBER(benefit_original!AD51),benefit_original!AD51/100000000,benefit_original!AD51)</f>
        <v>0</v>
      </c>
      <c r="AE51" s="4">
        <f>IF(ISNUMBER(benefit_original!AE51),benefit_original!AE51/100000000,benefit_original!AE51)</f>
        <v>0</v>
      </c>
      <c r="AF51" s="4">
        <f>IF(ISNUMBER(benefit_original!AF51),benefit_original!AF51/100000000,benefit_original!AF51)</f>
        <v>0</v>
      </c>
      <c r="AG51" s="4">
        <f>IF(ISNUMBER(benefit_original!AG51),benefit_original!AG51/100000000,benefit_original!AG51)</f>
        <v>0</v>
      </c>
      <c r="AH51" s="4">
        <f>IF(ISNUMBER(benefit_original!AH51),benefit_original!AH51/100000000,benefit_original!AH51)</f>
        <v>0</v>
      </c>
      <c r="AI51" s="4">
        <f>IF(ISNUMBER(benefit_original!AI51),benefit_original!AI51/100000000,benefit_original!AI51)</f>
        <v>0</v>
      </c>
      <c r="AJ51" s="4">
        <f>IF(ISNUMBER(benefit_original!AJ51),benefit_original!AJ51/100000000,benefit_original!AJ51)</f>
        <v>0</v>
      </c>
      <c r="AK51" s="4">
        <f>IF(ISNUMBER(benefit_original!AK51),benefit_original!AK51/100000000,benefit_original!AK51)</f>
        <v>0</v>
      </c>
      <c r="AL51" s="4">
        <f>IF(ISNUMBER(benefit_original!AL51),benefit_original!AL51/100000000,benefit_original!AL51)</f>
        <v>0</v>
      </c>
      <c r="AM51" s="4">
        <f>IF(ISNUMBER(benefit_original!AM51),benefit_original!AM51/100000000,benefit_original!AM51)</f>
        <v>0</v>
      </c>
      <c r="AN51" s="4">
        <f>IF(ISNUMBER(benefit_original!AN51),benefit_original!AN51/100000000,benefit_original!AN51)</f>
        <v>0</v>
      </c>
      <c r="AO51" s="4">
        <f>IF(ISNUMBER(benefit_original!AO51),benefit_original!AO51/100000000,benefit_original!AO51)</f>
        <v>0</v>
      </c>
      <c r="AP51" s="4">
        <f>IF(ISNUMBER(benefit_original!AP51),benefit_original!AP51/100000000,benefit_original!AP51)</f>
        <v>0</v>
      </c>
      <c r="AQ51" s="4">
        <f>IF(ISNUMBER(benefit_original!AQ51),benefit_original!AQ51/100000000,benefit_original!AQ51)</f>
        <v>0</v>
      </c>
    </row>
    <row r="52" spans="2:43" x14ac:dyDescent="0.25">
      <c r="B52" s="4">
        <f>IF(ISNUMBER(benefit_original!B52),benefit_original!B52/100000000,benefit_original!B52)</f>
        <v>0</v>
      </c>
      <c r="C52" s="4">
        <f>IF(ISNUMBER(benefit_original!C52),benefit_original!C52/100000000,benefit_original!C52)</f>
        <v>0</v>
      </c>
      <c r="D52" s="4">
        <f>IF(ISNUMBER(benefit_original!D52),benefit_original!D52/100000000,benefit_original!D52)</f>
        <v>0</v>
      </c>
      <c r="E52" s="4">
        <f>IF(ISNUMBER(benefit_original!E52),benefit_original!E52/100000000,benefit_original!E52)</f>
        <v>0</v>
      </c>
      <c r="F52" s="4">
        <f>IF(ISNUMBER(benefit_original!F52),benefit_original!F52/100000000,benefit_original!F52)</f>
        <v>0</v>
      </c>
      <c r="G52" s="4">
        <f>IF(ISNUMBER(benefit_original!G52),benefit_original!G52/100000000,benefit_original!G52)</f>
        <v>0</v>
      </c>
      <c r="H52" s="4">
        <f>IF(ISNUMBER(benefit_original!H52),benefit_original!H52/100000000,benefit_original!H52)</f>
        <v>0</v>
      </c>
      <c r="I52" s="4">
        <f>IF(ISNUMBER(benefit_original!I52),benefit_original!I52/100000000,benefit_original!I52)</f>
        <v>0</v>
      </c>
      <c r="J52" s="4">
        <f>IF(ISNUMBER(benefit_original!J52),benefit_original!J52/100000000,benefit_original!J52)</f>
        <v>0</v>
      </c>
      <c r="K52" s="4">
        <f>IF(ISNUMBER(benefit_original!K52),benefit_original!K52/100000000,benefit_original!K52)</f>
        <v>0</v>
      </c>
      <c r="L52" s="4">
        <f>IF(ISNUMBER(benefit_original!L52),benefit_original!L52/100000000,benefit_original!L52)</f>
        <v>0</v>
      </c>
      <c r="M52" s="4">
        <f>IF(ISNUMBER(benefit_original!M52),benefit_original!M52/100000000,benefit_original!M52)</f>
        <v>0</v>
      </c>
      <c r="N52" s="4">
        <f>IF(ISNUMBER(benefit_original!N52),benefit_original!N52/100000000,benefit_original!N52)</f>
        <v>0</v>
      </c>
      <c r="O52" s="4">
        <f>IF(ISNUMBER(benefit_original!O52),benefit_original!O52/100000000,benefit_original!O52)</f>
        <v>0</v>
      </c>
      <c r="P52" s="4">
        <f>IF(ISNUMBER(benefit_original!P52),benefit_original!P52/100000000,benefit_original!P52)</f>
        <v>0</v>
      </c>
      <c r="Q52" s="4">
        <f>IF(ISNUMBER(benefit_original!Q52),benefit_original!Q52/100000000,benefit_original!Q52)</f>
        <v>0</v>
      </c>
      <c r="R52" s="4">
        <f>IF(ISNUMBER(benefit_original!R52),benefit_original!R52/100000000,benefit_original!R52)</f>
        <v>0</v>
      </c>
      <c r="S52" s="4">
        <f>IF(ISNUMBER(benefit_original!S52),benefit_original!S52/100000000,benefit_original!S52)</f>
        <v>0</v>
      </c>
      <c r="T52" s="4">
        <f>IF(ISNUMBER(benefit_original!T52),benefit_original!T52/100000000,benefit_original!T52)</f>
        <v>0</v>
      </c>
      <c r="U52" s="4">
        <f>IF(ISNUMBER(benefit_original!U52),benefit_original!U52/100000000,benefit_original!U52)</f>
        <v>0</v>
      </c>
      <c r="V52" s="4">
        <f>IF(ISNUMBER(benefit_original!V52),benefit_original!V52/100000000,benefit_original!V52)</f>
        <v>0</v>
      </c>
      <c r="W52" s="4">
        <f>IF(ISNUMBER(benefit_original!W52),benefit_original!W52/100000000,benefit_original!W52)</f>
        <v>0</v>
      </c>
      <c r="X52" s="4">
        <f>IF(ISNUMBER(benefit_original!X52),benefit_original!X52/100000000,benefit_original!X52)</f>
        <v>0</v>
      </c>
      <c r="Y52" s="4">
        <f>IF(ISNUMBER(benefit_original!Y52),benefit_original!Y52/100000000,benefit_original!Y52)</f>
        <v>0</v>
      </c>
      <c r="Z52" s="4">
        <f>IF(ISNUMBER(benefit_original!Z52),benefit_original!Z52/100000000,benefit_original!Z52)</f>
        <v>0</v>
      </c>
      <c r="AA52" s="4">
        <f>IF(ISNUMBER(benefit_original!AA52),benefit_original!AA52/100000000,benefit_original!AA52)</f>
        <v>0</v>
      </c>
      <c r="AB52" s="4">
        <f>IF(ISNUMBER(benefit_original!AB52),benefit_original!AB52/100000000,benefit_original!AB52)</f>
        <v>0</v>
      </c>
      <c r="AC52" s="4">
        <f>IF(ISNUMBER(benefit_original!AC52),benefit_original!AC52/100000000,benefit_original!AC52)</f>
        <v>0</v>
      </c>
      <c r="AD52" s="4">
        <f>IF(ISNUMBER(benefit_original!AD52),benefit_original!AD52/100000000,benefit_original!AD52)</f>
        <v>0</v>
      </c>
      <c r="AE52" s="4">
        <f>IF(ISNUMBER(benefit_original!AE52),benefit_original!AE52/100000000,benefit_original!AE52)</f>
        <v>0</v>
      </c>
      <c r="AF52" s="4">
        <f>IF(ISNUMBER(benefit_original!AF52),benefit_original!AF52/100000000,benefit_original!AF52)</f>
        <v>0</v>
      </c>
      <c r="AG52" s="4">
        <f>IF(ISNUMBER(benefit_original!AG52),benefit_original!AG52/100000000,benefit_original!AG52)</f>
        <v>0</v>
      </c>
      <c r="AH52" s="4">
        <f>IF(ISNUMBER(benefit_original!AH52),benefit_original!AH52/100000000,benefit_original!AH52)</f>
        <v>0</v>
      </c>
      <c r="AI52" s="4">
        <f>IF(ISNUMBER(benefit_original!AI52),benefit_original!AI52/100000000,benefit_original!AI52)</f>
        <v>0</v>
      </c>
      <c r="AJ52" s="4">
        <f>IF(ISNUMBER(benefit_original!AJ52),benefit_original!AJ52/100000000,benefit_original!AJ52)</f>
        <v>0</v>
      </c>
      <c r="AK52" s="4">
        <f>IF(ISNUMBER(benefit_original!AK52),benefit_original!AK52/100000000,benefit_original!AK52)</f>
        <v>0</v>
      </c>
      <c r="AL52" s="4">
        <f>IF(ISNUMBER(benefit_original!AL52),benefit_original!AL52/100000000,benefit_original!AL52)</f>
        <v>0</v>
      </c>
      <c r="AM52" s="4">
        <f>IF(ISNUMBER(benefit_original!AM52),benefit_original!AM52/100000000,benefit_original!AM52)</f>
        <v>0</v>
      </c>
      <c r="AN52" s="4">
        <f>IF(ISNUMBER(benefit_original!AN52),benefit_original!AN52/100000000,benefit_original!AN52)</f>
        <v>0</v>
      </c>
      <c r="AO52" s="4">
        <f>IF(ISNUMBER(benefit_original!AO52),benefit_original!AO52/100000000,benefit_original!AO52)</f>
        <v>0</v>
      </c>
      <c r="AP52" s="4">
        <f>IF(ISNUMBER(benefit_original!AP52),benefit_original!AP52/100000000,benefit_original!AP52)</f>
        <v>0</v>
      </c>
      <c r="AQ52" s="4">
        <f>IF(ISNUMBER(benefit_original!AQ52),benefit_original!AQ52/100000000,benefit_original!AQ52)</f>
        <v>0</v>
      </c>
    </row>
    <row r="53" spans="2:43" x14ac:dyDescent="0.25">
      <c r="B53" s="4">
        <f>IF(ISNUMBER(benefit_original!B53),benefit_original!B53/100000000,benefit_original!B53)</f>
        <v>0</v>
      </c>
      <c r="C53" s="4">
        <f>IF(ISNUMBER(benefit_original!C53),benefit_original!C53/100000000,benefit_original!C53)</f>
        <v>0</v>
      </c>
      <c r="D53" s="4">
        <f>IF(ISNUMBER(benefit_original!D53),benefit_original!D53/100000000,benefit_original!D53)</f>
        <v>0</v>
      </c>
      <c r="E53" s="4">
        <f>IF(ISNUMBER(benefit_original!E53),benefit_original!E53/100000000,benefit_original!E53)</f>
        <v>0</v>
      </c>
      <c r="F53" s="4">
        <f>IF(ISNUMBER(benefit_original!F53),benefit_original!F53/100000000,benefit_original!F53)</f>
        <v>0</v>
      </c>
      <c r="G53" s="4">
        <f>IF(ISNUMBER(benefit_original!G53),benefit_original!G53/100000000,benefit_original!G53)</f>
        <v>0</v>
      </c>
      <c r="H53" s="4">
        <f>IF(ISNUMBER(benefit_original!H53),benefit_original!H53/100000000,benefit_original!H53)</f>
        <v>0</v>
      </c>
      <c r="I53" s="4">
        <f>IF(ISNUMBER(benefit_original!I53),benefit_original!I53/100000000,benefit_original!I53)</f>
        <v>0</v>
      </c>
      <c r="J53" s="4">
        <f>IF(ISNUMBER(benefit_original!J53),benefit_original!J53/100000000,benefit_original!J53)</f>
        <v>0</v>
      </c>
      <c r="K53" s="4">
        <f>IF(ISNUMBER(benefit_original!K53),benefit_original!K53/100000000,benefit_original!K53)</f>
        <v>0</v>
      </c>
      <c r="L53" s="4">
        <f>IF(ISNUMBER(benefit_original!L53),benefit_original!L53/100000000,benefit_original!L53)</f>
        <v>0</v>
      </c>
      <c r="M53" s="4">
        <f>IF(ISNUMBER(benefit_original!M53),benefit_original!M53/100000000,benefit_original!M53)</f>
        <v>0</v>
      </c>
      <c r="N53" s="4">
        <f>IF(ISNUMBER(benefit_original!N53),benefit_original!N53/100000000,benefit_original!N53)</f>
        <v>0</v>
      </c>
      <c r="O53" s="4">
        <f>IF(ISNUMBER(benefit_original!O53),benefit_original!O53/100000000,benefit_original!O53)</f>
        <v>0</v>
      </c>
      <c r="P53" s="4">
        <f>IF(ISNUMBER(benefit_original!P53),benefit_original!P53/100000000,benefit_original!P53)</f>
        <v>0</v>
      </c>
      <c r="Q53" s="4">
        <f>IF(ISNUMBER(benefit_original!Q53),benefit_original!Q53/100000000,benefit_original!Q53)</f>
        <v>0</v>
      </c>
      <c r="R53" s="4">
        <f>IF(ISNUMBER(benefit_original!R53),benefit_original!R53/100000000,benefit_original!R53)</f>
        <v>0</v>
      </c>
      <c r="S53" s="4">
        <f>IF(ISNUMBER(benefit_original!S53),benefit_original!S53/100000000,benefit_original!S53)</f>
        <v>0</v>
      </c>
      <c r="T53" s="4">
        <f>IF(ISNUMBER(benefit_original!T53),benefit_original!T53/100000000,benefit_original!T53)</f>
        <v>0</v>
      </c>
      <c r="U53" s="4">
        <f>IF(ISNUMBER(benefit_original!U53),benefit_original!U53/100000000,benefit_original!U53)</f>
        <v>0</v>
      </c>
      <c r="V53" s="4">
        <f>IF(ISNUMBER(benefit_original!V53),benefit_original!V53/100000000,benefit_original!V53)</f>
        <v>0</v>
      </c>
      <c r="W53" s="4">
        <f>IF(ISNUMBER(benefit_original!W53),benefit_original!W53/100000000,benefit_original!W53)</f>
        <v>0</v>
      </c>
      <c r="X53" s="4">
        <f>IF(ISNUMBER(benefit_original!X53),benefit_original!X53/100000000,benefit_original!X53)</f>
        <v>0</v>
      </c>
      <c r="Y53" s="4">
        <f>IF(ISNUMBER(benefit_original!Y53),benefit_original!Y53/100000000,benefit_original!Y53)</f>
        <v>0</v>
      </c>
      <c r="Z53" s="4">
        <f>IF(ISNUMBER(benefit_original!Z53),benefit_original!Z53/100000000,benefit_original!Z53)</f>
        <v>0</v>
      </c>
      <c r="AA53" s="4">
        <f>IF(ISNUMBER(benefit_original!AA53),benefit_original!AA53/100000000,benefit_original!AA53)</f>
        <v>0</v>
      </c>
      <c r="AB53" s="4">
        <f>IF(ISNUMBER(benefit_original!AB53),benefit_original!AB53/100000000,benefit_original!AB53)</f>
        <v>0</v>
      </c>
      <c r="AC53" s="4">
        <f>IF(ISNUMBER(benefit_original!AC53),benefit_original!AC53/100000000,benefit_original!AC53)</f>
        <v>0</v>
      </c>
      <c r="AD53" s="4">
        <f>IF(ISNUMBER(benefit_original!AD53),benefit_original!AD53/100000000,benefit_original!AD53)</f>
        <v>0</v>
      </c>
      <c r="AE53" s="4">
        <f>IF(ISNUMBER(benefit_original!AE53),benefit_original!AE53/100000000,benefit_original!AE53)</f>
        <v>0</v>
      </c>
      <c r="AF53" s="4">
        <f>IF(ISNUMBER(benefit_original!AF53),benefit_original!AF53/100000000,benefit_original!AF53)</f>
        <v>0</v>
      </c>
      <c r="AG53" s="4">
        <f>IF(ISNUMBER(benefit_original!AG53),benefit_original!AG53/100000000,benefit_original!AG53)</f>
        <v>0</v>
      </c>
      <c r="AH53" s="4">
        <f>IF(ISNUMBER(benefit_original!AH53),benefit_original!AH53/100000000,benefit_original!AH53)</f>
        <v>0</v>
      </c>
      <c r="AI53" s="4">
        <f>IF(ISNUMBER(benefit_original!AI53),benefit_original!AI53/100000000,benefit_original!AI53)</f>
        <v>0</v>
      </c>
      <c r="AJ53" s="4">
        <f>IF(ISNUMBER(benefit_original!AJ53),benefit_original!AJ53/100000000,benefit_original!AJ53)</f>
        <v>0</v>
      </c>
      <c r="AK53" s="4">
        <f>IF(ISNUMBER(benefit_original!AK53),benefit_original!AK53/100000000,benefit_original!AK53)</f>
        <v>0</v>
      </c>
      <c r="AL53" s="4">
        <f>IF(ISNUMBER(benefit_original!AL53),benefit_original!AL53/100000000,benefit_original!AL53)</f>
        <v>0</v>
      </c>
      <c r="AM53" s="4">
        <f>IF(ISNUMBER(benefit_original!AM53),benefit_original!AM53/100000000,benefit_original!AM53)</f>
        <v>0</v>
      </c>
      <c r="AN53" s="4">
        <f>IF(ISNUMBER(benefit_original!AN53),benefit_original!AN53/100000000,benefit_original!AN53)</f>
        <v>0</v>
      </c>
      <c r="AO53" s="4">
        <f>IF(ISNUMBER(benefit_original!AO53),benefit_original!AO53/100000000,benefit_original!AO53)</f>
        <v>0</v>
      </c>
      <c r="AP53" s="4">
        <f>IF(ISNUMBER(benefit_original!AP53),benefit_original!AP53/100000000,benefit_original!AP53)</f>
        <v>0</v>
      </c>
      <c r="AQ53" s="4">
        <f>IF(ISNUMBER(benefit_original!AQ53),benefit_original!AQ53/100000000,benefit_original!AQ53)</f>
        <v>0</v>
      </c>
    </row>
    <row r="54" spans="2:43" x14ac:dyDescent="0.25">
      <c r="B54" s="4">
        <f>IF(ISNUMBER(benefit_original!B54),benefit_original!B54/100000000,benefit_original!B54)</f>
        <v>0</v>
      </c>
      <c r="C54" s="4">
        <f>IF(ISNUMBER(benefit_original!C54),benefit_original!C54/100000000,benefit_original!C54)</f>
        <v>0</v>
      </c>
      <c r="D54" s="4">
        <f>IF(ISNUMBER(benefit_original!D54),benefit_original!D54/100000000,benefit_original!D54)</f>
        <v>0</v>
      </c>
      <c r="E54" s="4">
        <f>IF(ISNUMBER(benefit_original!E54),benefit_original!E54/100000000,benefit_original!E54)</f>
        <v>0</v>
      </c>
      <c r="F54" s="4">
        <f>IF(ISNUMBER(benefit_original!F54),benefit_original!F54/100000000,benefit_original!F54)</f>
        <v>0</v>
      </c>
      <c r="G54" s="4">
        <f>IF(ISNUMBER(benefit_original!G54),benefit_original!G54/100000000,benefit_original!G54)</f>
        <v>0</v>
      </c>
      <c r="H54" s="4">
        <f>IF(ISNUMBER(benefit_original!H54),benefit_original!H54/100000000,benefit_original!H54)</f>
        <v>0</v>
      </c>
      <c r="I54" s="4">
        <f>IF(ISNUMBER(benefit_original!I54),benefit_original!I54/100000000,benefit_original!I54)</f>
        <v>0</v>
      </c>
      <c r="J54" s="4">
        <f>IF(ISNUMBER(benefit_original!J54),benefit_original!J54/100000000,benefit_original!J54)</f>
        <v>0</v>
      </c>
      <c r="K54" s="4">
        <f>IF(ISNUMBER(benefit_original!K54),benefit_original!K54/100000000,benefit_original!K54)</f>
        <v>0</v>
      </c>
      <c r="L54" s="4">
        <f>IF(ISNUMBER(benefit_original!L54),benefit_original!L54/100000000,benefit_original!L54)</f>
        <v>0</v>
      </c>
      <c r="M54" s="4">
        <f>IF(ISNUMBER(benefit_original!M54),benefit_original!M54/100000000,benefit_original!M54)</f>
        <v>0</v>
      </c>
      <c r="N54" s="4">
        <f>IF(ISNUMBER(benefit_original!N54),benefit_original!N54/100000000,benefit_original!N54)</f>
        <v>0</v>
      </c>
      <c r="O54" s="4">
        <f>IF(ISNUMBER(benefit_original!O54),benefit_original!O54/100000000,benefit_original!O54)</f>
        <v>0</v>
      </c>
      <c r="P54" s="4">
        <f>IF(ISNUMBER(benefit_original!P54),benefit_original!P54/100000000,benefit_original!P54)</f>
        <v>0</v>
      </c>
      <c r="Q54" s="4">
        <f>IF(ISNUMBER(benefit_original!Q54),benefit_original!Q54/100000000,benefit_original!Q54)</f>
        <v>0</v>
      </c>
      <c r="R54" s="4">
        <f>IF(ISNUMBER(benefit_original!R54),benefit_original!R54/100000000,benefit_original!R54)</f>
        <v>0</v>
      </c>
      <c r="S54" s="4">
        <f>IF(ISNUMBER(benefit_original!S54),benefit_original!S54/100000000,benefit_original!S54)</f>
        <v>0</v>
      </c>
      <c r="T54" s="4">
        <f>IF(ISNUMBER(benefit_original!T54),benefit_original!T54/100000000,benefit_original!T54)</f>
        <v>0</v>
      </c>
      <c r="U54" s="4">
        <f>IF(ISNUMBER(benefit_original!U54),benefit_original!U54/100000000,benefit_original!U54)</f>
        <v>0</v>
      </c>
      <c r="V54" s="4">
        <f>IF(ISNUMBER(benefit_original!V54),benefit_original!V54/100000000,benefit_original!V54)</f>
        <v>0</v>
      </c>
      <c r="W54" s="4">
        <f>IF(ISNUMBER(benefit_original!W54),benefit_original!W54/100000000,benefit_original!W54)</f>
        <v>0</v>
      </c>
      <c r="X54" s="4">
        <f>IF(ISNUMBER(benefit_original!X54),benefit_original!X54/100000000,benefit_original!X54)</f>
        <v>0</v>
      </c>
      <c r="Y54" s="4">
        <f>IF(ISNUMBER(benefit_original!Y54),benefit_original!Y54/100000000,benefit_original!Y54)</f>
        <v>0</v>
      </c>
      <c r="Z54" s="4">
        <f>IF(ISNUMBER(benefit_original!Z54),benefit_original!Z54/100000000,benefit_original!Z54)</f>
        <v>0</v>
      </c>
      <c r="AA54" s="4">
        <f>IF(ISNUMBER(benefit_original!AA54),benefit_original!AA54/100000000,benefit_original!AA54)</f>
        <v>0</v>
      </c>
      <c r="AB54" s="4">
        <f>IF(ISNUMBER(benefit_original!AB54),benefit_original!AB54/100000000,benefit_original!AB54)</f>
        <v>0</v>
      </c>
      <c r="AC54" s="4">
        <f>IF(ISNUMBER(benefit_original!AC54),benefit_original!AC54/100000000,benefit_original!AC54)</f>
        <v>0</v>
      </c>
      <c r="AD54" s="4">
        <f>IF(ISNUMBER(benefit_original!AD54),benefit_original!AD54/100000000,benefit_original!AD54)</f>
        <v>0</v>
      </c>
      <c r="AE54" s="4">
        <f>IF(ISNUMBER(benefit_original!AE54),benefit_original!AE54/100000000,benefit_original!AE54)</f>
        <v>0</v>
      </c>
      <c r="AF54" s="4">
        <f>IF(ISNUMBER(benefit_original!AF54),benefit_original!AF54/100000000,benefit_original!AF54)</f>
        <v>0</v>
      </c>
      <c r="AG54" s="4">
        <f>IF(ISNUMBER(benefit_original!AG54),benefit_original!AG54/100000000,benefit_original!AG54)</f>
        <v>0</v>
      </c>
      <c r="AH54" s="4">
        <f>IF(ISNUMBER(benefit_original!AH54),benefit_original!AH54/100000000,benefit_original!AH54)</f>
        <v>0</v>
      </c>
      <c r="AI54" s="4">
        <f>IF(ISNUMBER(benefit_original!AI54),benefit_original!AI54/100000000,benefit_original!AI54)</f>
        <v>0</v>
      </c>
      <c r="AJ54" s="4">
        <f>IF(ISNUMBER(benefit_original!AJ54),benefit_original!AJ54/100000000,benefit_original!AJ54)</f>
        <v>0</v>
      </c>
      <c r="AK54" s="4">
        <f>IF(ISNUMBER(benefit_original!AK54),benefit_original!AK54/100000000,benefit_original!AK54)</f>
        <v>0</v>
      </c>
      <c r="AL54" s="4">
        <f>IF(ISNUMBER(benefit_original!AL54),benefit_original!AL54/100000000,benefit_original!AL54)</f>
        <v>0</v>
      </c>
      <c r="AM54" s="4">
        <f>IF(ISNUMBER(benefit_original!AM54),benefit_original!AM54/100000000,benefit_original!AM54)</f>
        <v>0</v>
      </c>
      <c r="AN54" s="4">
        <f>IF(ISNUMBER(benefit_original!AN54),benefit_original!AN54/100000000,benefit_original!AN54)</f>
        <v>0</v>
      </c>
      <c r="AO54" s="4">
        <f>IF(ISNUMBER(benefit_original!AO54),benefit_original!AO54/100000000,benefit_original!AO54)</f>
        <v>0</v>
      </c>
      <c r="AP54" s="4">
        <f>IF(ISNUMBER(benefit_original!AP54),benefit_original!AP54/100000000,benefit_original!AP54)</f>
        <v>0</v>
      </c>
      <c r="AQ54" s="4">
        <f>IF(ISNUMBER(benefit_original!AQ54),benefit_original!AQ54/100000000,benefit_original!AQ54)</f>
        <v>0</v>
      </c>
    </row>
    <row r="55" spans="2:43" x14ac:dyDescent="0.25">
      <c r="B55" s="4">
        <f>IF(ISNUMBER(benefit_original!B55),benefit_original!B55/100000000,benefit_original!B55)</f>
        <v>0</v>
      </c>
      <c r="C55" s="4">
        <f>IF(ISNUMBER(benefit_original!C55),benefit_original!C55/100000000,benefit_original!C55)</f>
        <v>0</v>
      </c>
      <c r="D55" s="4">
        <f>IF(ISNUMBER(benefit_original!D55),benefit_original!D55/100000000,benefit_original!D55)</f>
        <v>0</v>
      </c>
      <c r="E55" s="4">
        <f>IF(ISNUMBER(benefit_original!E55),benefit_original!E55/100000000,benefit_original!E55)</f>
        <v>0</v>
      </c>
      <c r="F55" s="4">
        <f>IF(ISNUMBER(benefit_original!F55),benefit_original!F55/100000000,benefit_original!F55)</f>
        <v>0</v>
      </c>
      <c r="G55" s="4">
        <f>IF(ISNUMBER(benefit_original!G55),benefit_original!G55/100000000,benefit_original!G55)</f>
        <v>0</v>
      </c>
      <c r="H55" s="4">
        <f>IF(ISNUMBER(benefit_original!H55),benefit_original!H55/100000000,benefit_original!H55)</f>
        <v>0</v>
      </c>
      <c r="I55" s="4">
        <f>IF(ISNUMBER(benefit_original!I55),benefit_original!I55/100000000,benefit_original!I55)</f>
        <v>0</v>
      </c>
      <c r="J55" s="4">
        <f>IF(ISNUMBER(benefit_original!J55),benefit_original!J55/100000000,benefit_original!J55)</f>
        <v>0</v>
      </c>
      <c r="K55" s="4">
        <f>IF(ISNUMBER(benefit_original!K55),benefit_original!K55/100000000,benefit_original!K55)</f>
        <v>0</v>
      </c>
      <c r="L55" s="4">
        <f>IF(ISNUMBER(benefit_original!L55),benefit_original!L55/100000000,benefit_original!L55)</f>
        <v>0</v>
      </c>
      <c r="M55" s="4">
        <f>IF(ISNUMBER(benefit_original!M55),benefit_original!M55/100000000,benefit_original!M55)</f>
        <v>0</v>
      </c>
      <c r="N55" s="4">
        <f>IF(ISNUMBER(benefit_original!N55),benefit_original!N55/100000000,benefit_original!N55)</f>
        <v>0</v>
      </c>
      <c r="O55" s="4">
        <f>IF(ISNUMBER(benefit_original!O55),benefit_original!O55/100000000,benefit_original!O55)</f>
        <v>0</v>
      </c>
      <c r="P55" s="4">
        <f>IF(ISNUMBER(benefit_original!P55),benefit_original!P55/100000000,benefit_original!P55)</f>
        <v>0</v>
      </c>
      <c r="Q55" s="4">
        <f>IF(ISNUMBER(benefit_original!Q55),benefit_original!Q55/100000000,benefit_original!Q55)</f>
        <v>0</v>
      </c>
      <c r="R55" s="4">
        <f>IF(ISNUMBER(benefit_original!R55),benefit_original!R55/100000000,benefit_original!R55)</f>
        <v>0</v>
      </c>
      <c r="S55" s="4">
        <f>IF(ISNUMBER(benefit_original!S55),benefit_original!S55/100000000,benefit_original!S55)</f>
        <v>0</v>
      </c>
      <c r="T55" s="4">
        <f>IF(ISNUMBER(benefit_original!T55),benefit_original!T55/100000000,benefit_original!T55)</f>
        <v>0</v>
      </c>
      <c r="U55" s="4">
        <f>IF(ISNUMBER(benefit_original!U55),benefit_original!U55/100000000,benefit_original!U55)</f>
        <v>0</v>
      </c>
      <c r="V55" s="4">
        <f>IF(ISNUMBER(benefit_original!V55),benefit_original!V55/100000000,benefit_original!V55)</f>
        <v>0</v>
      </c>
      <c r="W55" s="4">
        <f>IF(ISNUMBER(benefit_original!W55),benefit_original!W55/100000000,benefit_original!W55)</f>
        <v>0</v>
      </c>
      <c r="X55" s="4">
        <f>IF(ISNUMBER(benefit_original!X55),benefit_original!X55/100000000,benefit_original!X55)</f>
        <v>0</v>
      </c>
      <c r="Y55" s="4">
        <f>IF(ISNUMBER(benefit_original!Y55),benefit_original!Y55/100000000,benefit_original!Y55)</f>
        <v>0</v>
      </c>
      <c r="Z55" s="4">
        <f>IF(ISNUMBER(benefit_original!Z55),benefit_original!Z55/100000000,benefit_original!Z55)</f>
        <v>0</v>
      </c>
      <c r="AA55" s="4">
        <f>IF(ISNUMBER(benefit_original!AA55),benefit_original!AA55/100000000,benefit_original!AA55)</f>
        <v>0</v>
      </c>
      <c r="AB55" s="4">
        <f>IF(ISNUMBER(benefit_original!AB55),benefit_original!AB55/100000000,benefit_original!AB55)</f>
        <v>0</v>
      </c>
      <c r="AC55" s="4">
        <f>IF(ISNUMBER(benefit_original!AC55),benefit_original!AC55/100000000,benefit_original!AC55)</f>
        <v>0</v>
      </c>
      <c r="AD55" s="4">
        <f>IF(ISNUMBER(benefit_original!AD55),benefit_original!AD55/100000000,benefit_original!AD55)</f>
        <v>0</v>
      </c>
      <c r="AE55" s="4">
        <f>IF(ISNUMBER(benefit_original!AE55),benefit_original!AE55/100000000,benefit_original!AE55)</f>
        <v>0</v>
      </c>
      <c r="AF55" s="4">
        <f>IF(ISNUMBER(benefit_original!AF55),benefit_original!AF55/100000000,benefit_original!AF55)</f>
        <v>0</v>
      </c>
      <c r="AG55" s="4">
        <f>IF(ISNUMBER(benefit_original!AG55),benefit_original!AG55/100000000,benefit_original!AG55)</f>
        <v>0</v>
      </c>
      <c r="AH55" s="4">
        <f>IF(ISNUMBER(benefit_original!AH55),benefit_original!AH55/100000000,benefit_original!AH55)</f>
        <v>0</v>
      </c>
      <c r="AI55" s="4">
        <f>IF(ISNUMBER(benefit_original!AI55),benefit_original!AI55/100000000,benefit_original!AI55)</f>
        <v>0</v>
      </c>
      <c r="AJ55" s="4">
        <f>IF(ISNUMBER(benefit_original!AJ55),benefit_original!AJ55/100000000,benefit_original!AJ55)</f>
        <v>0</v>
      </c>
      <c r="AK55" s="4">
        <f>IF(ISNUMBER(benefit_original!AK55),benefit_original!AK55/100000000,benefit_original!AK55)</f>
        <v>0</v>
      </c>
      <c r="AL55" s="4">
        <f>IF(ISNUMBER(benefit_original!AL55),benefit_original!AL55/100000000,benefit_original!AL55)</f>
        <v>0</v>
      </c>
      <c r="AM55" s="4">
        <f>IF(ISNUMBER(benefit_original!AM55),benefit_original!AM55/100000000,benefit_original!AM55)</f>
        <v>0</v>
      </c>
      <c r="AN55" s="4">
        <f>IF(ISNUMBER(benefit_original!AN55),benefit_original!AN55/100000000,benefit_original!AN55)</f>
        <v>0</v>
      </c>
      <c r="AO55" s="4">
        <f>IF(ISNUMBER(benefit_original!AO55),benefit_original!AO55/100000000,benefit_original!AO55)</f>
        <v>0</v>
      </c>
      <c r="AP55" s="4">
        <f>IF(ISNUMBER(benefit_original!AP55),benefit_original!AP55/100000000,benefit_original!AP55)</f>
        <v>0</v>
      </c>
      <c r="AQ55" s="4">
        <f>IF(ISNUMBER(benefit_original!AQ55),benefit_original!AQ55/100000000,benefit_original!AQ55)</f>
        <v>0</v>
      </c>
    </row>
    <row r="56" spans="2:43" x14ac:dyDescent="0.25">
      <c r="B56" s="4">
        <f>IF(ISNUMBER(benefit_original!B56),benefit_original!B56/100000000,benefit_original!B56)</f>
        <v>0</v>
      </c>
      <c r="C56" s="4">
        <f>IF(ISNUMBER(benefit_original!C56),benefit_original!C56/100000000,benefit_original!C56)</f>
        <v>0</v>
      </c>
      <c r="D56" s="4">
        <f>IF(ISNUMBER(benefit_original!D56),benefit_original!D56/100000000,benefit_original!D56)</f>
        <v>0</v>
      </c>
      <c r="E56" s="4">
        <f>IF(ISNUMBER(benefit_original!E56),benefit_original!E56/100000000,benefit_original!E56)</f>
        <v>0</v>
      </c>
      <c r="F56" s="4">
        <f>IF(ISNUMBER(benefit_original!F56),benefit_original!F56/100000000,benefit_original!F56)</f>
        <v>0</v>
      </c>
      <c r="G56" s="4">
        <f>IF(ISNUMBER(benefit_original!G56),benefit_original!G56/100000000,benefit_original!G56)</f>
        <v>0</v>
      </c>
      <c r="H56" s="4">
        <f>IF(ISNUMBER(benefit_original!H56),benefit_original!H56/100000000,benefit_original!H56)</f>
        <v>0</v>
      </c>
      <c r="I56" s="4">
        <f>IF(ISNUMBER(benefit_original!I56),benefit_original!I56/100000000,benefit_original!I56)</f>
        <v>0</v>
      </c>
      <c r="J56" s="4">
        <f>IF(ISNUMBER(benefit_original!J56),benefit_original!J56/100000000,benefit_original!J56)</f>
        <v>0</v>
      </c>
      <c r="K56" s="4">
        <f>IF(ISNUMBER(benefit_original!K56),benefit_original!K56/100000000,benefit_original!K56)</f>
        <v>0</v>
      </c>
      <c r="L56" s="4">
        <f>IF(ISNUMBER(benefit_original!L56),benefit_original!L56/100000000,benefit_original!L56)</f>
        <v>0</v>
      </c>
      <c r="M56" s="4">
        <f>IF(ISNUMBER(benefit_original!M56),benefit_original!M56/100000000,benefit_original!M56)</f>
        <v>0</v>
      </c>
      <c r="N56" s="4">
        <f>IF(ISNUMBER(benefit_original!N56),benefit_original!N56/100000000,benefit_original!N56)</f>
        <v>0</v>
      </c>
      <c r="O56" s="4">
        <f>IF(ISNUMBER(benefit_original!O56),benefit_original!O56/100000000,benefit_original!O56)</f>
        <v>0</v>
      </c>
      <c r="P56" s="4">
        <f>IF(ISNUMBER(benefit_original!P56),benefit_original!P56/100000000,benefit_original!P56)</f>
        <v>0</v>
      </c>
      <c r="Q56" s="4">
        <f>IF(ISNUMBER(benefit_original!Q56),benefit_original!Q56/100000000,benefit_original!Q56)</f>
        <v>0</v>
      </c>
      <c r="R56" s="4">
        <f>IF(ISNUMBER(benefit_original!R56),benefit_original!R56/100000000,benefit_original!R56)</f>
        <v>0</v>
      </c>
      <c r="S56" s="4">
        <f>IF(ISNUMBER(benefit_original!S56),benefit_original!S56/100000000,benefit_original!S56)</f>
        <v>0</v>
      </c>
      <c r="T56" s="4">
        <f>IF(ISNUMBER(benefit_original!T56),benefit_original!T56/100000000,benefit_original!T56)</f>
        <v>0</v>
      </c>
      <c r="U56" s="4">
        <f>IF(ISNUMBER(benefit_original!U56),benefit_original!U56/100000000,benefit_original!U56)</f>
        <v>0</v>
      </c>
      <c r="V56" s="4">
        <f>IF(ISNUMBER(benefit_original!V56),benefit_original!V56/100000000,benefit_original!V56)</f>
        <v>0</v>
      </c>
      <c r="W56" s="4">
        <f>IF(ISNUMBER(benefit_original!W56),benefit_original!W56/100000000,benefit_original!W56)</f>
        <v>0</v>
      </c>
      <c r="X56" s="4">
        <f>IF(ISNUMBER(benefit_original!X56),benefit_original!X56/100000000,benefit_original!X56)</f>
        <v>0</v>
      </c>
      <c r="Y56" s="4">
        <f>IF(ISNUMBER(benefit_original!Y56),benefit_original!Y56/100000000,benefit_original!Y56)</f>
        <v>0</v>
      </c>
      <c r="Z56" s="4">
        <f>IF(ISNUMBER(benefit_original!Z56),benefit_original!Z56/100000000,benefit_original!Z56)</f>
        <v>0</v>
      </c>
      <c r="AA56" s="4">
        <f>IF(ISNUMBER(benefit_original!AA56),benefit_original!AA56/100000000,benefit_original!AA56)</f>
        <v>0</v>
      </c>
      <c r="AB56" s="4">
        <f>IF(ISNUMBER(benefit_original!AB56),benefit_original!AB56/100000000,benefit_original!AB56)</f>
        <v>0</v>
      </c>
      <c r="AC56" s="4">
        <f>IF(ISNUMBER(benefit_original!AC56),benefit_original!AC56/100000000,benefit_original!AC56)</f>
        <v>0</v>
      </c>
      <c r="AD56" s="4">
        <f>IF(ISNUMBER(benefit_original!AD56),benefit_original!AD56/100000000,benefit_original!AD56)</f>
        <v>0</v>
      </c>
      <c r="AE56" s="4">
        <f>IF(ISNUMBER(benefit_original!AE56),benefit_original!AE56/100000000,benefit_original!AE56)</f>
        <v>0</v>
      </c>
      <c r="AF56" s="4">
        <f>IF(ISNUMBER(benefit_original!AF56),benefit_original!AF56/100000000,benefit_original!AF56)</f>
        <v>0</v>
      </c>
      <c r="AG56" s="4">
        <f>IF(ISNUMBER(benefit_original!AG56),benefit_original!AG56/100000000,benefit_original!AG56)</f>
        <v>0</v>
      </c>
      <c r="AH56" s="4">
        <f>IF(ISNUMBER(benefit_original!AH56),benefit_original!AH56/100000000,benefit_original!AH56)</f>
        <v>0</v>
      </c>
      <c r="AI56" s="4">
        <f>IF(ISNUMBER(benefit_original!AI56),benefit_original!AI56/100000000,benefit_original!AI56)</f>
        <v>0</v>
      </c>
      <c r="AJ56" s="4">
        <f>IF(ISNUMBER(benefit_original!AJ56),benefit_original!AJ56/100000000,benefit_original!AJ56)</f>
        <v>0</v>
      </c>
      <c r="AK56" s="4">
        <f>IF(ISNUMBER(benefit_original!AK56),benefit_original!AK56/100000000,benefit_original!AK56)</f>
        <v>0</v>
      </c>
      <c r="AL56" s="4">
        <f>IF(ISNUMBER(benefit_original!AL56),benefit_original!AL56/100000000,benefit_original!AL56)</f>
        <v>0</v>
      </c>
      <c r="AM56" s="4">
        <f>IF(ISNUMBER(benefit_original!AM56),benefit_original!AM56/100000000,benefit_original!AM56)</f>
        <v>0</v>
      </c>
      <c r="AN56" s="4">
        <f>IF(ISNUMBER(benefit_original!AN56),benefit_original!AN56/100000000,benefit_original!AN56)</f>
        <v>0</v>
      </c>
      <c r="AO56" s="4">
        <f>IF(ISNUMBER(benefit_original!AO56),benefit_original!AO56/100000000,benefit_original!AO56)</f>
        <v>0</v>
      </c>
      <c r="AP56" s="4">
        <f>IF(ISNUMBER(benefit_original!AP56),benefit_original!AP56/100000000,benefit_original!AP56)</f>
        <v>0</v>
      </c>
      <c r="AQ56" s="4">
        <f>IF(ISNUMBER(benefit_original!AQ56),benefit_original!AQ56/100000000,benefit_original!AQ56)</f>
        <v>0</v>
      </c>
    </row>
    <row r="57" spans="2:43" x14ac:dyDescent="0.25">
      <c r="B57" s="4">
        <f>IF(ISNUMBER(benefit_original!B57),benefit_original!B57/100000000,benefit_original!B57)</f>
        <v>0</v>
      </c>
      <c r="C57" s="4">
        <f>IF(ISNUMBER(benefit_original!C57),benefit_original!C57/100000000,benefit_original!C57)</f>
        <v>0</v>
      </c>
      <c r="D57" s="4">
        <f>IF(ISNUMBER(benefit_original!D57),benefit_original!D57/100000000,benefit_original!D57)</f>
        <v>0</v>
      </c>
      <c r="E57" s="4">
        <f>IF(ISNUMBER(benefit_original!E57),benefit_original!E57/100000000,benefit_original!E57)</f>
        <v>0</v>
      </c>
      <c r="F57" s="4">
        <f>IF(ISNUMBER(benefit_original!F57),benefit_original!F57/100000000,benefit_original!F57)</f>
        <v>0</v>
      </c>
      <c r="G57" s="4">
        <f>IF(ISNUMBER(benefit_original!G57),benefit_original!G57/100000000,benefit_original!G57)</f>
        <v>0</v>
      </c>
      <c r="H57" s="4">
        <f>IF(ISNUMBER(benefit_original!H57),benefit_original!H57/100000000,benefit_original!H57)</f>
        <v>0</v>
      </c>
      <c r="I57" s="4">
        <f>IF(ISNUMBER(benefit_original!I57),benefit_original!I57/100000000,benefit_original!I57)</f>
        <v>0</v>
      </c>
      <c r="J57" s="4">
        <f>IF(ISNUMBER(benefit_original!J57),benefit_original!J57/100000000,benefit_original!J57)</f>
        <v>0</v>
      </c>
      <c r="K57" s="4">
        <f>IF(ISNUMBER(benefit_original!K57),benefit_original!K57/100000000,benefit_original!K57)</f>
        <v>0</v>
      </c>
      <c r="L57" s="4">
        <f>IF(ISNUMBER(benefit_original!L57),benefit_original!L57/100000000,benefit_original!L57)</f>
        <v>0</v>
      </c>
      <c r="M57" s="4">
        <f>IF(ISNUMBER(benefit_original!M57),benefit_original!M57/100000000,benefit_original!M57)</f>
        <v>0</v>
      </c>
      <c r="N57" s="4">
        <f>IF(ISNUMBER(benefit_original!N57),benefit_original!N57/100000000,benefit_original!N57)</f>
        <v>0</v>
      </c>
      <c r="O57" s="4">
        <f>IF(ISNUMBER(benefit_original!O57),benefit_original!O57/100000000,benefit_original!O57)</f>
        <v>0</v>
      </c>
      <c r="P57" s="4">
        <f>IF(ISNUMBER(benefit_original!P57),benefit_original!P57/100000000,benefit_original!P57)</f>
        <v>0</v>
      </c>
      <c r="Q57" s="4">
        <f>IF(ISNUMBER(benefit_original!Q57),benefit_original!Q57/100000000,benefit_original!Q57)</f>
        <v>0</v>
      </c>
      <c r="R57" s="4">
        <f>IF(ISNUMBER(benefit_original!R57),benefit_original!R57/100000000,benefit_original!R57)</f>
        <v>0</v>
      </c>
      <c r="S57" s="4">
        <f>IF(ISNUMBER(benefit_original!S57),benefit_original!S57/100000000,benefit_original!S57)</f>
        <v>0</v>
      </c>
      <c r="T57" s="4">
        <f>IF(ISNUMBER(benefit_original!T57),benefit_original!T57/100000000,benefit_original!T57)</f>
        <v>0</v>
      </c>
      <c r="U57" s="4">
        <f>IF(ISNUMBER(benefit_original!U57),benefit_original!U57/100000000,benefit_original!U57)</f>
        <v>0</v>
      </c>
      <c r="V57" s="4">
        <f>IF(ISNUMBER(benefit_original!V57),benefit_original!V57/100000000,benefit_original!V57)</f>
        <v>0</v>
      </c>
      <c r="W57" s="4">
        <f>IF(ISNUMBER(benefit_original!W57),benefit_original!W57/100000000,benefit_original!W57)</f>
        <v>0</v>
      </c>
      <c r="X57" s="4">
        <f>IF(ISNUMBER(benefit_original!X57),benefit_original!X57/100000000,benefit_original!X57)</f>
        <v>0</v>
      </c>
      <c r="Y57" s="4">
        <f>IF(ISNUMBER(benefit_original!Y57),benefit_original!Y57/100000000,benefit_original!Y57)</f>
        <v>0</v>
      </c>
      <c r="Z57" s="4">
        <f>IF(ISNUMBER(benefit_original!Z57),benefit_original!Z57/100000000,benefit_original!Z57)</f>
        <v>0</v>
      </c>
      <c r="AA57" s="4">
        <f>IF(ISNUMBER(benefit_original!AA57),benefit_original!AA57/100000000,benefit_original!AA57)</f>
        <v>0</v>
      </c>
      <c r="AB57" s="4">
        <f>IF(ISNUMBER(benefit_original!AB57),benefit_original!AB57/100000000,benefit_original!AB57)</f>
        <v>0</v>
      </c>
      <c r="AC57" s="4">
        <f>IF(ISNUMBER(benefit_original!AC57),benefit_original!AC57/100000000,benefit_original!AC57)</f>
        <v>0</v>
      </c>
      <c r="AD57" s="4">
        <f>IF(ISNUMBER(benefit_original!AD57),benefit_original!AD57/100000000,benefit_original!AD57)</f>
        <v>0</v>
      </c>
      <c r="AE57" s="4">
        <f>IF(ISNUMBER(benefit_original!AE57),benefit_original!AE57/100000000,benefit_original!AE57)</f>
        <v>0</v>
      </c>
      <c r="AF57" s="4">
        <f>IF(ISNUMBER(benefit_original!AF57),benefit_original!AF57/100000000,benefit_original!AF57)</f>
        <v>0</v>
      </c>
      <c r="AG57" s="4">
        <f>IF(ISNUMBER(benefit_original!AG57),benefit_original!AG57/100000000,benefit_original!AG57)</f>
        <v>0</v>
      </c>
      <c r="AH57" s="4">
        <f>IF(ISNUMBER(benefit_original!AH57),benefit_original!AH57/100000000,benefit_original!AH57)</f>
        <v>0</v>
      </c>
      <c r="AI57" s="4">
        <f>IF(ISNUMBER(benefit_original!AI57),benefit_original!AI57/100000000,benefit_original!AI57)</f>
        <v>0</v>
      </c>
      <c r="AJ57" s="4">
        <f>IF(ISNUMBER(benefit_original!AJ57),benefit_original!AJ57/100000000,benefit_original!AJ57)</f>
        <v>0</v>
      </c>
      <c r="AK57" s="4">
        <f>IF(ISNUMBER(benefit_original!AK57),benefit_original!AK57/100000000,benefit_original!AK57)</f>
        <v>0</v>
      </c>
      <c r="AL57" s="4">
        <f>IF(ISNUMBER(benefit_original!AL57),benefit_original!AL57/100000000,benefit_original!AL57)</f>
        <v>0</v>
      </c>
      <c r="AM57" s="4">
        <f>IF(ISNUMBER(benefit_original!AM57),benefit_original!AM57/100000000,benefit_original!AM57)</f>
        <v>0</v>
      </c>
      <c r="AN57" s="4">
        <f>IF(ISNUMBER(benefit_original!AN57),benefit_original!AN57/100000000,benefit_original!AN57)</f>
        <v>0</v>
      </c>
      <c r="AO57" s="4">
        <f>IF(ISNUMBER(benefit_original!AO57),benefit_original!AO57/100000000,benefit_original!AO57)</f>
        <v>0</v>
      </c>
      <c r="AP57" s="4">
        <f>IF(ISNUMBER(benefit_original!AP57),benefit_original!AP57/100000000,benefit_original!AP57)</f>
        <v>0</v>
      </c>
      <c r="AQ57" s="4">
        <f>IF(ISNUMBER(benefit_original!AQ57),benefit_original!AQ57/100000000,benefit_original!AQ57)</f>
        <v>0</v>
      </c>
    </row>
    <row r="58" spans="2:43" x14ac:dyDescent="0.25">
      <c r="B58" s="4">
        <f>IF(ISNUMBER(benefit_original!B58),benefit_original!B58/100000000,benefit_original!B58)</f>
        <v>0</v>
      </c>
      <c r="C58" s="4">
        <f>IF(ISNUMBER(benefit_original!C58),benefit_original!C58/100000000,benefit_original!C58)</f>
        <v>0</v>
      </c>
      <c r="D58" s="4">
        <f>IF(ISNUMBER(benefit_original!D58),benefit_original!D58/100000000,benefit_original!D58)</f>
        <v>0</v>
      </c>
      <c r="E58" s="4">
        <f>IF(ISNUMBER(benefit_original!E58),benefit_original!E58/100000000,benefit_original!E58)</f>
        <v>0</v>
      </c>
      <c r="F58" s="4">
        <f>IF(ISNUMBER(benefit_original!F58),benefit_original!F58/100000000,benefit_original!F58)</f>
        <v>0</v>
      </c>
      <c r="G58" s="4">
        <f>IF(ISNUMBER(benefit_original!G58),benefit_original!G58/100000000,benefit_original!G58)</f>
        <v>0</v>
      </c>
      <c r="H58" s="4">
        <f>IF(ISNUMBER(benefit_original!H58),benefit_original!H58/100000000,benefit_original!H58)</f>
        <v>0</v>
      </c>
      <c r="I58" s="4">
        <f>IF(ISNUMBER(benefit_original!I58),benefit_original!I58/100000000,benefit_original!I58)</f>
        <v>0</v>
      </c>
      <c r="J58" s="4">
        <f>IF(ISNUMBER(benefit_original!J58),benefit_original!J58/100000000,benefit_original!J58)</f>
        <v>0</v>
      </c>
      <c r="K58" s="4">
        <f>IF(ISNUMBER(benefit_original!K58),benefit_original!K58/100000000,benefit_original!K58)</f>
        <v>0</v>
      </c>
      <c r="L58" s="4">
        <f>IF(ISNUMBER(benefit_original!L58),benefit_original!L58/100000000,benefit_original!L58)</f>
        <v>0</v>
      </c>
      <c r="M58" s="4">
        <f>IF(ISNUMBER(benefit_original!M58),benefit_original!M58/100000000,benefit_original!M58)</f>
        <v>0</v>
      </c>
      <c r="N58" s="4">
        <f>IF(ISNUMBER(benefit_original!N58),benefit_original!N58/100000000,benefit_original!N58)</f>
        <v>0</v>
      </c>
      <c r="O58" s="4">
        <f>IF(ISNUMBER(benefit_original!O58),benefit_original!O58/100000000,benefit_original!O58)</f>
        <v>0</v>
      </c>
      <c r="P58" s="4">
        <f>IF(ISNUMBER(benefit_original!P58),benefit_original!P58/100000000,benefit_original!P58)</f>
        <v>0</v>
      </c>
      <c r="Q58" s="4">
        <f>IF(ISNUMBER(benefit_original!Q58),benefit_original!Q58/100000000,benefit_original!Q58)</f>
        <v>0</v>
      </c>
      <c r="R58" s="4">
        <f>IF(ISNUMBER(benefit_original!R58),benefit_original!R58/100000000,benefit_original!R58)</f>
        <v>0</v>
      </c>
      <c r="S58" s="4">
        <f>IF(ISNUMBER(benefit_original!S58),benefit_original!S58/100000000,benefit_original!S58)</f>
        <v>0</v>
      </c>
      <c r="T58" s="4">
        <f>IF(ISNUMBER(benefit_original!T58),benefit_original!T58/100000000,benefit_original!T58)</f>
        <v>0</v>
      </c>
      <c r="U58" s="4">
        <f>IF(ISNUMBER(benefit_original!U58),benefit_original!U58/100000000,benefit_original!U58)</f>
        <v>0</v>
      </c>
      <c r="V58" s="4">
        <f>IF(ISNUMBER(benefit_original!V58),benefit_original!V58/100000000,benefit_original!V58)</f>
        <v>0</v>
      </c>
      <c r="W58" s="4">
        <f>IF(ISNUMBER(benefit_original!W58),benefit_original!W58/100000000,benefit_original!W58)</f>
        <v>0</v>
      </c>
      <c r="X58" s="4">
        <f>IF(ISNUMBER(benefit_original!X58),benefit_original!X58/100000000,benefit_original!X58)</f>
        <v>0</v>
      </c>
      <c r="Y58" s="4">
        <f>IF(ISNUMBER(benefit_original!Y58),benefit_original!Y58/100000000,benefit_original!Y58)</f>
        <v>0</v>
      </c>
      <c r="Z58" s="4">
        <f>IF(ISNUMBER(benefit_original!Z58),benefit_original!Z58/100000000,benefit_original!Z58)</f>
        <v>0</v>
      </c>
      <c r="AA58" s="4">
        <f>IF(ISNUMBER(benefit_original!AA58),benefit_original!AA58/100000000,benefit_original!AA58)</f>
        <v>0</v>
      </c>
      <c r="AB58" s="4">
        <f>IF(ISNUMBER(benefit_original!AB58),benefit_original!AB58/100000000,benefit_original!AB58)</f>
        <v>0</v>
      </c>
      <c r="AC58" s="4">
        <f>IF(ISNUMBER(benefit_original!AC58),benefit_original!AC58/100000000,benefit_original!AC58)</f>
        <v>0</v>
      </c>
      <c r="AD58" s="4">
        <f>IF(ISNUMBER(benefit_original!AD58),benefit_original!AD58/100000000,benefit_original!AD58)</f>
        <v>0</v>
      </c>
      <c r="AE58" s="4">
        <f>IF(ISNUMBER(benefit_original!AE58),benefit_original!AE58/100000000,benefit_original!AE58)</f>
        <v>0</v>
      </c>
      <c r="AF58" s="4">
        <f>IF(ISNUMBER(benefit_original!AF58),benefit_original!AF58/100000000,benefit_original!AF58)</f>
        <v>0</v>
      </c>
      <c r="AG58" s="4">
        <f>IF(ISNUMBER(benefit_original!AG58),benefit_original!AG58/100000000,benefit_original!AG58)</f>
        <v>0</v>
      </c>
      <c r="AH58" s="4">
        <f>IF(ISNUMBER(benefit_original!AH58),benefit_original!AH58/100000000,benefit_original!AH58)</f>
        <v>0</v>
      </c>
      <c r="AI58" s="4">
        <f>IF(ISNUMBER(benefit_original!AI58),benefit_original!AI58/100000000,benefit_original!AI58)</f>
        <v>0</v>
      </c>
      <c r="AJ58" s="4">
        <f>IF(ISNUMBER(benefit_original!AJ58),benefit_original!AJ58/100000000,benefit_original!AJ58)</f>
        <v>0</v>
      </c>
      <c r="AK58" s="4">
        <f>IF(ISNUMBER(benefit_original!AK58),benefit_original!AK58/100000000,benefit_original!AK58)</f>
        <v>0</v>
      </c>
      <c r="AL58" s="4">
        <f>IF(ISNUMBER(benefit_original!AL58),benefit_original!AL58/100000000,benefit_original!AL58)</f>
        <v>0</v>
      </c>
      <c r="AM58" s="4">
        <f>IF(ISNUMBER(benefit_original!AM58),benefit_original!AM58/100000000,benefit_original!AM58)</f>
        <v>0</v>
      </c>
      <c r="AN58" s="4">
        <f>IF(ISNUMBER(benefit_original!AN58),benefit_original!AN58/100000000,benefit_original!AN58)</f>
        <v>0</v>
      </c>
      <c r="AO58" s="4">
        <f>IF(ISNUMBER(benefit_original!AO58),benefit_original!AO58/100000000,benefit_original!AO58)</f>
        <v>0</v>
      </c>
      <c r="AP58" s="4">
        <f>IF(ISNUMBER(benefit_original!AP58),benefit_original!AP58/100000000,benefit_original!AP58)</f>
        <v>0</v>
      </c>
      <c r="AQ58" s="4">
        <f>IF(ISNUMBER(benefit_original!AQ58),benefit_original!AQ58/100000000,benefit_original!AQ58)</f>
        <v>0</v>
      </c>
    </row>
    <row r="59" spans="2:43" x14ac:dyDescent="0.25">
      <c r="B59" s="4">
        <f>IF(ISNUMBER(benefit_original!B59),benefit_original!B59/100000000,benefit_original!B59)</f>
        <v>0</v>
      </c>
      <c r="C59" s="4">
        <f>IF(ISNUMBER(benefit_original!C59),benefit_original!C59/100000000,benefit_original!C59)</f>
        <v>0</v>
      </c>
      <c r="D59" s="4">
        <f>IF(ISNUMBER(benefit_original!D59),benefit_original!D59/100000000,benefit_original!D59)</f>
        <v>0</v>
      </c>
      <c r="E59" s="4">
        <f>IF(ISNUMBER(benefit_original!E59),benefit_original!E59/100000000,benefit_original!E59)</f>
        <v>0</v>
      </c>
      <c r="F59" s="4">
        <f>IF(ISNUMBER(benefit_original!F59),benefit_original!F59/100000000,benefit_original!F59)</f>
        <v>0</v>
      </c>
      <c r="G59" s="4">
        <f>IF(ISNUMBER(benefit_original!G59),benefit_original!G59/100000000,benefit_original!G59)</f>
        <v>0</v>
      </c>
      <c r="H59" s="4">
        <f>IF(ISNUMBER(benefit_original!H59),benefit_original!H59/100000000,benefit_original!H59)</f>
        <v>0</v>
      </c>
      <c r="I59" s="4">
        <f>IF(ISNUMBER(benefit_original!I59),benefit_original!I59/100000000,benefit_original!I59)</f>
        <v>0</v>
      </c>
      <c r="J59" s="4">
        <f>IF(ISNUMBER(benefit_original!J59),benefit_original!J59/100000000,benefit_original!J59)</f>
        <v>0</v>
      </c>
      <c r="K59" s="4">
        <f>IF(ISNUMBER(benefit_original!K59),benefit_original!K59/100000000,benefit_original!K59)</f>
        <v>0</v>
      </c>
      <c r="L59" s="4">
        <f>IF(ISNUMBER(benefit_original!L59),benefit_original!L59/100000000,benefit_original!L59)</f>
        <v>0</v>
      </c>
      <c r="M59" s="4">
        <f>IF(ISNUMBER(benefit_original!M59),benefit_original!M59/100000000,benefit_original!M59)</f>
        <v>0</v>
      </c>
      <c r="N59" s="4">
        <f>IF(ISNUMBER(benefit_original!N59),benefit_original!N59/100000000,benefit_original!N59)</f>
        <v>0</v>
      </c>
      <c r="O59" s="4">
        <f>IF(ISNUMBER(benefit_original!O59),benefit_original!O59/100000000,benefit_original!O59)</f>
        <v>0</v>
      </c>
      <c r="P59" s="4">
        <f>IF(ISNUMBER(benefit_original!P59),benefit_original!P59/100000000,benefit_original!P59)</f>
        <v>0</v>
      </c>
      <c r="Q59" s="4">
        <f>IF(ISNUMBER(benefit_original!Q59),benefit_original!Q59/100000000,benefit_original!Q59)</f>
        <v>0</v>
      </c>
      <c r="R59" s="4">
        <f>IF(ISNUMBER(benefit_original!R59),benefit_original!R59/100000000,benefit_original!R59)</f>
        <v>0</v>
      </c>
      <c r="S59" s="4">
        <f>IF(ISNUMBER(benefit_original!S59),benefit_original!S59/100000000,benefit_original!S59)</f>
        <v>0</v>
      </c>
      <c r="T59" s="4">
        <f>IF(ISNUMBER(benefit_original!T59),benefit_original!T59/100000000,benefit_original!T59)</f>
        <v>0</v>
      </c>
      <c r="U59" s="4">
        <f>IF(ISNUMBER(benefit_original!U59),benefit_original!U59/100000000,benefit_original!U59)</f>
        <v>0</v>
      </c>
      <c r="V59" s="4">
        <f>IF(ISNUMBER(benefit_original!V59),benefit_original!V59/100000000,benefit_original!V59)</f>
        <v>0</v>
      </c>
      <c r="W59" s="4">
        <f>IF(ISNUMBER(benefit_original!W59),benefit_original!W59/100000000,benefit_original!W59)</f>
        <v>0</v>
      </c>
      <c r="X59" s="4">
        <f>IF(ISNUMBER(benefit_original!X59),benefit_original!X59/100000000,benefit_original!X59)</f>
        <v>0</v>
      </c>
      <c r="Y59" s="4">
        <f>IF(ISNUMBER(benefit_original!Y59),benefit_original!Y59/100000000,benefit_original!Y59)</f>
        <v>0</v>
      </c>
      <c r="Z59" s="4">
        <f>IF(ISNUMBER(benefit_original!Z59),benefit_original!Z59/100000000,benefit_original!Z59)</f>
        <v>0</v>
      </c>
      <c r="AA59" s="4">
        <f>IF(ISNUMBER(benefit_original!AA59),benefit_original!AA59/100000000,benefit_original!AA59)</f>
        <v>0</v>
      </c>
      <c r="AB59" s="4">
        <f>IF(ISNUMBER(benefit_original!AB59),benefit_original!AB59/100000000,benefit_original!AB59)</f>
        <v>0</v>
      </c>
      <c r="AC59" s="4">
        <f>IF(ISNUMBER(benefit_original!AC59),benefit_original!AC59/100000000,benefit_original!AC59)</f>
        <v>0</v>
      </c>
      <c r="AD59" s="4">
        <f>IF(ISNUMBER(benefit_original!AD59),benefit_original!AD59/100000000,benefit_original!AD59)</f>
        <v>0</v>
      </c>
      <c r="AE59" s="4">
        <f>IF(ISNUMBER(benefit_original!AE59),benefit_original!AE59/100000000,benefit_original!AE59)</f>
        <v>0</v>
      </c>
      <c r="AF59" s="4">
        <f>IF(ISNUMBER(benefit_original!AF59),benefit_original!AF59/100000000,benefit_original!AF59)</f>
        <v>0</v>
      </c>
      <c r="AG59" s="4">
        <f>IF(ISNUMBER(benefit_original!AG59),benefit_original!AG59/100000000,benefit_original!AG59)</f>
        <v>0</v>
      </c>
      <c r="AH59" s="4">
        <f>IF(ISNUMBER(benefit_original!AH59),benefit_original!AH59/100000000,benefit_original!AH59)</f>
        <v>0</v>
      </c>
      <c r="AI59" s="4">
        <f>IF(ISNUMBER(benefit_original!AI59),benefit_original!AI59/100000000,benefit_original!AI59)</f>
        <v>0</v>
      </c>
      <c r="AJ59" s="4">
        <f>IF(ISNUMBER(benefit_original!AJ59),benefit_original!AJ59/100000000,benefit_original!AJ59)</f>
        <v>0</v>
      </c>
      <c r="AK59" s="4">
        <f>IF(ISNUMBER(benefit_original!AK59),benefit_original!AK59/100000000,benefit_original!AK59)</f>
        <v>0</v>
      </c>
      <c r="AL59" s="4">
        <f>IF(ISNUMBER(benefit_original!AL59),benefit_original!AL59/100000000,benefit_original!AL59)</f>
        <v>0</v>
      </c>
      <c r="AM59" s="4">
        <f>IF(ISNUMBER(benefit_original!AM59),benefit_original!AM59/100000000,benefit_original!AM59)</f>
        <v>0</v>
      </c>
      <c r="AN59" s="4">
        <f>IF(ISNUMBER(benefit_original!AN59),benefit_original!AN59/100000000,benefit_original!AN59)</f>
        <v>0</v>
      </c>
      <c r="AO59" s="4">
        <f>IF(ISNUMBER(benefit_original!AO59),benefit_original!AO59/100000000,benefit_original!AO59)</f>
        <v>0</v>
      </c>
      <c r="AP59" s="4">
        <f>IF(ISNUMBER(benefit_original!AP59),benefit_original!AP59/100000000,benefit_original!AP59)</f>
        <v>0</v>
      </c>
      <c r="AQ59" s="4">
        <f>IF(ISNUMBER(benefit_original!AQ59),benefit_original!AQ59/100000000,benefit_original!AQ59)</f>
        <v>0</v>
      </c>
    </row>
    <row r="60" spans="2:43" x14ac:dyDescent="0.25">
      <c r="B60" s="4">
        <f>IF(ISNUMBER(benefit_original!B60),benefit_original!B60/100000000,benefit_original!B60)</f>
        <v>0</v>
      </c>
      <c r="C60" s="4">
        <f>IF(ISNUMBER(benefit_original!C60),benefit_original!C60/100000000,benefit_original!C60)</f>
        <v>0</v>
      </c>
      <c r="D60" s="4">
        <f>IF(ISNUMBER(benefit_original!D60),benefit_original!D60/100000000,benefit_original!D60)</f>
        <v>0</v>
      </c>
      <c r="E60" s="4">
        <f>IF(ISNUMBER(benefit_original!E60),benefit_original!E60/100000000,benefit_original!E60)</f>
        <v>0</v>
      </c>
      <c r="F60" s="4">
        <f>IF(ISNUMBER(benefit_original!F60),benefit_original!F60/100000000,benefit_original!F60)</f>
        <v>0</v>
      </c>
      <c r="G60" s="4">
        <f>IF(ISNUMBER(benefit_original!G60),benefit_original!G60/100000000,benefit_original!G60)</f>
        <v>0</v>
      </c>
      <c r="H60" s="4">
        <f>IF(ISNUMBER(benefit_original!H60),benefit_original!H60/100000000,benefit_original!H60)</f>
        <v>0</v>
      </c>
      <c r="I60" s="4">
        <f>IF(ISNUMBER(benefit_original!I60),benefit_original!I60/100000000,benefit_original!I60)</f>
        <v>0</v>
      </c>
      <c r="J60" s="4">
        <f>IF(ISNUMBER(benefit_original!J60),benefit_original!J60/100000000,benefit_original!J60)</f>
        <v>0</v>
      </c>
      <c r="K60" s="4">
        <f>IF(ISNUMBER(benefit_original!K60),benefit_original!K60/100000000,benefit_original!K60)</f>
        <v>0</v>
      </c>
      <c r="L60" s="4">
        <f>IF(ISNUMBER(benefit_original!L60),benefit_original!L60/100000000,benefit_original!L60)</f>
        <v>0</v>
      </c>
      <c r="M60" s="4">
        <f>IF(ISNUMBER(benefit_original!M60),benefit_original!M60/100000000,benefit_original!M60)</f>
        <v>0</v>
      </c>
      <c r="N60" s="4">
        <f>IF(ISNUMBER(benefit_original!N60),benefit_original!N60/100000000,benefit_original!N60)</f>
        <v>0</v>
      </c>
      <c r="O60" s="4">
        <f>IF(ISNUMBER(benefit_original!O60),benefit_original!O60/100000000,benefit_original!O60)</f>
        <v>0</v>
      </c>
      <c r="P60" s="4">
        <f>IF(ISNUMBER(benefit_original!P60),benefit_original!P60/100000000,benefit_original!P60)</f>
        <v>0</v>
      </c>
      <c r="Q60" s="4">
        <f>IF(ISNUMBER(benefit_original!Q60),benefit_original!Q60/100000000,benefit_original!Q60)</f>
        <v>0</v>
      </c>
      <c r="R60" s="4">
        <f>IF(ISNUMBER(benefit_original!R60),benefit_original!R60/100000000,benefit_original!R60)</f>
        <v>0</v>
      </c>
      <c r="S60" s="4">
        <f>IF(ISNUMBER(benefit_original!S60),benefit_original!S60/100000000,benefit_original!S60)</f>
        <v>0</v>
      </c>
      <c r="T60" s="4">
        <f>IF(ISNUMBER(benefit_original!T60),benefit_original!T60/100000000,benefit_original!T60)</f>
        <v>0</v>
      </c>
      <c r="U60" s="4">
        <f>IF(ISNUMBER(benefit_original!U60),benefit_original!U60/100000000,benefit_original!U60)</f>
        <v>0</v>
      </c>
      <c r="V60" s="4">
        <f>IF(ISNUMBER(benefit_original!V60),benefit_original!V60/100000000,benefit_original!V60)</f>
        <v>0</v>
      </c>
      <c r="W60" s="4">
        <f>IF(ISNUMBER(benefit_original!W60),benefit_original!W60/100000000,benefit_original!W60)</f>
        <v>0</v>
      </c>
      <c r="X60" s="4">
        <f>IF(ISNUMBER(benefit_original!X60),benefit_original!X60/100000000,benefit_original!X60)</f>
        <v>0</v>
      </c>
      <c r="Y60" s="4">
        <f>IF(ISNUMBER(benefit_original!Y60),benefit_original!Y60/100000000,benefit_original!Y60)</f>
        <v>0</v>
      </c>
      <c r="Z60" s="4">
        <f>IF(ISNUMBER(benefit_original!Z60),benefit_original!Z60/100000000,benefit_original!Z60)</f>
        <v>0</v>
      </c>
      <c r="AA60" s="4">
        <f>IF(ISNUMBER(benefit_original!AA60),benefit_original!AA60/100000000,benefit_original!AA60)</f>
        <v>0</v>
      </c>
      <c r="AB60" s="4">
        <f>IF(ISNUMBER(benefit_original!AB60),benefit_original!AB60/100000000,benefit_original!AB60)</f>
        <v>0</v>
      </c>
      <c r="AC60" s="4">
        <f>IF(ISNUMBER(benefit_original!AC60),benefit_original!AC60/100000000,benefit_original!AC60)</f>
        <v>0</v>
      </c>
      <c r="AD60" s="4">
        <f>IF(ISNUMBER(benefit_original!AD60),benefit_original!AD60/100000000,benefit_original!AD60)</f>
        <v>0</v>
      </c>
      <c r="AE60" s="4">
        <f>IF(ISNUMBER(benefit_original!AE60),benefit_original!AE60/100000000,benefit_original!AE60)</f>
        <v>0</v>
      </c>
      <c r="AF60" s="4">
        <f>IF(ISNUMBER(benefit_original!AF60),benefit_original!AF60/100000000,benefit_original!AF60)</f>
        <v>0</v>
      </c>
      <c r="AG60" s="4">
        <f>IF(ISNUMBER(benefit_original!AG60),benefit_original!AG60/100000000,benefit_original!AG60)</f>
        <v>0</v>
      </c>
      <c r="AH60" s="4">
        <f>IF(ISNUMBER(benefit_original!AH60),benefit_original!AH60/100000000,benefit_original!AH60)</f>
        <v>0</v>
      </c>
      <c r="AI60" s="4">
        <f>IF(ISNUMBER(benefit_original!AI60),benefit_original!AI60/100000000,benefit_original!AI60)</f>
        <v>0</v>
      </c>
      <c r="AJ60" s="4">
        <f>IF(ISNUMBER(benefit_original!AJ60),benefit_original!AJ60/100000000,benefit_original!AJ60)</f>
        <v>0</v>
      </c>
      <c r="AK60" s="4">
        <f>IF(ISNUMBER(benefit_original!AK60),benefit_original!AK60/100000000,benefit_original!AK60)</f>
        <v>0</v>
      </c>
      <c r="AL60" s="4">
        <f>IF(ISNUMBER(benefit_original!AL60),benefit_original!AL60/100000000,benefit_original!AL60)</f>
        <v>0</v>
      </c>
      <c r="AM60" s="4">
        <f>IF(ISNUMBER(benefit_original!AM60),benefit_original!AM60/100000000,benefit_original!AM60)</f>
        <v>0</v>
      </c>
      <c r="AN60" s="4">
        <f>IF(ISNUMBER(benefit_original!AN60),benefit_original!AN60/100000000,benefit_original!AN60)</f>
        <v>0</v>
      </c>
      <c r="AO60" s="4">
        <f>IF(ISNUMBER(benefit_original!AO60),benefit_original!AO60/100000000,benefit_original!AO60)</f>
        <v>0</v>
      </c>
      <c r="AP60" s="4">
        <f>IF(ISNUMBER(benefit_original!AP60),benefit_original!AP60/100000000,benefit_original!AP60)</f>
        <v>0</v>
      </c>
      <c r="AQ60" s="4">
        <f>IF(ISNUMBER(benefit_original!AQ60),benefit_original!AQ60/100000000,benefit_original!AQ60)</f>
        <v>0</v>
      </c>
    </row>
    <row r="61" spans="2:43" x14ac:dyDescent="0.25">
      <c r="B61" s="4">
        <f>IF(ISNUMBER(benefit_original!B61),benefit_original!B61/100000000,benefit_original!B61)</f>
        <v>0</v>
      </c>
      <c r="C61" s="4">
        <f>IF(ISNUMBER(benefit_original!C61),benefit_original!C61/100000000,benefit_original!C61)</f>
        <v>0</v>
      </c>
      <c r="D61" s="4">
        <f>IF(ISNUMBER(benefit_original!D61),benefit_original!D61/100000000,benefit_original!D61)</f>
        <v>0</v>
      </c>
      <c r="E61" s="4">
        <f>IF(ISNUMBER(benefit_original!E61),benefit_original!E61/100000000,benefit_original!E61)</f>
        <v>0</v>
      </c>
      <c r="F61" s="4">
        <f>IF(ISNUMBER(benefit_original!F61),benefit_original!F61/100000000,benefit_original!F61)</f>
        <v>0</v>
      </c>
      <c r="G61" s="4">
        <f>IF(ISNUMBER(benefit_original!G61),benefit_original!G61/100000000,benefit_original!G61)</f>
        <v>0</v>
      </c>
      <c r="H61" s="4">
        <f>IF(ISNUMBER(benefit_original!H61),benefit_original!H61/100000000,benefit_original!H61)</f>
        <v>0</v>
      </c>
      <c r="I61" s="4">
        <f>IF(ISNUMBER(benefit_original!I61),benefit_original!I61/100000000,benefit_original!I61)</f>
        <v>0</v>
      </c>
      <c r="J61" s="4">
        <f>IF(ISNUMBER(benefit_original!J61),benefit_original!J61/100000000,benefit_original!J61)</f>
        <v>0</v>
      </c>
      <c r="K61" s="4">
        <f>IF(ISNUMBER(benefit_original!K61),benefit_original!K61/100000000,benefit_original!K61)</f>
        <v>0</v>
      </c>
      <c r="L61" s="4">
        <f>IF(ISNUMBER(benefit_original!L61),benefit_original!L61/100000000,benefit_original!L61)</f>
        <v>0</v>
      </c>
      <c r="M61" s="4">
        <f>IF(ISNUMBER(benefit_original!M61),benefit_original!M61/100000000,benefit_original!M61)</f>
        <v>0</v>
      </c>
      <c r="N61" s="4">
        <f>IF(ISNUMBER(benefit_original!N61),benefit_original!N61/100000000,benefit_original!N61)</f>
        <v>0</v>
      </c>
      <c r="O61" s="4">
        <f>IF(ISNUMBER(benefit_original!O61),benefit_original!O61/100000000,benefit_original!O61)</f>
        <v>0</v>
      </c>
      <c r="P61" s="4">
        <f>IF(ISNUMBER(benefit_original!P61),benefit_original!P61/100000000,benefit_original!P61)</f>
        <v>0</v>
      </c>
      <c r="Q61" s="4">
        <f>IF(ISNUMBER(benefit_original!Q61),benefit_original!Q61/100000000,benefit_original!Q61)</f>
        <v>0</v>
      </c>
      <c r="R61" s="4">
        <f>IF(ISNUMBER(benefit_original!R61),benefit_original!R61/100000000,benefit_original!R61)</f>
        <v>0</v>
      </c>
      <c r="S61" s="4">
        <f>IF(ISNUMBER(benefit_original!S61),benefit_original!S61/100000000,benefit_original!S61)</f>
        <v>0</v>
      </c>
      <c r="T61" s="4">
        <f>IF(ISNUMBER(benefit_original!T61),benefit_original!T61/100000000,benefit_original!T61)</f>
        <v>0</v>
      </c>
      <c r="U61" s="4">
        <f>IF(ISNUMBER(benefit_original!U61),benefit_original!U61/100000000,benefit_original!U61)</f>
        <v>0</v>
      </c>
      <c r="V61" s="4">
        <f>IF(ISNUMBER(benefit_original!V61),benefit_original!V61/100000000,benefit_original!V61)</f>
        <v>0</v>
      </c>
      <c r="W61" s="4">
        <f>IF(ISNUMBER(benefit_original!W61),benefit_original!W61/100000000,benefit_original!W61)</f>
        <v>0</v>
      </c>
      <c r="X61" s="4">
        <f>IF(ISNUMBER(benefit_original!X61),benefit_original!X61/100000000,benefit_original!X61)</f>
        <v>0</v>
      </c>
      <c r="Y61" s="4">
        <f>IF(ISNUMBER(benefit_original!Y61),benefit_original!Y61/100000000,benefit_original!Y61)</f>
        <v>0</v>
      </c>
      <c r="Z61" s="4">
        <f>IF(ISNUMBER(benefit_original!Z61),benefit_original!Z61/100000000,benefit_original!Z61)</f>
        <v>0</v>
      </c>
      <c r="AA61" s="4">
        <f>IF(ISNUMBER(benefit_original!AA61),benefit_original!AA61/100000000,benefit_original!AA61)</f>
        <v>0</v>
      </c>
      <c r="AB61" s="4">
        <f>IF(ISNUMBER(benefit_original!AB61),benefit_original!AB61/100000000,benefit_original!AB61)</f>
        <v>0</v>
      </c>
      <c r="AC61" s="4">
        <f>IF(ISNUMBER(benefit_original!AC61),benefit_original!AC61/100000000,benefit_original!AC61)</f>
        <v>0</v>
      </c>
      <c r="AD61" s="4">
        <f>IF(ISNUMBER(benefit_original!AD61),benefit_original!AD61/100000000,benefit_original!AD61)</f>
        <v>0</v>
      </c>
      <c r="AE61" s="4">
        <f>IF(ISNUMBER(benefit_original!AE61),benefit_original!AE61/100000000,benefit_original!AE61)</f>
        <v>0</v>
      </c>
      <c r="AF61" s="4">
        <f>IF(ISNUMBER(benefit_original!AF61),benefit_original!AF61/100000000,benefit_original!AF61)</f>
        <v>0</v>
      </c>
      <c r="AG61" s="4">
        <f>IF(ISNUMBER(benefit_original!AG61),benefit_original!AG61/100000000,benefit_original!AG61)</f>
        <v>0</v>
      </c>
      <c r="AH61" s="4">
        <f>IF(ISNUMBER(benefit_original!AH61),benefit_original!AH61/100000000,benefit_original!AH61)</f>
        <v>0</v>
      </c>
      <c r="AI61" s="4">
        <f>IF(ISNUMBER(benefit_original!AI61),benefit_original!AI61/100000000,benefit_original!AI61)</f>
        <v>0</v>
      </c>
      <c r="AJ61" s="4">
        <f>IF(ISNUMBER(benefit_original!AJ61),benefit_original!AJ61/100000000,benefit_original!AJ61)</f>
        <v>0</v>
      </c>
      <c r="AK61" s="4">
        <f>IF(ISNUMBER(benefit_original!AK61),benefit_original!AK61/100000000,benefit_original!AK61)</f>
        <v>0</v>
      </c>
      <c r="AL61" s="4">
        <f>IF(ISNUMBER(benefit_original!AL61),benefit_original!AL61/100000000,benefit_original!AL61)</f>
        <v>0</v>
      </c>
      <c r="AM61" s="4">
        <f>IF(ISNUMBER(benefit_original!AM61),benefit_original!AM61/100000000,benefit_original!AM61)</f>
        <v>0</v>
      </c>
      <c r="AN61" s="4">
        <f>IF(ISNUMBER(benefit_original!AN61),benefit_original!AN61/100000000,benefit_original!AN61)</f>
        <v>0</v>
      </c>
      <c r="AO61" s="4">
        <f>IF(ISNUMBER(benefit_original!AO61),benefit_original!AO61/100000000,benefit_original!AO61)</f>
        <v>0</v>
      </c>
      <c r="AP61" s="4">
        <f>IF(ISNUMBER(benefit_original!AP61),benefit_original!AP61/100000000,benefit_original!AP61)</f>
        <v>0</v>
      </c>
      <c r="AQ61" s="4">
        <f>IF(ISNUMBER(benefit_original!AQ61),benefit_original!AQ61/100000000,benefit_original!AQ61)</f>
        <v>0</v>
      </c>
    </row>
    <row r="62" spans="2:43" x14ac:dyDescent="0.25">
      <c r="B62" s="4">
        <f>IF(ISNUMBER(benefit_original!B62),benefit_original!B62/100000000,benefit_original!B62)</f>
        <v>0</v>
      </c>
      <c r="C62" s="4">
        <f>IF(ISNUMBER(benefit_original!C62),benefit_original!C62/100000000,benefit_original!C62)</f>
        <v>0</v>
      </c>
      <c r="D62" s="4">
        <f>IF(ISNUMBER(benefit_original!D62),benefit_original!D62/100000000,benefit_original!D62)</f>
        <v>0</v>
      </c>
      <c r="E62" s="4">
        <f>IF(ISNUMBER(benefit_original!E62),benefit_original!E62/100000000,benefit_original!E62)</f>
        <v>0</v>
      </c>
      <c r="F62" s="4">
        <f>IF(ISNUMBER(benefit_original!F62),benefit_original!F62/100000000,benefit_original!F62)</f>
        <v>0</v>
      </c>
      <c r="G62" s="4">
        <f>IF(ISNUMBER(benefit_original!G62),benefit_original!G62/100000000,benefit_original!G62)</f>
        <v>0</v>
      </c>
      <c r="H62" s="4">
        <f>IF(ISNUMBER(benefit_original!H62),benefit_original!H62/100000000,benefit_original!H62)</f>
        <v>0</v>
      </c>
      <c r="I62" s="4">
        <f>IF(ISNUMBER(benefit_original!I62),benefit_original!I62/100000000,benefit_original!I62)</f>
        <v>0</v>
      </c>
      <c r="J62" s="4">
        <f>IF(ISNUMBER(benefit_original!J62),benefit_original!J62/100000000,benefit_original!J62)</f>
        <v>0</v>
      </c>
      <c r="K62" s="4">
        <f>IF(ISNUMBER(benefit_original!K62),benefit_original!K62/100000000,benefit_original!K62)</f>
        <v>0</v>
      </c>
      <c r="L62" s="4">
        <f>IF(ISNUMBER(benefit_original!L62),benefit_original!L62/100000000,benefit_original!L62)</f>
        <v>0</v>
      </c>
      <c r="M62" s="4">
        <f>IF(ISNUMBER(benefit_original!M62),benefit_original!M62/100000000,benefit_original!M62)</f>
        <v>0</v>
      </c>
      <c r="N62" s="4">
        <f>IF(ISNUMBER(benefit_original!N62),benefit_original!N62/100000000,benefit_original!N62)</f>
        <v>0</v>
      </c>
      <c r="O62" s="4">
        <f>IF(ISNUMBER(benefit_original!O62),benefit_original!O62/100000000,benefit_original!O62)</f>
        <v>0</v>
      </c>
      <c r="P62" s="4">
        <f>IF(ISNUMBER(benefit_original!P62),benefit_original!P62/100000000,benefit_original!P62)</f>
        <v>0</v>
      </c>
      <c r="Q62" s="4">
        <f>IF(ISNUMBER(benefit_original!Q62),benefit_original!Q62/100000000,benefit_original!Q62)</f>
        <v>0</v>
      </c>
      <c r="R62" s="4">
        <f>IF(ISNUMBER(benefit_original!R62),benefit_original!R62/100000000,benefit_original!R62)</f>
        <v>0</v>
      </c>
      <c r="S62" s="4">
        <f>IF(ISNUMBER(benefit_original!S62),benefit_original!S62/100000000,benefit_original!S62)</f>
        <v>0</v>
      </c>
      <c r="T62" s="4">
        <f>IF(ISNUMBER(benefit_original!T62),benefit_original!T62/100000000,benefit_original!T62)</f>
        <v>0</v>
      </c>
      <c r="U62" s="4">
        <f>IF(ISNUMBER(benefit_original!U62),benefit_original!U62/100000000,benefit_original!U62)</f>
        <v>0</v>
      </c>
      <c r="V62" s="4">
        <f>IF(ISNUMBER(benefit_original!V62),benefit_original!V62/100000000,benefit_original!V62)</f>
        <v>0</v>
      </c>
      <c r="W62" s="4">
        <f>IF(ISNUMBER(benefit_original!W62),benefit_original!W62/100000000,benefit_original!W62)</f>
        <v>0</v>
      </c>
      <c r="X62" s="4">
        <f>IF(ISNUMBER(benefit_original!X62),benefit_original!X62/100000000,benefit_original!X62)</f>
        <v>0</v>
      </c>
      <c r="Y62" s="4">
        <f>IF(ISNUMBER(benefit_original!Y62),benefit_original!Y62/100000000,benefit_original!Y62)</f>
        <v>0</v>
      </c>
      <c r="Z62" s="4">
        <f>IF(ISNUMBER(benefit_original!Z62),benefit_original!Z62/100000000,benefit_original!Z62)</f>
        <v>0</v>
      </c>
      <c r="AA62" s="4">
        <f>IF(ISNUMBER(benefit_original!AA62),benefit_original!AA62/100000000,benefit_original!AA62)</f>
        <v>0</v>
      </c>
      <c r="AB62" s="4">
        <f>IF(ISNUMBER(benefit_original!AB62),benefit_original!AB62/100000000,benefit_original!AB62)</f>
        <v>0</v>
      </c>
      <c r="AC62" s="4">
        <f>IF(ISNUMBER(benefit_original!AC62),benefit_original!AC62/100000000,benefit_original!AC62)</f>
        <v>0</v>
      </c>
      <c r="AD62" s="4">
        <f>IF(ISNUMBER(benefit_original!AD62),benefit_original!AD62/100000000,benefit_original!AD62)</f>
        <v>0</v>
      </c>
      <c r="AE62" s="4">
        <f>IF(ISNUMBER(benefit_original!AE62),benefit_original!AE62/100000000,benefit_original!AE62)</f>
        <v>0</v>
      </c>
      <c r="AF62" s="4">
        <f>IF(ISNUMBER(benefit_original!AF62),benefit_original!AF62/100000000,benefit_original!AF62)</f>
        <v>0</v>
      </c>
      <c r="AG62" s="4">
        <f>IF(ISNUMBER(benefit_original!AG62),benefit_original!AG62/100000000,benefit_original!AG62)</f>
        <v>0</v>
      </c>
      <c r="AH62" s="4">
        <f>IF(ISNUMBER(benefit_original!AH62),benefit_original!AH62/100000000,benefit_original!AH62)</f>
        <v>0</v>
      </c>
      <c r="AI62" s="4">
        <f>IF(ISNUMBER(benefit_original!AI62),benefit_original!AI62/100000000,benefit_original!AI62)</f>
        <v>0</v>
      </c>
      <c r="AJ62" s="4">
        <f>IF(ISNUMBER(benefit_original!AJ62),benefit_original!AJ62/100000000,benefit_original!AJ62)</f>
        <v>0</v>
      </c>
      <c r="AK62" s="4">
        <f>IF(ISNUMBER(benefit_original!AK62),benefit_original!AK62/100000000,benefit_original!AK62)</f>
        <v>0</v>
      </c>
      <c r="AL62" s="4">
        <f>IF(ISNUMBER(benefit_original!AL62),benefit_original!AL62/100000000,benefit_original!AL62)</f>
        <v>0</v>
      </c>
      <c r="AM62" s="4">
        <f>IF(ISNUMBER(benefit_original!AM62),benefit_original!AM62/100000000,benefit_original!AM62)</f>
        <v>0</v>
      </c>
      <c r="AN62" s="4">
        <f>IF(ISNUMBER(benefit_original!AN62),benefit_original!AN62/100000000,benefit_original!AN62)</f>
        <v>0</v>
      </c>
      <c r="AO62" s="4">
        <f>IF(ISNUMBER(benefit_original!AO62),benefit_original!AO62/100000000,benefit_original!AO62)</f>
        <v>0</v>
      </c>
      <c r="AP62" s="4">
        <f>IF(ISNUMBER(benefit_original!AP62),benefit_original!AP62/100000000,benefit_original!AP62)</f>
        <v>0</v>
      </c>
      <c r="AQ62" s="4">
        <f>IF(ISNUMBER(benefit_original!AQ62),benefit_original!AQ62/100000000,benefit_original!AQ62)</f>
        <v>0</v>
      </c>
    </row>
    <row r="63" spans="2:43" x14ac:dyDescent="0.25">
      <c r="B63" s="4">
        <f>IF(ISNUMBER(benefit_original!B63),benefit_original!B63/100000000,benefit_original!B63)</f>
        <v>0</v>
      </c>
      <c r="C63" s="4">
        <f>IF(ISNUMBER(benefit_original!C63),benefit_original!C63/100000000,benefit_original!C63)</f>
        <v>0</v>
      </c>
      <c r="D63" s="4">
        <f>IF(ISNUMBER(benefit_original!D63),benefit_original!D63/100000000,benefit_original!D63)</f>
        <v>0</v>
      </c>
      <c r="E63" s="4">
        <f>IF(ISNUMBER(benefit_original!E63),benefit_original!E63/100000000,benefit_original!E63)</f>
        <v>0</v>
      </c>
      <c r="F63" s="4">
        <f>IF(ISNUMBER(benefit_original!F63),benefit_original!F63/100000000,benefit_original!F63)</f>
        <v>0</v>
      </c>
      <c r="G63" s="4">
        <f>IF(ISNUMBER(benefit_original!G63),benefit_original!G63/100000000,benefit_original!G63)</f>
        <v>0</v>
      </c>
      <c r="H63" s="4">
        <f>IF(ISNUMBER(benefit_original!H63),benefit_original!H63/100000000,benefit_original!H63)</f>
        <v>0</v>
      </c>
      <c r="I63" s="4">
        <f>IF(ISNUMBER(benefit_original!I63),benefit_original!I63/100000000,benefit_original!I63)</f>
        <v>0</v>
      </c>
      <c r="J63" s="4">
        <f>IF(ISNUMBER(benefit_original!J63),benefit_original!J63/100000000,benefit_original!J63)</f>
        <v>0</v>
      </c>
      <c r="K63" s="4">
        <f>IF(ISNUMBER(benefit_original!K63),benefit_original!K63/100000000,benefit_original!K63)</f>
        <v>0</v>
      </c>
      <c r="L63" s="4">
        <f>IF(ISNUMBER(benefit_original!L63),benefit_original!L63/100000000,benefit_original!L63)</f>
        <v>0</v>
      </c>
      <c r="M63" s="4">
        <f>IF(ISNUMBER(benefit_original!M63),benefit_original!M63/100000000,benefit_original!M63)</f>
        <v>0</v>
      </c>
      <c r="N63" s="4">
        <f>IF(ISNUMBER(benefit_original!N63),benefit_original!N63/100000000,benefit_original!N63)</f>
        <v>0</v>
      </c>
      <c r="O63" s="4">
        <f>IF(ISNUMBER(benefit_original!O63),benefit_original!O63/100000000,benefit_original!O63)</f>
        <v>0</v>
      </c>
      <c r="P63" s="4">
        <f>IF(ISNUMBER(benefit_original!P63),benefit_original!P63/100000000,benefit_original!P63)</f>
        <v>0</v>
      </c>
      <c r="Q63" s="4">
        <f>IF(ISNUMBER(benefit_original!Q63),benefit_original!Q63/100000000,benefit_original!Q63)</f>
        <v>0</v>
      </c>
      <c r="R63" s="4">
        <f>IF(ISNUMBER(benefit_original!R63),benefit_original!R63/100000000,benefit_original!R63)</f>
        <v>0</v>
      </c>
      <c r="S63" s="4">
        <f>IF(ISNUMBER(benefit_original!S63),benefit_original!S63/100000000,benefit_original!S63)</f>
        <v>0</v>
      </c>
      <c r="T63" s="4">
        <f>IF(ISNUMBER(benefit_original!T63),benefit_original!T63/100000000,benefit_original!T63)</f>
        <v>0</v>
      </c>
      <c r="U63" s="4">
        <f>IF(ISNUMBER(benefit_original!U63),benefit_original!U63/100000000,benefit_original!U63)</f>
        <v>0</v>
      </c>
      <c r="V63" s="4">
        <f>IF(ISNUMBER(benefit_original!V63),benefit_original!V63/100000000,benefit_original!V63)</f>
        <v>0</v>
      </c>
      <c r="W63" s="4">
        <f>IF(ISNUMBER(benefit_original!W63),benefit_original!W63/100000000,benefit_original!W63)</f>
        <v>0</v>
      </c>
      <c r="X63" s="4">
        <f>IF(ISNUMBER(benefit_original!X63),benefit_original!X63/100000000,benefit_original!X63)</f>
        <v>0</v>
      </c>
      <c r="Y63" s="4">
        <f>IF(ISNUMBER(benefit_original!Y63),benefit_original!Y63/100000000,benefit_original!Y63)</f>
        <v>0</v>
      </c>
      <c r="Z63" s="4">
        <f>IF(ISNUMBER(benefit_original!Z63),benefit_original!Z63/100000000,benefit_original!Z63)</f>
        <v>0</v>
      </c>
      <c r="AA63" s="4">
        <f>IF(ISNUMBER(benefit_original!AA63),benefit_original!AA63/100000000,benefit_original!AA63)</f>
        <v>0</v>
      </c>
      <c r="AB63" s="4">
        <f>IF(ISNUMBER(benefit_original!AB63),benefit_original!AB63/100000000,benefit_original!AB63)</f>
        <v>0</v>
      </c>
      <c r="AC63" s="4">
        <f>IF(ISNUMBER(benefit_original!AC63),benefit_original!AC63/100000000,benefit_original!AC63)</f>
        <v>0</v>
      </c>
      <c r="AD63" s="4">
        <f>IF(ISNUMBER(benefit_original!AD63),benefit_original!AD63/100000000,benefit_original!AD63)</f>
        <v>0</v>
      </c>
      <c r="AE63" s="4">
        <f>IF(ISNUMBER(benefit_original!AE63),benefit_original!AE63/100000000,benefit_original!AE63)</f>
        <v>0</v>
      </c>
      <c r="AF63" s="4">
        <f>IF(ISNUMBER(benefit_original!AF63),benefit_original!AF63/100000000,benefit_original!AF63)</f>
        <v>0</v>
      </c>
      <c r="AG63" s="4">
        <f>IF(ISNUMBER(benefit_original!AG63),benefit_original!AG63/100000000,benefit_original!AG63)</f>
        <v>0</v>
      </c>
      <c r="AH63" s="4">
        <f>IF(ISNUMBER(benefit_original!AH63),benefit_original!AH63/100000000,benefit_original!AH63)</f>
        <v>0</v>
      </c>
      <c r="AI63" s="4">
        <f>IF(ISNUMBER(benefit_original!AI63),benefit_original!AI63/100000000,benefit_original!AI63)</f>
        <v>0</v>
      </c>
      <c r="AJ63" s="4">
        <f>IF(ISNUMBER(benefit_original!AJ63),benefit_original!AJ63/100000000,benefit_original!AJ63)</f>
        <v>0</v>
      </c>
      <c r="AK63" s="4">
        <f>IF(ISNUMBER(benefit_original!AK63),benefit_original!AK63/100000000,benefit_original!AK63)</f>
        <v>0</v>
      </c>
      <c r="AL63" s="4">
        <f>IF(ISNUMBER(benefit_original!AL63),benefit_original!AL63/100000000,benefit_original!AL63)</f>
        <v>0</v>
      </c>
      <c r="AM63" s="4">
        <f>IF(ISNUMBER(benefit_original!AM63),benefit_original!AM63/100000000,benefit_original!AM63)</f>
        <v>0</v>
      </c>
      <c r="AN63" s="4">
        <f>IF(ISNUMBER(benefit_original!AN63),benefit_original!AN63/100000000,benefit_original!AN63)</f>
        <v>0</v>
      </c>
      <c r="AO63" s="4">
        <f>IF(ISNUMBER(benefit_original!AO63),benefit_original!AO63/100000000,benefit_original!AO63)</f>
        <v>0</v>
      </c>
      <c r="AP63" s="4">
        <f>IF(ISNUMBER(benefit_original!AP63),benefit_original!AP63/100000000,benefit_original!AP63)</f>
        <v>0</v>
      </c>
      <c r="AQ63" s="4">
        <f>IF(ISNUMBER(benefit_original!AQ63),benefit_original!AQ63/100000000,benefit_original!AQ63)</f>
        <v>0</v>
      </c>
    </row>
    <row r="64" spans="2:43" x14ac:dyDescent="0.25">
      <c r="B64" s="4">
        <f>IF(ISNUMBER(benefit_original!B64),benefit_original!B64/100000000,benefit_original!B64)</f>
        <v>0</v>
      </c>
      <c r="C64" s="4">
        <f>IF(ISNUMBER(benefit_original!C64),benefit_original!C64/100000000,benefit_original!C64)</f>
        <v>0</v>
      </c>
      <c r="D64" s="4">
        <f>IF(ISNUMBER(benefit_original!D64),benefit_original!D64/100000000,benefit_original!D64)</f>
        <v>0</v>
      </c>
      <c r="E64" s="4">
        <f>IF(ISNUMBER(benefit_original!E64),benefit_original!E64/100000000,benefit_original!E64)</f>
        <v>0</v>
      </c>
      <c r="F64" s="4">
        <f>IF(ISNUMBER(benefit_original!F64),benefit_original!F64/100000000,benefit_original!F64)</f>
        <v>0</v>
      </c>
      <c r="G64" s="4">
        <f>IF(ISNUMBER(benefit_original!G64),benefit_original!G64/100000000,benefit_original!G64)</f>
        <v>0</v>
      </c>
      <c r="H64" s="4">
        <f>IF(ISNUMBER(benefit_original!H64),benefit_original!H64/100000000,benefit_original!H64)</f>
        <v>0</v>
      </c>
      <c r="I64" s="4">
        <f>IF(ISNUMBER(benefit_original!I64),benefit_original!I64/100000000,benefit_original!I64)</f>
        <v>0</v>
      </c>
      <c r="J64" s="4">
        <f>IF(ISNUMBER(benefit_original!J64),benefit_original!J64/100000000,benefit_original!J64)</f>
        <v>0</v>
      </c>
      <c r="K64" s="4">
        <f>IF(ISNUMBER(benefit_original!K64),benefit_original!K64/100000000,benefit_original!K64)</f>
        <v>0</v>
      </c>
      <c r="L64" s="4">
        <f>IF(ISNUMBER(benefit_original!L64),benefit_original!L64/100000000,benefit_original!L64)</f>
        <v>0</v>
      </c>
      <c r="M64" s="4">
        <f>IF(ISNUMBER(benefit_original!M64),benefit_original!M64/100000000,benefit_original!M64)</f>
        <v>0</v>
      </c>
      <c r="N64" s="4">
        <f>IF(ISNUMBER(benefit_original!N64),benefit_original!N64/100000000,benefit_original!N64)</f>
        <v>0</v>
      </c>
      <c r="O64" s="4">
        <f>IF(ISNUMBER(benefit_original!O64),benefit_original!O64/100000000,benefit_original!O64)</f>
        <v>0</v>
      </c>
      <c r="P64" s="4">
        <f>IF(ISNUMBER(benefit_original!P64),benefit_original!P64/100000000,benefit_original!P64)</f>
        <v>0</v>
      </c>
      <c r="Q64" s="4">
        <f>IF(ISNUMBER(benefit_original!Q64),benefit_original!Q64/100000000,benefit_original!Q64)</f>
        <v>0</v>
      </c>
      <c r="R64" s="4">
        <f>IF(ISNUMBER(benefit_original!R64),benefit_original!R64/100000000,benefit_original!R64)</f>
        <v>0</v>
      </c>
      <c r="S64" s="4">
        <f>IF(ISNUMBER(benefit_original!S64),benefit_original!S64/100000000,benefit_original!S64)</f>
        <v>0</v>
      </c>
      <c r="T64" s="4">
        <f>IF(ISNUMBER(benefit_original!T64),benefit_original!T64/100000000,benefit_original!T64)</f>
        <v>0</v>
      </c>
      <c r="U64" s="4">
        <f>IF(ISNUMBER(benefit_original!U64),benefit_original!U64/100000000,benefit_original!U64)</f>
        <v>0</v>
      </c>
      <c r="V64" s="4">
        <f>IF(ISNUMBER(benefit_original!V64),benefit_original!V64/100000000,benefit_original!V64)</f>
        <v>0</v>
      </c>
      <c r="W64" s="4">
        <f>IF(ISNUMBER(benefit_original!W64),benefit_original!W64/100000000,benefit_original!W64)</f>
        <v>0</v>
      </c>
      <c r="X64" s="4">
        <f>IF(ISNUMBER(benefit_original!X64),benefit_original!X64/100000000,benefit_original!X64)</f>
        <v>0</v>
      </c>
      <c r="Y64" s="4">
        <f>IF(ISNUMBER(benefit_original!Y64),benefit_original!Y64/100000000,benefit_original!Y64)</f>
        <v>0</v>
      </c>
      <c r="Z64" s="4">
        <f>IF(ISNUMBER(benefit_original!Z64),benefit_original!Z64/100000000,benefit_original!Z64)</f>
        <v>0</v>
      </c>
      <c r="AA64" s="4">
        <f>IF(ISNUMBER(benefit_original!AA64),benefit_original!AA64/100000000,benefit_original!AA64)</f>
        <v>0</v>
      </c>
      <c r="AB64" s="4">
        <f>IF(ISNUMBER(benefit_original!AB64),benefit_original!AB64/100000000,benefit_original!AB64)</f>
        <v>0</v>
      </c>
      <c r="AC64" s="4">
        <f>IF(ISNUMBER(benefit_original!AC64),benefit_original!AC64/100000000,benefit_original!AC64)</f>
        <v>0</v>
      </c>
      <c r="AD64" s="4">
        <f>IF(ISNUMBER(benefit_original!AD64),benefit_original!AD64/100000000,benefit_original!AD64)</f>
        <v>0</v>
      </c>
      <c r="AE64" s="4">
        <f>IF(ISNUMBER(benefit_original!AE64),benefit_original!AE64/100000000,benefit_original!AE64)</f>
        <v>0</v>
      </c>
      <c r="AF64" s="4">
        <f>IF(ISNUMBER(benefit_original!AF64),benefit_original!AF64/100000000,benefit_original!AF64)</f>
        <v>0</v>
      </c>
      <c r="AG64" s="4">
        <f>IF(ISNUMBER(benefit_original!AG64),benefit_original!AG64/100000000,benefit_original!AG64)</f>
        <v>0</v>
      </c>
      <c r="AH64" s="4">
        <f>IF(ISNUMBER(benefit_original!AH64),benefit_original!AH64/100000000,benefit_original!AH64)</f>
        <v>0</v>
      </c>
      <c r="AI64" s="4">
        <f>IF(ISNUMBER(benefit_original!AI64),benefit_original!AI64/100000000,benefit_original!AI64)</f>
        <v>0</v>
      </c>
      <c r="AJ64" s="4">
        <f>IF(ISNUMBER(benefit_original!AJ64),benefit_original!AJ64/100000000,benefit_original!AJ64)</f>
        <v>0</v>
      </c>
      <c r="AK64" s="4">
        <f>IF(ISNUMBER(benefit_original!AK64),benefit_original!AK64/100000000,benefit_original!AK64)</f>
        <v>0</v>
      </c>
      <c r="AL64" s="4">
        <f>IF(ISNUMBER(benefit_original!AL64),benefit_original!AL64/100000000,benefit_original!AL64)</f>
        <v>0</v>
      </c>
      <c r="AM64" s="4">
        <f>IF(ISNUMBER(benefit_original!AM64),benefit_original!AM64/100000000,benefit_original!AM64)</f>
        <v>0</v>
      </c>
      <c r="AN64" s="4">
        <f>IF(ISNUMBER(benefit_original!AN64),benefit_original!AN64/100000000,benefit_original!AN64)</f>
        <v>0</v>
      </c>
      <c r="AO64" s="4">
        <f>IF(ISNUMBER(benefit_original!AO64),benefit_original!AO64/100000000,benefit_original!AO64)</f>
        <v>0</v>
      </c>
      <c r="AP64" s="4">
        <f>IF(ISNUMBER(benefit_original!AP64),benefit_original!AP64/100000000,benefit_original!AP64)</f>
        <v>0</v>
      </c>
      <c r="AQ64" s="4">
        <f>IF(ISNUMBER(benefit_original!AQ64),benefit_original!AQ64/100000000,benefit_original!AQ64)</f>
        <v>0</v>
      </c>
    </row>
    <row r="65" spans="2:43" x14ac:dyDescent="0.25">
      <c r="B65" s="4">
        <f>IF(ISNUMBER(benefit_original!B65),benefit_original!B65/100000000,benefit_original!B65)</f>
        <v>0</v>
      </c>
      <c r="C65" s="4">
        <f>IF(ISNUMBER(benefit_original!C65),benefit_original!C65/100000000,benefit_original!C65)</f>
        <v>0</v>
      </c>
      <c r="D65" s="4">
        <f>IF(ISNUMBER(benefit_original!D65),benefit_original!D65/100000000,benefit_original!D65)</f>
        <v>0</v>
      </c>
      <c r="E65" s="4">
        <f>IF(ISNUMBER(benefit_original!E65),benefit_original!E65/100000000,benefit_original!E65)</f>
        <v>0</v>
      </c>
      <c r="F65" s="4">
        <f>IF(ISNUMBER(benefit_original!F65),benefit_original!F65/100000000,benefit_original!F65)</f>
        <v>0</v>
      </c>
      <c r="G65" s="4">
        <f>IF(ISNUMBER(benefit_original!G65),benefit_original!G65/100000000,benefit_original!G65)</f>
        <v>0</v>
      </c>
      <c r="H65" s="4">
        <f>IF(ISNUMBER(benefit_original!H65),benefit_original!H65/100000000,benefit_original!H65)</f>
        <v>0</v>
      </c>
      <c r="I65" s="4">
        <f>IF(ISNUMBER(benefit_original!I65),benefit_original!I65/100000000,benefit_original!I65)</f>
        <v>0</v>
      </c>
      <c r="J65" s="4">
        <f>IF(ISNUMBER(benefit_original!J65),benefit_original!J65/100000000,benefit_original!J65)</f>
        <v>0</v>
      </c>
      <c r="K65" s="4">
        <f>IF(ISNUMBER(benefit_original!K65),benefit_original!K65/100000000,benefit_original!K65)</f>
        <v>0</v>
      </c>
      <c r="L65" s="4">
        <f>IF(ISNUMBER(benefit_original!L65),benefit_original!L65/100000000,benefit_original!L65)</f>
        <v>0</v>
      </c>
      <c r="M65" s="4">
        <f>IF(ISNUMBER(benefit_original!M65),benefit_original!M65/100000000,benefit_original!M65)</f>
        <v>0</v>
      </c>
      <c r="N65" s="4">
        <f>IF(ISNUMBER(benefit_original!N65),benefit_original!N65/100000000,benefit_original!N65)</f>
        <v>0</v>
      </c>
      <c r="O65" s="4">
        <f>IF(ISNUMBER(benefit_original!O65),benefit_original!O65/100000000,benefit_original!O65)</f>
        <v>0</v>
      </c>
      <c r="P65" s="4">
        <f>IF(ISNUMBER(benefit_original!P65),benefit_original!P65/100000000,benefit_original!P65)</f>
        <v>0</v>
      </c>
      <c r="Q65" s="4">
        <f>IF(ISNUMBER(benefit_original!Q65),benefit_original!Q65/100000000,benefit_original!Q65)</f>
        <v>0</v>
      </c>
      <c r="R65" s="4">
        <f>IF(ISNUMBER(benefit_original!R65),benefit_original!R65/100000000,benefit_original!R65)</f>
        <v>0</v>
      </c>
      <c r="S65" s="4">
        <f>IF(ISNUMBER(benefit_original!S65),benefit_original!S65/100000000,benefit_original!S65)</f>
        <v>0</v>
      </c>
      <c r="T65" s="4">
        <f>IF(ISNUMBER(benefit_original!T65),benefit_original!T65/100000000,benefit_original!T65)</f>
        <v>0</v>
      </c>
      <c r="U65" s="4">
        <f>IF(ISNUMBER(benefit_original!U65),benefit_original!U65/100000000,benefit_original!U65)</f>
        <v>0</v>
      </c>
      <c r="V65" s="4">
        <f>IF(ISNUMBER(benefit_original!V65),benefit_original!V65/100000000,benefit_original!V65)</f>
        <v>0</v>
      </c>
      <c r="W65" s="4">
        <f>IF(ISNUMBER(benefit_original!W65),benefit_original!W65/100000000,benefit_original!W65)</f>
        <v>0</v>
      </c>
      <c r="X65" s="4">
        <f>IF(ISNUMBER(benefit_original!X65),benefit_original!X65/100000000,benefit_original!X65)</f>
        <v>0</v>
      </c>
      <c r="Y65" s="4">
        <f>IF(ISNUMBER(benefit_original!Y65),benefit_original!Y65/100000000,benefit_original!Y65)</f>
        <v>0</v>
      </c>
      <c r="Z65" s="4">
        <f>IF(ISNUMBER(benefit_original!Z65),benefit_original!Z65/100000000,benefit_original!Z65)</f>
        <v>0</v>
      </c>
      <c r="AA65" s="4">
        <f>IF(ISNUMBER(benefit_original!AA65),benefit_original!AA65/100000000,benefit_original!AA65)</f>
        <v>0</v>
      </c>
      <c r="AB65" s="4">
        <f>IF(ISNUMBER(benefit_original!AB65),benefit_original!AB65/100000000,benefit_original!AB65)</f>
        <v>0</v>
      </c>
      <c r="AC65" s="4">
        <f>IF(ISNUMBER(benefit_original!AC65),benefit_original!AC65/100000000,benefit_original!AC65)</f>
        <v>0</v>
      </c>
      <c r="AD65" s="4">
        <f>IF(ISNUMBER(benefit_original!AD65),benefit_original!AD65/100000000,benefit_original!AD65)</f>
        <v>0</v>
      </c>
      <c r="AE65" s="4">
        <f>IF(ISNUMBER(benefit_original!AE65),benefit_original!AE65/100000000,benefit_original!AE65)</f>
        <v>0</v>
      </c>
      <c r="AF65" s="4">
        <f>IF(ISNUMBER(benefit_original!AF65),benefit_original!AF65/100000000,benefit_original!AF65)</f>
        <v>0</v>
      </c>
      <c r="AG65" s="4">
        <f>IF(ISNUMBER(benefit_original!AG65),benefit_original!AG65/100000000,benefit_original!AG65)</f>
        <v>0</v>
      </c>
      <c r="AH65" s="4">
        <f>IF(ISNUMBER(benefit_original!AH65),benefit_original!AH65/100000000,benefit_original!AH65)</f>
        <v>0</v>
      </c>
      <c r="AI65" s="4">
        <f>IF(ISNUMBER(benefit_original!AI65),benefit_original!AI65/100000000,benefit_original!AI65)</f>
        <v>0</v>
      </c>
      <c r="AJ65" s="4">
        <f>IF(ISNUMBER(benefit_original!AJ65),benefit_original!AJ65/100000000,benefit_original!AJ65)</f>
        <v>0</v>
      </c>
      <c r="AK65" s="4">
        <f>IF(ISNUMBER(benefit_original!AK65),benefit_original!AK65/100000000,benefit_original!AK65)</f>
        <v>0</v>
      </c>
      <c r="AL65" s="4">
        <f>IF(ISNUMBER(benefit_original!AL65),benefit_original!AL65/100000000,benefit_original!AL65)</f>
        <v>0</v>
      </c>
      <c r="AM65" s="4">
        <f>IF(ISNUMBER(benefit_original!AM65),benefit_original!AM65/100000000,benefit_original!AM65)</f>
        <v>0</v>
      </c>
      <c r="AN65" s="4">
        <f>IF(ISNUMBER(benefit_original!AN65),benefit_original!AN65/100000000,benefit_original!AN65)</f>
        <v>0</v>
      </c>
      <c r="AO65" s="4">
        <f>IF(ISNUMBER(benefit_original!AO65),benefit_original!AO65/100000000,benefit_original!AO65)</f>
        <v>0</v>
      </c>
      <c r="AP65" s="4">
        <f>IF(ISNUMBER(benefit_original!AP65),benefit_original!AP65/100000000,benefit_original!AP65)</f>
        <v>0</v>
      </c>
      <c r="AQ65" s="4">
        <f>IF(ISNUMBER(benefit_original!AQ65),benefit_original!AQ65/100000000,benefit_original!AQ65)</f>
        <v>0</v>
      </c>
    </row>
    <row r="66" spans="2:43" x14ac:dyDescent="0.25">
      <c r="B66" s="4">
        <f>IF(ISNUMBER(benefit_original!B66),benefit_original!B66/100000000,benefit_original!B66)</f>
        <v>0</v>
      </c>
      <c r="C66" s="4">
        <f>IF(ISNUMBER(benefit_original!C66),benefit_original!C66/100000000,benefit_original!C66)</f>
        <v>0</v>
      </c>
      <c r="D66" s="4">
        <f>IF(ISNUMBER(benefit_original!D66),benefit_original!D66/100000000,benefit_original!D66)</f>
        <v>0</v>
      </c>
      <c r="E66" s="4">
        <f>IF(ISNUMBER(benefit_original!E66),benefit_original!E66/100000000,benefit_original!E66)</f>
        <v>0</v>
      </c>
      <c r="F66" s="4">
        <f>IF(ISNUMBER(benefit_original!F66),benefit_original!F66/100000000,benefit_original!F66)</f>
        <v>0</v>
      </c>
      <c r="G66" s="4">
        <f>IF(ISNUMBER(benefit_original!G66),benefit_original!G66/100000000,benefit_original!G66)</f>
        <v>0</v>
      </c>
      <c r="H66" s="4">
        <f>IF(ISNUMBER(benefit_original!H66),benefit_original!H66/100000000,benefit_original!H66)</f>
        <v>0</v>
      </c>
      <c r="I66" s="4">
        <f>IF(ISNUMBER(benefit_original!I66),benefit_original!I66/100000000,benefit_original!I66)</f>
        <v>0</v>
      </c>
      <c r="J66" s="4">
        <f>IF(ISNUMBER(benefit_original!J66),benefit_original!J66/100000000,benefit_original!J66)</f>
        <v>0</v>
      </c>
      <c r="K66" s="4">
        <f>IF(ISNUMBER(benefit_original!K66),benefit_original!K66/100000000,benefit_original!K66)</f>
        <v>0</v>
      </c>
      <c r="L66" s="4">
        <f>IF(ISNUMBER(benefit_original!L66),benefit_original!L66/100000000,benefit_original!L66)</f>
        <v>0</v>
      </c>
      <c r="M66" s="4">
        <f>IF(ISNUMBER(benefit_original!M66),benefit_original!M66/100000000,benefit_original!M66)</f>
        <v>0</v>
      </c>
      <c r="N66" s="4">
        <f>IF(ISNUMBER(benefit_original!N66),benefit_original!N66/100000000,benefit_original!N66)</f>
        <v>0</v>
      </c>
      <c r="O66" s="4">
        <f>IF(ISNUMBER(benefit_original!O66),benefit_original!O66/100000000,benefit_original!O66)</f>
        <v>0</v>
      </c>
      <c r="P66" s="4">
        <f>IF(ISNUMBER(benefit_original!P66),benefit_original!P66/100000000,benefit_original!P66)</f>
        <v>0</v>
      </c>
      <c r="Q66" s="4">
        <f>IF(ISNUMBER(benefit_original!Q66),benefit_original!Q66/100000000,benefit_original!Q66)</f>
        <v>0</v>
      </c>
      <c r="R66" s="4">
        <f>IF(ISNUMBER(benefit_original!R66),benefit_original!R66/100000000,benefit_original!R66)</f>
        <v>0</v>
      </c>
      <c r="S66" s="4">
        <f>IF(ISNUMBER(benefit_original!S66),benefit_original!S66/100000000,benefit_original!S66)</f>
        <v>0</v>
      </c>
      <c r="T66" s="4">
        <f>IF(ISNUMBER(benefit_original!T66),benefit_original!T66/100000000,benefit_original!T66)</f>
        <v>0</v>
      </c>
      <c r="U66" s="4">
        <f>IF(ISNUMBER(benefit_original!U66),benefit_original!U66/100000000,benefit_original!U66)</f>
        <v>0</v>
      </c>
      <c r="V66" s="4">
        <f>IF(ISNUMBER(benefit_original!V66),benefit_original!V66/100000000,benefit_original!V66)</f>
        <v>0</v>
      </c>
      <c r="W66" s="4">
        <f>IF(ISNUMBER(benefit_original!W66),benefit_original!W66/100000000,benefit_original!W66)</f>
        <v>0</v>
      </c>
      <c r="X66" s="4">
        <f>IF(ISNUMBER(benefit_original!X66),benefit_original!X66/100000000,benefit_original!X66)</f>
        <v>0</v>
      </c>
      <c r="Y66" s="4">
        <f>IF(ISNUMBER(benefit_original!Y66),benefit_original!Y66/100000000,benefit_original!Y66)</f>
        <v>0</v>
      </c>
      <c r="Z66" s="4">
        <f>IF(ISNUMBER(benefit_original!Z66),benefit_original!Z66/100000000,benefit_original!Z66)</f>
        <v>0</v>
      </c>
      <c r="AA66" s="4">
        <f>IF(ISNUMBER(benefit_original!AA66),benefit_original!AA66/100000000,benefit_original!AA66)</f>
        <v>0</v>
      </c>
      <c r="AB66" s="4">
        <f>IF(ISNUMBER(benefit_original!AB66),benefit_original!AB66/100000000,benefit_original!AB66)</f>
        <v>0</v>
      </c>
      <c r="AC66" s="4">
        <f>IF(ISNUMBER(benefit_original!AC66),benefit_original!AC66/100000000,benefit_original!AC66)</f>
        <v>0</v>
      </c>
      <c r="AD66" s="4">
        <f>IF(ISNUMBER(benefit_original!AD66),benefit_original!AD66/100000000,benefit_original!AD66)</f>
        <v>0</v>
      </c>
      <c r="AE66" s="4">
        <f>IF(ISNUMBER(benefit_original!AE66),benefit_original!AE66/100000000,benefit_original!AE66)</f>
        <v>0</v>
      </c>
      <c r="AF66" s="4">
        <f>IF(ISNUMBER(benefit_original!AF66),benefit_original!AF66/100000000,benefit_original!AF66)</f>
        <v>0</v>
      </c>
      <c r="AG66" s="4">
        <f>IF(ISNUMBER(benefit_original!AG66),benefit_original!AG66/100000000,benefit_original!AG66)</f>
        <v>0</v>
      </c>
      <c r="AH66" s="4">
        <f>IF(ISNUMBER(benefit_original!AH66),benefit_original!AH66/100000000,benefit_original!AH66)</f>
        <v>0</v>
      </c>
      <c r="AI66" s="4">
        <f>IF(ISNUMBER(benefit_original!AI66),benefit_original!AI66/100000000,benefit_original!AI66)</f>
        <v>0</v>
      </c>
      <c r="AJ66" s="4">
        <f>IF(ISNUMBER(benefit_original!AJ66),benefit_original!AJ66/100000000,benefit_original!AJ66)</f>
        <v>0</v>
      </c>
      <c r="AK66" s="4">
        <f>IF(ISNUMBER(benefit_original!AK66),benefit_original!AK66/100000000,benefit_original!AK66)</f>
        <v>0</v>
      </c>
      <c r="AL66" s="4">
        <f>IF(ISNUMBER(benefit_original!AL66),benefit_original!AL66/100000000,benefit_original!AL66)</f>
        <v>0</v>
      </c>
      <c r="AM66" s="4">
        <f>IF(ISNUMBER(benefit_original!AM66),benefit_original!AM66/100000000,benefit_original!AM66)</f>
        <v>0</v>
      </c>
      <c r="AN66" s="4">
        <f>IF(ISNUMBER(benefit_original!AN66),benefit_original!AN66/100000000,benefit_original!AN66)</f>
        <v>0</v>
      </c>
      <c r="AO66" s="4">
        <f>IF(ISNUMBER(benefit_original!AO66),benefit_original!AO66/100000000,benefit_original!AO66)</f>
        <v>0</v>
      </c>
      <c r="AP66" s="4">
        <f>IF(ISNUMBER(benefit_original!AP66),benefit_original!AP66/100000000,benefit_original!AP66)</f>
        <v>0</v>
      </c>
      <c r="AQ66" s="4">
        <f>IF(ISNUMBER(benefit_original!AQ66),benefit_original!AQ66/100000000,benefit_original!AQ66)</f>
        <v>0</v>
      </c>
    </row>
    <row r="67" spans="2:43" x14ac:dyDescent="0.25">
      <c r="B67" s="4">
        <f>IF(ISNUMBER(benefit_original!B67),benefit_original!B67/100000000,benefit_original!B67)</f>
        <v>0</v>
      </c>
      <c r="C67" s="4">
        <f>IF(ISNUMBER(benefit_original!C67),benefit_original!C67/100000000,benefit_original!C67)</f>
        <v>0</v>
      </c>
      <c r="D67" s="4">
        <f>IF(ISNUMBER(benefit_original!D67),benefit_original!D67/100000000,benefit_original!D67)</f>
        <v>0</v>
      </c>
      <c r="E67" s="4">
        <f>IF(ISNUMBER(benefit_original!E67),benefit_original!E67/100000000,benefit_original!E67)</f>
        <v>0</v>
      </c>
      <c r="F67" s="4">
        <f>IF(ISNUMBER(benefit_original!F67),benefit_original!F67/100000000,benefit_original!F67)</f>
        <v>0</v>
      </c>
      <c r="G67" s="4">
        <f>IF(ISNUMBER(benefit_original!G67),benefit_original!G67/100000000,benefit_original!G67)</f>
        <v>0</v>
      </c>
      <c r="H67" s="4">
        <f>IF(ISNUMBER(benefit_original!H67),benefit_original!H67/100000000,benefit_original!H67)</f>
        <v>0</v>
      </c>
      <c r="I67" s="4">
        <f>IF(ISNUMBER(benefit_original!I67),benefit_original!I67/100000000,benefit_original!I67)</f>
        <v>0</v>
      </c>
      <c r="J67" s="4">
        <f>IF(ISNUMBER(benefit_original!J67),benefit_original!J67/100000000,benefit_original!J67)</f>
        <v>0</v>
      </c>
      <c r="K67" s="4">
        <f>IF(ISNUMBER(benefit_original!K67),benefit_original!K67/100000000,benefit_original!K67)</f>
        <v>0</v>
      </c>
      <c r="L67" s="4">
        <f>IF(ISNUMBER(benefit_original!L67),benefit_original!L67/100000000,benefit_original!L67)</f>
        <v>0</v>
      </c>
      <c r="M67" s="4">
        <f>IF(ISNUMBER(benefit_original!M67),benefit_original!M67/100000000,benefit_original!M67)</f>
        <v>0</v>
      </c>
      <c r="N67" s="4">
        <f>IF(ISNUMBER(benefit_original!N67),benefit_original!N67/100000000,benefit_original!N67)</f>
        <v>0</v>
      </c>
      <c r="O67" s="4">
        <f>IF(ISNUMBER(benefit_original!O67),benefit_original!O67/100000000,benefit_original!O67)</f>
        <v>0</v>
      </c>
      <c r="P67" s="4">
        <f>IF(ISNUMBER(benefit_original!P67),benefit_original!P67/100000000,benefit_original!P67)</f>
        <v>0</v>
      </c>
      <c r="Q67" s="4">
        <f>IF(ISNUMBER(benefit_original!Q67),benefit_original!Q67/100000000,benefit_original!Q67)</f>
        <v>0</v>
      </c>
      <c r="R67" s="4">
        <f>IF(ISNUMBER(benefit_original!R67),benefit_original!R67/100000000,benefit_original!R67)</f>
        <v>0</v>
      </c>
      <c r="S67" s="4">
        <f>IF(ISNUMBER(benefit_original!S67),benefit_original!S67/100000000,benefit_original!S67)</f>
        <v>0</v>
      </c>
      <c r="T67" s="4">
        <f>IF(ISNUMBER(benefit_original!T67),benefit_original!T67/100000000,benefit_original!T67)</f>
        <v>0</v>
      </c>
      <c r="U67" s="4">
        <f>IF(ISNUMBER(benefit_original!U67),benefit_original!U67/100000000,benefit_original!U67)</f>
        <v>0</v>
      </c>
      <c r="V67" s="4">
        <f>IF(ISNUMBER(benefit_original!V67),benefit_original!V67/100000000,benefit_original!V67)</f>
        <v>0</v>
      </c>
      <c r="W67" s="4">
        <f>IF(ISNUMBER(benefit_original!W67),benefit_original!W67/100000000,benefit_original!W67)</f>
        <v>0</v>
      </c>
      <c r="X67" s="4">
        <f>IF(ISNUMBER(benefit_original!X67),benefit_original!X67/100000000,benefit_original!X67)</f>
        <v>0</v>
      </c>
      <c r="Y67" s="4">
        <f>IF(ISNUMBER(benefit_original!Y67),benefit_original!Y67/100000000,benefit_original!Y67)</f>
        <v>0</v>
      </c>
      <c r="Z67" s="4">
        <f>IF(ISNUMBER(benefit_original!Z67),benefit_original!Z67/100000000,benefit_original!Z67)</f>
        <v>0</v>
      </c>
      <c r="AA67" s="4">
        <f>IF(ISNUMBER(benefit_original!AA67),benefit_original!AA67/100000000,benefit_original!AA67)</f>
        <v>0</v>
      </c>
      <c r="AB67" s="4">
        <f>IF(ISNUMBER(benefit_original!AB67),benefit_original!AB67/100000000,benefit_original!AB67)</f>
        <v>0</v>
      </c>
      <c r="AC67" s="4">
        <f>IF(ISNUMBER(benefit_original!AC67),benefit_original!AC67/100000000,benefit_original!AC67)</f>
        <v>0</v>
      </c>
      <c r="AD67" s="4">
        <f>IF(ISNUMBER(benefit_original!AD67),benefit_original!AD67/100000000,benefit_original!AD67)</f>
        <v>0</v>
      </c>
      <c r="AE67" s="4">
        <f>IF(ISNUMBER(benefit_original!AE67),benefit_original!AE67/100000000,benefit_original!AE67)</f>
        <v>0</v>
      </c>
      <c r="AF67" s="4">
        <f>IF(ISNUMBER(benefit_original!AF67),benefit_original!AF67/100000000,benefit_original!AF67)</f>
        <v>0</v>
      </c>
      <c r="AG67" s="4">
        <f>IF(ISNUMBER(benefit_original!AG67),benefit_original!AG67/100000000,benefit_original!AG67)</f>
        <v>0</v>
      </c>
      <c r="AH67" s="4">
        <f>IF(ISNUMBER(benefit_original!AH67),benefit_original!AH67/100000000,benefit_original!AH67)</f>
        <v>0</v>
      </c>
      <c r="AI67" s="4">
        <f>IF(ISNUMBER(benefit_original!AI67),benefit_original!AI67/100000000,benefit_original!AI67)</f>
        <v>0</v>
      </c>
      <c r="AJ67" s="4">
        <f>IF(ISNUMBER(benefit_original!AJ67),benefit_original!AJ67/100000000,benefit_original!AJ67)</f>
        <v>0</v>
      </c>
      <c r="AK67" s="4">
        <f>IF(ISNUMBER(benefit_original!AK67),benefit_original!AK67/100000000,benefit_original!AK67)</f>
        <v>0</v>
      </c>
      <c r="AL67" s="4">
        <f>IF(ISNUMBER(benefit_original!AL67),benefit_original!AL67/100000000,benefit_original!AL67)</f>
        <v>0</v>
      </c>
      <c r="AM67" s="4">
        <f>IF(ISNUMBER(benefit_original!AM67),benefit_original!AM67/100000000,benefit_original!AM67)</f>
        <v>0</v>
      </c>
      <c r="AN67" s="4">
        <f>IF(ISNUMBER(benefit_original!AN67),benefit_original!AN67/100000000,benefit_original!AN67)</f>
        <v>0</v>
      </c>
      <c r="AO67" s="4">
        <f>IF(ISNUMBER(benefit_original!AO67),benefit_original!AO67/100000000,benefit_original!AO67)</f>
        <v>0</v>
      </c>
      <c r="AP67" s="4">
        <f>IF(ISNUMBER(benefit_original!AP67),benefit_original!AP67/100000000,benefit_original!AP67)</f>
        <v>0</v>
      </c>
      <c r="AQ67" s="4">
        <f>IF(ISNUMBER(benefit_original!AQ67),benefit_original!AQ67/100000000,benefit_original!AQ67)</f>
        <v>0</v>
      </c>
    </row>
    <row r="68" spans="2:43" x14ac:dyDescent="0.25">
      <c r="B68" s="4">
        <f>IF(ISNUMBER(benefit_original!B68),benefit_original!B68/100000000,benefit_original!B68)</f>
        <v>0</v>
      </c>
      <c r="C68" s="4">
        <f>IF(ISNUMBER(benefit_original!C68),benefit_original!C68/100000000,benefit_original!C68)</f>
        <v>0</v>
      </c>
      <c r="D68" s="4">
        <f>IF(ISNUMBER(benefit_original!D68),benefit_original!D68/100000000,benefit_original!D68)</f>
        <v>0</v>
      </c>
      <c r="E68" s="4">
        <f>IF(ISNUMBER(benefit_original!E68),benefit_original!E68/100000000,benefit_original!E68)</f>
        <v>0</v>
      </c>
      <c r="F68" s="4">
        <f>IF(ISNUMBER(benefit_original!F68),benefit_original!F68/100000000,benefit_original!F68)</f>
        <v>0</v>
      </c>
      <c r="G68" s="4">
        <f>IF(ISNUMBER(benefit_original!G68),benefit_original!G68/100000000,benefit_original!G68)</f>
        <v>0</v>
      </c>
      <c r="H68" s="4">
        <f>IF(ISNUMBER(benefit_original!H68),benefit_original!H68/100000000,benefit_original!H68)</f>
        <v>0</v>
      </c>
      <c r="I68" s="4">
        <f>IF(ISNUMBER(benefit_original!I68),benefit_original!I68/100000000,benefit_original!I68)</f>
        <v>0</v>
      </c>
      <c r="J68" s="4">
        <f>IF(ISNUMBER(benefit_original!J68),benefit_original!J68/100000000,benefit_original!J68)</f>
        <v>0</v>
      </c>
      <c r="K68" s="4">
        <f>IF(ISNUMBER(benefit_original!K68),benefit_original!K68/100000000,benefit_original!K68)</f>
        <v>0</v>
      </c>
      <c r="L68" s="4">
        <f>IF(ISNUMBER(benefit_original!L68),benefit_original!L68/100000000,benefit_original!L68)</f>
        <v>0</v>
      </c>
      <c r="M68" s="4">
        <f>IF(ISNUMBER(benefit_original!M68),benefit_original!M68/100000000,benefit_original!M68)</f>
        <v>0</v>
      </c>
      <c r="N68" s="4">
        <f>IF(ISNUMBER(benefit_original!N68),benefit_original!N68/100000000,benefit_original!N68)</f>
        <v>0</v>
      </c>
      <c r="O68" s="4">
        <f>IF(ISNUMBER(benefit_original!O68),benefit_original!O68/100000000,benefit_original!O68)</f>
        <v>0</v>
      </c>
      <c r="P68" s="4">
        <f>IF(ISNUMBER(benefit_original!P68),benefit_original!P68/100000000,benefit_original!P68)</f>
        <v>0</v>
      </c>
      <c r="Q68" s="4">
        <f>IF(ISNUMBER(benefit_original!Q68),benefit_original!Q68/100000000,benefit_original!Q68)</f>
        <v>0</v>
      </c>
      <c r="R68" s="4">
        <f>IF(ISNUMBER(benefit_original!R68),benefit_original!R68/100000000,benefit_original!R68)</f>
        <v>0</v>
      </c>
      <c r="S68" s="4">
        <f>IF(ISNUMBER(benefit_original!S68),benefit_original!S68/100000000,benefit_original!S68)</f>
        <v>0</v>
      </c>
      <c r="T68" s="4">
        <f>IF(ISNUMBER(benefit_original!T68),benefit_original!T68/100000000,benefit_original!T68)</f>
        <v>0</v>
      </c>
      <c r="U68" s="4">
        <f>IF(ISNUMBER(benefit_original!U68),benefit_original!U68/100000000,benefit_original!U68)</f>
        <v>0</v>
      </c>
      <c r="V68" s="4">
        <f>IF(ISNUMBER(benefit_original!V68),benefit_original!V68/100000000,benefit_original!V68)</f>
        <v>0</v>
      </c>
      <c r="W68" s="4">
        <f>IF(ISNUMBER(benefit_original!W68),benefit_original!W68/100000000,benefit_original!W68)</f>
        <v>0</v>
      </c>
      <c r="X68" s="4">
        <f>IF(ISNUMBER(benefit_original!X68),benefit_original!X68/100000000,benefit_original!X68)</f>
        <v>0</v>
      </c>
      <c r="Y68" s="4">
        <f>IF(ISNUMBER(benefit_original!Y68),benefit_original!Y68/100000000,benefit_original!Y68)</f>
        <v>0</v>
      </c>
      <c r="Z68" s="4">
        <f>IF(ISNUMBER(benefit_original!Z68),benefit_original!Z68/100000000,benefit_original!Z68)</f>
        <v>0</v>
      </c>
      <c r="AA68" s="4">
        <f>IF(ISNUMBER(benefit_original!AA68),benefit_original!AA68/100000000,benefit_original!AA68)</f>
        <v>0</v>
      </c>
      <c r="AB68" s="4">
        <f>IF(ISNUMBER(benefit_original!AB68),benefit_original!AB68/100000000,benefit_original!AB68)</f>
        <v>0</v>
      </c>
      <c r="AC68" s="4">
        <f>IF(ISNUMBER(benefit_original!AC68),benefit_original!AC68/100000000,benefit_original!AC68)</f>
        <v>0</v>
      </c>
      <c r="AD68" s="4">
        <f>IF(ISNUMBER(benefit_original!AD68),benefit_original!AD68/100000000,benefit_original!AD68)</f>
        <v>0</v>
      </c>
      <c r="AE68" s="4">
        <f>IF(ISNUMBER(benefit_original!AE68),benefit_original!AE68/100000000,benefit_original!AE68)</f>
        <v>0</v>
      </c>
      <c r="AF68" s="4">
        <f>IF(ISNUMBER(benefit_original!AF68),benefit_original!AF68/100000000,benefit_original!AF68)</f>
        <v>0</v>
      </c>
      <c r="AG68" s="4">
        <f>IF(ISNUMBER(benefit_original!AG68),benefit_original!AG68/100000000,benefit_original!AG68)</f>
        <v>0</v>
      </c>
      <c r="AH68" s="4">
        <f>IF(ISNUMBER(benefit_original!AH68),benefit_original!AH68/100000000,benefit_original!AH68)</f>
        <v>0</v>
      </c>
      <c r="AI68" s="4">
        <f>IF(ISNUMBER(benefit_original!AI68),benefit_original!AI68/100000000,benefit_original!AI68)</f>
        <v>0</v>
      </c>
      <c r="AJ68" s="4">
        <f>IF(ISNUMBER(benefit_original!AJ68),benefit_original!AJ68/100000000,benefit_original!AJ68)</f>
        <v>0</v>
      </c>
      <c r="AK68" s="4">
        <f>IF(ISNUMBER(benefit_original!AK68),benefit_original!AK68/100000000,benefit_original!AK68)</f>
        <v>0</v>
      </c>
      <c r="AL68" s="4">
        <f>IF(ISNUMBER(benefit_original!AL68),benefit_original!AL68/100000000,benefit_original!AL68)</f>
        <v>0</v>
      </c>
      <c r="AM68" s="4">
        <f>IF(ISNUMBER(benefit_original!AM68),benefit_original!AM68/100000000,benefit_original!AM68)</f>
        <v>0</v>
      </c>
      <c r="AN68" s="4">
        <f>IF(ISNUMBER(benefit_original!AN68),benefit_original!AN68/100000000,benefit_original!AN68)</f>
        <v>0</v>
      </c>
      <c r="AO68" s="4">
        <f>IF(ISNUMBER(benefit_original!AO68),benefit_original!AO68/100000000,benefit_original!AO68)</f>
        <v>0</v>
      </c>
      <c r="AP68" s="4">
        <f>IF(ISNUMBER(benefit_original!AP68),benefit_original!AP68/100000000,benefit_original!AP68)</f>
        <v>0</v>
      </c>
      <c r="AQ68" s="4">
        <f>IF(ISNUMBER(benefit_original!AQ68),benefit_original!AQ68/100000000,benefit_original!AQ68)</f>
        <v>0</v>
      </c>
    </row>
    <row r="69" spans="2:43" x14ac:dyDescent="0.25">
      <c r="B69" s="4">
        <f>IF(ISNUMBER(benefit_original!B69),benefit_original!B69/100000000,benefit_original!B69)</f>
        <v>0</v>
      </c>
      <c r="C69" s="4">
        <f>IF(ISNUMBER(benefit_original!C69),benefit_original!C69/100000000,benefit_original!C69)</f>
        <v>0</v>
      </c>
      <c r="D69" s="4">
        <f>IF(ISNUMBER(benefit_original!D69),benefit_original!D69/100000000,benefit_original!D69)</f>
        <v>0</v>
      </c>
      <c r="E69" s="4">
        <f>IF(ISNUMBER(benefit_original!E69),benefit_original!E69/100000000,benefit_original!E69)</f>
        <v>0</v>
      </c>
      <c r="F69" s="4">
        <f>IF(ISNUMBER(benefit_original!F69),benefit_original!F69/100000000,benefit_original!F69)</f>
        <v>0</v>
      </c>
      <c r="G69" s="4">
        <f>IF(ISNUMBER(benefit_original!G69),benefit_original!G69/100000000,benefit_original!G69)</f>
        <v>0</v>
      </c>
      <c r="H69" s="4">
        <f>IF(ISNUMBER(benefit_original!H69),benefit_original!H69/100000000,benefit_original!H69)</f>
        <v>0</v>
      </c>
      <c r="I69" s="4">
        <f>IF(ISNUMBER(benefit_original!I69),benefit_original!I69/100000000,benefit_original!I69)</f>
        <v>0</v>
      </c>
      <c r="J69" s="4">
        <f>IF(ISNUMBER(benefit_original!J69),benefit_original!J69/100000000,benefit_original!J69)</f>
        <v>0</v>
      </c>
      <c r="K69" s="4">
        <f>IF(ISNUMBER(benefit_original!K69),benefit_original!K69/100000000,benefit_original!K69)</f>
        <v>0</v>
      </c>
      <c r="L69" s="4">
        <f>IF(ISNUMBER(benefit_original!L69),benefit_original!L69/100000000,benefit_original!L69)</f>
        <v>0</v>
      </c>
      <c r="M69" s="4">
        <f>IF(ISNUMBER(benefit_original!M69),benefit_original!M69/100000000,benefit_original!M69)</f>
        <v>0</v>
      </c>
      <c r="N69" s="4">
        <f>IF(ISNUMBER(benefit_original!N69),benefit_original!N69/100000000,benefit_original!N69)</f>
        <v>0</v>
      </c>
      <c r="O69" s="4">
        <f>IF(ISNUMBER(benefit_original!O69),benefit_original!O69/100000000,benefit_original!O69)</f>
        <v>0</v>
      </c>
      <c r="P69" s="4">
        <f>IF(ISNUMBER(benefit_original!P69),benefit_original!P69/100000000,benefit_original!P69)</f>
        <v>0</v>
      </c>
      <c r="Q69" s="4">
        <f>IF(ISNUMBER(benefit_original!Q69),benefit_original!Q69/100000000,benefit_original!Q69)</f>
        <v>0</v>
      </c>
      <c r="R69" s="4">
        <f>IF(ISNUMBER(benefit_original!R69),benefit_original!R69/100000000,benefit_original!R69)</f>
        <v>0</v>
      </c>
      <c r="S69" s="4">
        <f>IF(ISNUMBER(benefit_original!S69),benefit_original!S69/100000000,benefit_original!S69)</f>
        <v>0</v>
      </c>
      <c r="T69" s="4">
        <f>IF(ISNUMBER(benefit_original!T69),benefit_original!T69/100000000,benefit_original!T69)</f>
        <v>0</v>
      </c>
      <c r="U69" s="4">
        <f>IF(ISNUMBER(benefit_original!U69),benefit_original!U69/100000000,benefit_original!U69)</f>
        <v>0</v>
      </c>
      <c r="V69" s="4">
        <f>IF(ISNUMBER(benefit_original!V69),benefit_original!V69/100000000,benefit_original!V69)</f>
        <v>0</v>
      </c>
      <c r="W69" s="4">
        <f>IF(ISNUMBER(benefit_original!W69),benefit_original!W69/100000000,benefit_original!W69)</f>
        <v>0</v>
      </c>
      <c r="X69" s="4">
        <f>IF(ISNUMBER(benefit_original!X69),benefit_original!X69/100000000,benefit_original!X69)</f>
        <v>0</v>
      </c>
      <c r="Y69" s="4">
        <f>IF(ISNUMBER(benefit_original!Y69),benefit_original!Y69/100000000,benefit_original!Y69)</f>
        <v>0</v>
      </c>
      <c r="Z69" s="4">
        <f>IF(ISNUMBER(benefit_original!Z69),benefit_original!Z69/100000000,benefit_original!Z69)</f>
        <v>0</v>
      </c>
      <c r="AA69" s="4">
        <f>IF(ISNUMBER(benefit_original!AA69),benefit_original!AA69/100000000,benefit_original!AA69)</f>
        <v>0</v>
      </c>
      <c r="AB69" s="4">
        <f>IF(ISNUMBER(benefit_original!AB69),benefit_original!AB69/100000000,benefit_original!AB69)</f>
        <v>0</v>
      </c>
      <c r="AC69" s="4">
        <f>IF(ISNUMBER(benefit_original!AC69),benefit_original!AC69/100000000,benefit_original!AC69)</f>
        <v>0</v>
      </c>
      <c r="AD69" s="4">
        <f>IF(ISNUMBER(benefit_original!AD69),benefit_original!AD69/100000000,benefit_original!AD69)</f>
        <v>0</v>
      </c>
      <c r="AE69" s="4">
        <f>IF(ISNUMBER(benefit_original!AE69),benefit_original!AE69/100000000,benefit_original!AE69)</f>
        <v>0</v>
      </c>
      <c r="AF69" s="4">
        <f>IF(ISNUMBER(benefit_original!AF69),benefit_original!AF69/100000000,benefit_original!AF69)</f>
        <v>0</v>
      </c>
      <c r="AG69" s="4">
        <f>IF(ISNUMBER(benefit_original!AG69),benefit_original!AG69/100000000,benefit_original!AG69)</f>
        <v>0</v>
      </c>
      <c r="AH69" s="4">
        <f>IF(ISNUMBER(benefit_original!AH69),benefit_original!AH69/100000000,benefit_original!AH69)</f>
        <v>0</v>
      </c>
      <c r="AI69" s="4">
        <f>IF(ISNUMBER(benefit_original!AI69),benefit_original!AI69/100000000,benefit_original!AI69)</f>
        <v>0</v>
      </c>
      <c r="AJ69" s="4">
        <f>IF(ISNUMBER(benefit_original!AJ69),benefit_original!AJ69/100000000,benefit_original!AJ69)</f>
        <v>0</v>
      </c>
      <c r="AK69" s="4">
        <f>IF(ISNUMBER(benefit_original!AK69),benefit_original!AK69/100000000,benefit_original!AK69)</f>
        <v>0</v>
      </c>
      <c r="AL69" s="4">
        <f>IF(ISNUMBER(benefit_original!AL69),benefit_original!AL69/100000000,benefit_original!AL69)</f>
        <v>0</v>
      </c>
      <c r="AM69" s="4">
        <f>IF(ISNUMBER(benefit_original!AM69),benefit_original!AM69/100000000,benefit_original!AM69)</f>
        <v>0</v>
      </c>
      <c r="AN69" s="4">
        <f>IF(ISNUMBER(benefit_original!AN69),benefit_original!AN69/100000000,benefit_original!AN69)</f>
        <v>0</v>
      </c>
      <c r="AO69" s="4">
        <f>IF(ISNUMBER(benefit_original!AO69),benefit_original!AO69/100000000,benefit_original!AO69)</f>
        <v>0</v>
      </c>
      <c r="AP69" s="4">
        <f>IF(ISNUMBER(benefit_original!AP69),benefit_original!AP69/100000000,benefit_original!AP69)</f>
        <v>0</v>
      </c>
      <c r="AQ69" s="4">
        <f>IF(ISNUMBER(benefit_original!AQ69),benefit_original!AQ69/100000000,benefit_original!AQ69)</f>
        <v>0</v>
      </c>
    </row>
    <row r="70" spans="2:43" x14ac:dyDescent="0.25">
      <c r="B70" s="4">
        <f>IF(ISNUMBER(benefit_original!B70),benefit_original!B70/100000000,benefit_original!B70)</f>
        <v>0</v>
      </c>
      <c r="C70" s="4">
        <f>IF(ISNUMBER(benefit_original!C70),benefit_original!C70/100000000,benefit_original!C70)</f>
        <v>0</v>
      </c>
      <c r="D70" s="4">
        <f>IF(ISNUMBER(benefit_original!D70),benefit_original!D70/100000000,benefit_original!D70)</f>
        <v>0</v>
      </c>
      <c r="E70" s="4">
        <f>IF(ISNUMBER(benefit_original!E70),benefit_original!E70/100000000,benefit_original!E70)</f>
        <v>0</v>
      </c>
      <c r="F70" s="4">
        <f>IF(ISNUMBER(benefit_original!F70),benefit_original!F70/100000000,benefit_original!F70)</f>
        <v>0</v>
      </c>
      <c r="G70" s="4">
        <f>IF(ISNUMBER(benefit_original!G70),benefit_original!G70/100000000,benefit_original!G70)</f>
        <v>0</v>
      </c>
      <c r="H70" s="4">
        <f>IF(ISNUMBER(benefit_original!H70),benefit_original!H70/100000000,benefit_original!H70)</f>
        <v>0</v>
      </c>
      <c r="I70" s="4">
        <f>IF(ISNUMBER(benefit_original!I70),benefit_original!I70/100000000,benefit_original!I70)</f>
        <v>0</v>
      </c>
      <c r="J70" s="4">
        <f>IF(ISNUMBER(benefit_original!J70),benefit_original!J70/100000000,benefit_original!J70)</f>
        <v>0</v>
      </c>
      <c r="K70" s="4">
        <f>IF(ISNUMBER(benefit_original!K70),benefit_original!K70/100000000,benefit_original!K70)</f>
        <v>0</v>
      </c>
      <c r="L70" s="4">
        <f>IF(ISNUMBER(benefit_original!L70),benefit_original!L70/100000000,benefit_original!L70)</f>
        <v>0</v>
      </c>
      <c r="M70" s="4">
        <f>IF(ISNUMBER(benefit_original!M70),benefit_original!M70/100000000,benefit_original!M70)</f>
        <v>0</v>
      </c>
      <c r="N70" s="4">
        <f>IF(ISNUMBER(benefit_original!N70),benefit_original!N70/100000000,benefit_original!N70)</f>
        <v>0</v>
      </c>
      <c r="O70" s="4">
        <f>IF(ISNUMBER(benefit_original!O70),benefit_original!O70/100000000,benefit_original!O70)</f>
        <v>0</v>
      </c>
      <c r="P70" s="4">
        <f>IF(ISNUMBER(benefit_original!P70),benefit_original!P70/100000000,benefit_original!P70)</f>
        <v>0</v>
      </c>
      <c r="Q70" s="4">
        <f>IF(ISNUMBER(benefit_original!Q70),benefit_original!Q70/100000000,benefit_original!Q70)</f>
        <v>0</v>
      </c>
      <c r="R70" s="4">
        <f>IF(ISNUMBER(benefit_original!R70),benefit_original!R70/100000000,benefit_original!R70)</f>
        <v>0</v>
      </c>
      <c r="S70" s="4">
        <f>IF(ISNUMBER(benefit_original!S70),benefit_original!S70/100000000,benefit_original!S70)</f>
        <v>0</v>
      </c>
      <c r="T70" s="4">
        <f>IF(ISNUMBER(benefit_original!T70),benefit_original!T70/100000000,benefit_original!T70)</f>
        <v>0</v>
      </c>
      <c r="U70" s="4">
        <f>IF(ISNUMBER(benefit_original!U70),benefit_original!U70/100000000,benefit_original!U70)</f>
        <v>0</v>
      </c>
      <c r="V70" s="4">
        <f>IF(ISNUMBER(benefit_original!V70),benefit_original!V70/100000000,benefit_original!V70)</f>
        <v>0</v>
      </c>
      <c r="W70" s="4">
        <f>IF(ISNUMBER(benefit_original!W70),benefit_original!W70/100000000,benefit_original!W70)</f>
        <v>0</v>
      </c>
      <c r="X70" s="4">
        <f>IF(ISNUMBER(benefit_original!X70),benefit_original!X70/100000000,benefit_original!X70)</f>
        <v>0</v>
      </c>
      <c r="Y70" s="4">
        <f>IF(ISNUMBER(benefit_original!Y70),benefit_original!Y70/100000000,benefit_original!Y70)</f>
        <v>0</v>
      </c>
      <c r="Z70" s="4">
        <f>IF(ISNUMBER(benefit_original!Z70),benefit_original!Z70/100000000,benefit_original!Z70)</f>
        <v>0</v>
      </c>
      <c r="AA70" s="4">
        <f>IF(ISNUMBER(benefit_original!AA70),benefit_original!AA70/100000000,benefit_original!AA70)</f>
        <v>0</v>
      </c>
      <c r="AB70" s="4">
        <f>IF(ISNUMBER(benefit_original!AB70),benefit_original!AB70/100000000,benefit_original!AB70)</f>
        <v>0</v>
      </c>
      <c r="AC70" s="4">
        <f>IF(ISNUMBER(benefit_original!AC70),benefit_original!AC70/100000000,benefit_original!AC70)</f>
        <v>0</v>
      </c>
      <c r="AD70" s="4">
        <f>IF(ISNUMBER(benefit_original!AD70),benefit_original!AD70/100000000,benefit_original!AD70)</f>
        <v>0</v>
      </c>
      <c r="AE70" s="4">
        <f>IF(ISNUMBER(benefit_original!AE70),benefit_original!AE70/100000000,benefit_original!AE70)</f>
        <v>0</v>
      </c>
      <c r="AF70" s="4">
        <f>IF(ISNUMBER(benefit_original!AF70),benefit_original!AF70/100000000,benefit_original!AF70)</f>
        <v>0</v>
      </c>
      <c r="AG70" s="4">
        <f>IF(ISNUMBER(benefit_original!AG70),benefit_original!AG70/100000000,benefit_original!AG70)</f>
        <v>0</v>
      </c>
      <c r="AH70" s="4">
        <f>IF(ISNUMBER(benefit_original!AH70),benefit_original!AH70/100000000,benefit_original!AH70)</f>
        <v>0</v>
      </c>
      <c r="AI70" s="4">
        <f>IF(ISNUMBER(benefit_original!AI70),benefit_original!AI70/100000000,benefit_original!AI70)</f>
        <v>0</v>
      </c>
      <c r="AJ70" s="4">
        <f>IF(ISNUMBER(benefit_original!AJ70),benefit_original!AJ70/100000000,benefit_original!AJ70)</f>
        <v>0</v>
      </c>
      <c r="AK70" s="4">
        <f>IF(ISNUMBER(benefit_original!AK70),benefit_original!AK70/100000000,benefit_original!AK70)</f>
        <v>0</v>
      </c>
      <c r="AL70" s="4">
        <f>IF(ISNUMBER(benefit_original!AL70),benefit_original!AL70/100000000,benefit_original!AL70)</f>
        <v>0</v>
      </c>
      <c r="AM70" s="4">
        <f>IF(ISNUMBER(benefit_original!AM70),benefit_original!AM70/100000000,benefit_original!AM70)</f>
        <v>0</v>
      </c>
      <c r="AN70" s="4">
        <f>IF(ISNUMBER(benefit_original!AN70),benefit_original!AN70/100000000,benefit_original!AN70)</f>
        <v>0</v>
      </c>
      <c r="AO70" s="4">
        <f>IF(ISNUMBER(benefit_original!AO70),benefit_original!AO70/100000000,benefit_original!AO70)</f>
        <v>0</v>
      </c>
      <c r="AP70" s="4">
        <f>IF(ISNUMBER(benefit_original!AP70),benefit_original!AP70/100000000,benefit_original!AP70)</f>
        <v>0</v>
      </c>
      <c r="AQ70" s="4">
        <f>IF(ISNUMBER(benefit_original!AQ70),benefit_original!AQ70/100000000,benefit_original!AQ70)</f>
        <v>0</v>
      </c>
    </row>
    <row r="71" spans="2:43" x14ac:dyDescent="0.25">
      <c r="B71" s="4">
        <f>IF(ISNUMBER(benefit_original!B71),benefit_original!B71/100000000,benefit_original!B71)</f>
        <v>0</v>
      </c>
      <c r="C71" s="4">
        <f>IF(ISNUMBER(benefit_original!C71),benefit_original!C71/100000000,benefit_original!C71)</f>
        <v>0</v>
      </c>
      <c r="D71" s="4">
        <f>IF(ISNUMBER(benefit_original!D71),benefit_original!D71/100000000,benefit_original!D71)</f>
        <v>0</v>
      </c>
      <c r="E71" s="4">
        <f>IF(ISNUMBER(benefit_original!E71),benefit_original!E71/100000000,benefit_original!E71)</f>
        <v>0</v>
      </c>
      <c r="F71" s="4">
        <f>IF(ISNUMBER(benefit_original!F71),benefit_original!F71/100000000,benefit_original!F71)</f>
        <v>0</v>
      </c>
      <c r="G71" s="4">
        <f>IF(ISNUMBER(benefit_original!G71),benefit_original!G71/100000000,benefit_original!G71)</f>
        <v>0</v>
      </c>
      <c r="H71" s="4">
        <f>IF(ISNUMBER(benefit_original!H71),benefit_original!H71/100000000,benefit_original!H71)</f>
        <v>0</v>
      </c>
      <c r="I71" s="4">
        <f>IF(ISNUMBER(benefit_original!I71),benefit_original!I71/100000000,benefit_original!I71)</f>
        <v>0</v>
      </c>
      <c r="J71" s="4">
        <f>IF(ISNUMBER(benefit_original!J71),benefit_original!J71/100000000,benefit_original!J71)</f>
        <v>0</v>
      </c>
      <c r="K71" s="4">
        <f>IF(ISNUMBER(benefit_original!K71),benefit_original!K71/100000000,benefit_original!K71)</f>
        <v>0</v>
      </c>
      <c r="L71" s="4">
        <f>IF(ISNUMBER(benefit_original!L71),benefit_original!L71/100000000,benefit_original!L71)</f>
        <v>0</v>
      </c>
      <c r="M71" s="4">
        <f>IF(ISNUMBER(benefit_original!M71),benefit_original!M71/100000000,benefit_original!M71)</f>
        <v>0</v>
      </c>
      <c r="N71" s="4">
        <f>IF(ISNUMBER(benefit_original!N71),benefit_original!N71/100000000,benefit_original!N71)</f>
        <v>0</v>
      </c>
      <c r="O71" s="4">
        <f>IF(ISNUMBER(benefit_original!O71),benefit_original!O71/100000000,benefit_original!O71)</f>
        <v>0</v>
      </c>
      <c r="P71" s="4">
        <f>IF(ISNUMBER(benefit_original!P71),benefit_original!P71/100000000,benefit_original!P71)</f>
        <v>0</v>
      </c>
      <c r="Q71" s="4">
        <f>IF(ISNUMBER(benefit_original!Q71),benefit_original!Q71/100000000,benefit_original!Q71)</f>
        <v>0</v>
      </c>
      <c r="R71" s="4">
        <f>IF(ISNUMBER(benefit_original!R71),benefit_original!R71/100000000,benefit_original!R71)</f>
        <v>0</v>
      </c>
      <c r="S71" s="4">
        <f>IF(ISNUMBER(benefit_original!S71),benefit_original!S71/100000000,benefit_original!S71)</f>
        <v>0</v>
      </c>
      <c r="T71" s="4">
        <f>IF(ISNUMBER(benefit_original!T71),benefit_original!T71/100000000,benefit_original!T71)</f>
        <v>0</v>
      </c>
      <c r="U71" s="4">
        <f>IF(ISNUMBER(benefit_original!U71),benefit_original!U71/100000000,benefit_original!U71)</f>
        <v>0</v>
      </c>
      <c r="V71" s="4">
        <f>IF(ISNUMBER(benefit_original!V71),benefit_original!V71/100000000,benefit_original!V71)</f>
        <v>0</v>
      </c>
      <c r="W71" s="4">
        <f>IF(ISNUMBER(benefit_original!W71),benefit_original!W71/100000000,benefit_original!W71)</f>
        <v>0</v>
      </c>
      <c r="X71" s="4">
        <f>IF(ISNUMBER(benefit_original!X71),benefit_original!X71/100000000,benefit_original!X71)</f>
        <v>0</v>
      </c>
      <c r="Y71" s="4">
        <f>IF(ISNUMBER(benefit_original!Y71),benefit_original!Y71/100000000,benefit_original!Y71)</f>
        <v>0</v>
      </c>
      <c r="Z71" s="4">
        <f>IF(ISNUMBER(benefit_original!Z71),benefit_original!Z71/100000000,benefit_original!Z71)</f>
        <v>0</v>
      </c>
      <c r="AA71" s="4">
        <f>IF(ISNUMBER(benefit_original!AA71),benefit_original!AA71/100000000,benefit_original!AA71)</f>
        <v>0</v>
      </c>
      <c r="AB71" s="4">
        <f>IF(ISNUMBER(benefit_original!AB71),benefit_original!AB71/100000000,benefit_original!AB71)</f>
        <v>0</v>
      </c>
      <c r="AC71" s="4">
        <f>IF(ISNUMBER(benefit_original!AC71),benefit_original!AC71/100000000,benefit_original!AC71)</f>
        <v>0</v>
      </c>
      <c r="AD71" s="4">
        <f>IF(ISNUMBER(benefit_original!AD71),benefit_original!AD71/100000000,benefit_original!AD71)</f>
        <v>0</v>
      </c>
      <c r="AE71" s="4">
        <f>IF(ISNUMBER(benefit_original!AE71),benefit_original!AE71/100000000,benefit_original!AE71)</f>
        <v>0</v>
      </c>
      <c r="AF71" s="4">
        <f>IF(ISNUMBER(benefit_original!AF71),benefit_original!AF71/100000000,benefit_original!AF71)</f>
        <v>0</v>
      </c>
      <c r="AG71" s="4">
        <f>IF(ISNUMBER(benefit_original!AG71),benefit_original!AG71/100000000,benefit_original!AG71)</f>
        <v>0</v>
      </c>
      <c r="AH71" s="4">
        <f>IF(ISNUMBER(benefit_original!AH71),benefit_original!AH71/100000000,benefit_original!AH71)</f>
        <v>0</v>
      </c>
      <c r="AI71" s="4">
        <f>IF(ISNUMBER(benefit_original!AI71),benefit_original!AI71/100000000,benefit_original!AI71)</f>
        <v>0</v>
      </c>
      <c r="AJ71" s="4">
        <f>IF(ISNUMBER(benefit_original!AJ71),benefit_original!AJ71/100000000,benefit_original!AJ71)</f>
        <v>0</v>
      </c>
      <c r="AK71" s="4">
        <f>IF(ISNUMBER(benefit_original!AK71),benefit_original!AK71/100000000,benefit_original!AK71)</f>
        <v>0</v>
      </c>
      <c r="AL71" s="4">
        <f>IF(ISNUMBER(benefit_original!AL71),benefit_original!AL71/100000000,benefit_original!AL71)</f>
        <v>0</v>
      </c>
      <c r="AM71" s="4">
        <f>IF(ISNUMBER(benefit_original!AM71),benefit_original!AM71/100000000,benefit_original!AM71)</f>
        <v>0</v>
      </c>
      <c r="AN71" s="4">
        <f>IF(ISNUMBER(benefit_original!AN71),benefit_original!AN71/100000000,benefit_original!AN71)</f>
        <v>0</v>
      </c>
      <c r="AO71" s="4">
        <f>IF(ISNUMBER(benefit_original!AO71),benefit_original!AO71/100000000,benefit_original!AO71)</f>
        <v>0</v>
      </c>
      <c r="AP71" s="4">
        <f>IF(ISNUMBER(benefit_original!AP71),benefit_original!AP71/100000000,benefit_original!AP71)</f>
        <v>0</v>
      </c>
      <c r="AQ71" s="4">
        <f>IF(ISNUMBER(benefit_original!AQ71),benefit_original!AQ71/100000000,benefit_original!AQ71)</f>
        <v>0</v>
      </c>
    </row>
    <row r="72" spans="2:43" x14ac:dyDescent="0.25">
      <c r="B72" s="4">
        <f>IF(ISNUMBER(benefit_original!B72),benefit_original!B72/100000000,benefit_original!B72)</f>
        <v>0</v>
      </c>
      <c r="C72" s="4">
        <f>IF(ISNUMBER(benefit_original!C72),benefit_original!C72/100000000,benefit_original!C72)</f>
        <v>0</v>
      </c>
      <c r="D72" s="4">
        <f>IF(ISNUMBER(benefit_original!D72),benefit_original!D72/100000000,benefit_original!D72)</f>
        <v>0</v>
      </c>
      <c r="E72" s="4">
        <f>IF(ISNUMBER(benefit_original!E72),benefit_original!E72/100000000,benefit_original!E72)</f>
        <v>0</v>
      </c>
      <c r="F72" s="4">
        <f>IF(ISNUMBER(benefit_original!F72),benefit_original!F72/100000000,benefit_original!F72)</f>
        <v>0</v>
      </c>
      <c r="G72" s="4">
        <f>IF(ISNUMBER(benefit_original!G72),benefit_original!G72/100000000,benefit_original!G72)</f>
        <v>0</v>
      </c>
      <c r="H72" s="4">
        <f>IF(ISNUMBER(benefit_original!H72),benefit_original!H72/100000000,benefit_original!H72)</f>
        <v>0</v>
      </c>
      <c r="I72" s="4">
        <f>IF(ISNUMBER(benefit_original!I72),benefit_original!I72/100000000,benefit_original!I72)</f>
        <v>0</v>
      </c>
      <c r="J72" s="4">
        <f>IF(ISNUMBER(benefit_original!J72),benefit_original!J72/100000000,benefit_original!J72)</f>
        <v>0</v>
      </c>
      <c r="K72" s="4">
        <f>IF(ISNUMBER(benefit_original!K72),benefit_original!K72/100000000,benefit_original!K72)</f>
        <v>0</v>
      </c>
      <c r="L72" s="4">
        <f>IF(ISNUMBER(benefit_original!L72),benefit_original!L72/100000000,benefit_original!L72)</f>
        <v>0</v>
      </c>
      <c r="M72" s="4">
        <f>IF(ISNUMBER(benefit_original!M72),benefit_original!M72/100000000,benefit_original!M72)</f>
        <v>0</v>
      </c>
      <c r="N72" s="4">
        <f>IF(ISNUMBER(benefit_original!N72),benefit_original!N72/100000000,benefit_original!N72)</f>
        <v>0</v>
      </c>
      <c r="O72" s="4">
        <f>IF(ISNUMBER(benefit_original!O72),benefit_original!O72/100000000,benefit_original!O72)</f>
        <v>0</v>
      </c>
      <c r="P72" s="4">
        <f>IF(ISNUMBER(benefit_original!P72),benefit_original!P72/100000000,benefit_original!P72)</f>
        <v>0</v>
      </c>
      <c r="Q72" s="4">
        <f>IF(ISNUMBER(benefit_original!Q72),benefit_original!Q72/100000000,benefit_original!Q72)</f>
        <v>0</v>
      </c>
      <c r="R72" s="4">
        <f>IF(ISNUMBER(benefit_original!R72),benefit_original!R72/100000000,benefit_original!R72)</f>
        <v>0</v>
      </c>
      <c r="S72" s="4">
        <f>IF(ISNUMBER(benefit_original!S72),benefit_original!S72/100000000,benefit_original!S72)</f>
        <v>0</v>
      </c>
      <c r="T72" s="4">
        <f>IF(ISNUMBER(benefit_original!T72),benefit_original!T72/100000000,benefit_original!T72)</f>
        <v>0</v>
      </c>
      <c r="U72" s="4">
        <f>IF(ISNUMBER(benefit_original!U72),benefit_original!U72/100000000,benefit_original!U72)</f>
        <v>0</v>
      </c>
      <c r="V72" s="4">
        <f>IF(ISNUMBER(benefit_original!V72),benefit_original!V72/100000000,benefit_original!V72)</f>
        <v>0</v>
      </c>
      <c r="W72" s="4">
        <f>IF(ISNUMBER(benefit_original!W72),benefit_original!W72/100000000,benefit_original!W72)</f>
        <v>0</v>
      </c>
      <c r="X72" s="4">
        <f>IF(ISNUMBER(benefit_original!X72),benefit_original!X72/100000000,benefit_original!X72)</f>
        <v>0</v>
      </c>
      <c r="Y72" s="4">
        <f>IF(ISNUMBER(benefit_original!Y72),benefit_original!Y72/100000000,benefit_original!Y72)</f>
        <v>0</v>
      </c>
      <c r="Z72" s="4">
        <f>IF(ISNUMBER(benefit_original!Z72),benefit_original!Z72/100000000,benefit_original!Z72)</f>
        <v>0</v>
      </c>
      <c r="AA72" s="4">
        <f>IF(ISNUMBER(benefit_original!AA72),benefit_original!AA72/100000000,benefit_original!AA72)</f>
        <v>0</v>
      </c>
      <c r="AB72" s="4">
        <f>IF(ISNUMBER(benefit_original!AB72),benefit_original!AB72/100000000,benefit_original!AB72)</f>
        <v>0</v>
      </c>
      <c r="AC72" s="4">
        <f>IF(ISNUMBER(benefit_original!AC72),benefit_original!AC72/100000000,benefit_original!AC72)</f>
        <v>0</v>
      </c>
      <c r="AD72" s="4">
        <f>IF(ISNUMBER(benefit_original!AD72),benefit_original!AD72/100000000,benefit_original!AD72)</f>
        <v>0</v>
      </c>
      <c r="AE72" s="4">
        <f>IF(ISNUMBER(benefit_original!AE72),benefit_original!AE72/100000000,benefit_original!AE72)</f>
        <v>0</v>
      </c>
      <c r="AF72" s="4">
        <f>IF(ISNUMBER(benefit_original!AF72),benefit_original!AF72/100000000,benefit_original!AF72)</f>
        <v>0</v>
      </c>
      <c r="AG72" s="4">
        <f>IF(ISNUMBER(benefit_original!AG72),benefit_original!AG72/100000000,benefit_original!AG72)</f>
        <v>0</v>
      </c>
      <c r="AH72" s="4">
        <f>IF(ISNUMBER(benefit_original!AH72),benefit_original!AH72/100000000,benefit_original!AH72)</f>
        <v>0</v>
      </c>
      <c r="AI72" s="4">
        <f>IF(ISNUMBER(benefit_original!AI72),benefit_original!AI72/100000000,benefit_original!AI72)</f>
        <v>0</v>
      </c>
      <c r="AJ72" s="4">
        <f>IF(ISNUMBER(benefit_original!AJ72),benefit_original!AJ72/100000000,benefit_original!AJ72)</f>
        <v>0</v>
      </c>
      <c r="AK72" s="4">
        <f>IF(ISNUMBER(benefit_original!AK72),benefit_original!AK72/100000000,benefit_original!AK72)</f>
        <v>0</v>
      </c>
      <c r="AL72" s="4">
        <f>IF(ISNUMBER(benefit_original!AL72),benefit_original!AL72/100000000,benefit_original!AL72)</f>
        <v>0</v>
      </c>
      <c r="AM72" s="4">
        <f>IF(ISNUMBER(benefit_original!AM72),benefit_original!AM72/100000000,benefit_original!AM72)</f>
        <v>0</v>
      </c>
      <c r="AN72" s="4">
        <f>IF(ISNUMBER(benefit_original!AN72),benefit_original!AN72/100000000,benefit_original!AN72)</f>
        <v>0</v>
      </c>
      <c r="AO72" s="4">
        <f>IF(ISNUMBER(benefit_original!AO72),benefit_original!AO72/100000000,benefit_original!AO72)</f>
        <v>0</v>
      </c>
      <c r="AP72" s="4">
        <f>IF(ISNUMBER(benefit_original!AP72),benefit_original!AP72/100000000,benefit_original!AP72)</f>
        <v>0</v>
      </c>
      <c r="AQ72" s="4">
        <f>IF(ISNUMBER(benefit_original!AQ72),benefit_original!AQ72/100000000,benefit_original!AQ72)</f>
        <v>0</v>
      </c>
    </row>
    <row r="73" spans="2:43" x14ac:dyDescent="0.25">
      <c r="B73" s="4">
        <f>IF(ISNUMBER(benefit_original!B73),benefit_original!B73/100000000,benefit_original!B73)</f>
        <v>0</v>
      </c>
      <c r="C73" s="4">
        <f>IF(ISNUMBER(benefit_original!C73),benefit_original!C73/100000000,benefit_original!C73)</f>
        <v>0</v>
      </c>
      <c r="D73" s="4">
        <f>IF(ISNUMBER(benefit_original!D73),benefit_original!D73/100000000,benefit_original!D73)</f>
        <v>0</v>
      </c>
      <c r="E73" s="4">
        <f>IF(ISNUMBER(benefit_original!E73),benefit_original!E73/100000000,benefit_original!E73)</f>
        <v>0</v>
      </c>
      <c r="F73" s="4">
        <f>IF(ISNUMBER(benefit_original!F73),benefit_original!F73/100000000,benefit_original!F73)</f>
        <v>0</v>
      </c>
      <c r="G73" s="4">
        <f>IF(ISNUMBER(benefit_original!G73),benefit_original!G73/100000000,benefit_original!G73)</f>
        <v>0</v>
      </c>
      <c r="H73" s="4">
        <f>IF(ISNUMBER(benefit_original!H73),benefit_original!H73/100000000,benefit_original!H73)</f>
        <v>0</v>
      </c>
      <c r="I73" s="4">
        <f>IF(ISNUMBER(benefit_original!I73),benefit_original!I73/100000000,benefit_original!I73)</f>
        <v>0</v>
      </c>
      <c r="J73" s="4">
        <f>IF(ISNUMBER(benefit_original!J73),benefit_original!J73/100000000,benefit_original!J73)</f>
        <v>0</v>
      </c>
      <c r="K73" s="4">
        <f>IF(ISNUMBER(benefit_original!K73),benefit_original!K73/100000000,benefit_original!K73)</f>
        <v>0</v>
      </c>
      <c r="L73" s="4">
        <f>IF(ISNUMBER(benefit_original!L73),benefit_original!L73/100000000,benefit_original!L73)</f>
        <v>0</v>
      </c>
      <c r="M73" s="4">
        <f>IF(ISNUMBER(benefit_original!M73),benefit_original!M73/100000000,benefit_original!M73)</f>
        <v>0</v>
      </c>
      <c r="N73" s="4">
        <f>IF(ISNUMBER(benefit_original!N73),benefit_original!N73/100000000,benefit_original!N73)</f>
        <v>0</v>
      </c>
      <c r="O73" s="4">
        <f>IF(ISNUMBER(benefit_original!O73),benefit_original!O73/100000000,benefit_original!O73)</f>
        <v>0</v>
      </c>
      <c r="P73" s="4">
        <f>IF(ISNUMBER(benefit_original!P73),benefit_original!P73/100000000,benefit_original!P73)</f>
        <v>0</v>
      </c>
      <c r="Q73" s="4">
        <f>IF(ISNUMBER(benefit_original!Q73),benefit_original!Q73/100000000,benefit_original!Q73)</f>
        <v>0</v>
      </c>
      <c r="R73" s="4">
        <f>IF(ISNUMBER(benefit_original!R73),benefit_original!R73/100000000,benefit_original!R73)</f>
        <v>0</v>
      </c>
      <c r="S73" s="4">
        <f>IF(ISNUMBER(benefit_original!S73),benefit_original!S73/100000000,benefit_original!S73)</f>
        <v>0</v>
      </c>
      <c r="T73" s="4">
        <f>IF(ISNUMBER(benefit_original!T73),benefit_original!T73/100000000,benefit_original!T73)</f>
        <v>0</v>
      </c>
      <c r="U73" s="4">
        <f>IF(ISNUMBER(benefit_original!U73),benefit_original!U73/100000000,benefit_original!U73)</f>
        <v>0</v>
      </c>
      <c r="V73" s="4">
        <f>IF(ISNUMBER(benefit_original!V73),benefit_original!V73/100000000,benefit_original!V73)</f>
        <v>0</v>
      </c>
      <c r="W73" s="4">
        <f>IF(ISNUMBER(benefit_original!W73),benefit_original!W73/100000000,benefit_original!W73)</f>
        <v>0</v>
      </c>
      <c r="X73" s="4">
        <f>IF(ISNUMBER(benefit_original!X73),benefit_original!X73/100000000,benefit_original!X73)</f>
        <v>0</v>
      </c>
      <c r="Y73" s="4">
        <f>IF(ISNUMBER(benefit_original!Y73),benefit_original!Y73/100000000,benefit_original!Y73)</f>
        <v>0</v>
      </c>
      <c r="Z73" s="4">
        <f>IF(ISNUMBER(benefit_original!Z73),benefit_original!Z73/100000000,benefit_original!Z73)</f>
        <v>0</v>
      </c>
      <c r="AA73" s="4">
        <f>IF(ISNUMBER(benefit_original!AA73),benefit_original!AA73/100000000,benefit_original!AA73)</f>
        <v>0</v>
      </c>
      <c r="AB73" s="4">
        <f>IF(ISNUMBER(benefit_original!AB73),benefit_original!AB73/100000000,benefit_original!AB73)</f>
        <v>0</v>
      </c>
      <c r="AC73" s="4">
        <f>IF(ISNUMBER(benefit_original!AC73),benefit_original!AC73/100000000,benefit_original!AC73)</f>
        <v>0</v>
      </c>
      <c r="AD73" s="4">
        <f>IF(ISNUMBER(benefit_original!AD73),benefit_original!AD73/100000000,benefit_original!AD73)</f>
        <v>0</v>
      </c>
      <c r="AE73" s="4">
        <f>IF(ISNUMBER(benefit_original!AE73),benefit_original!AE73/100000000,benefit_original!AE73)</f>
        <v>0</v>
      </c>
      <c r="AF73" s="4">
        <f>IF(ISNUMBER(benefit_original!AF73),benefit_original!AF73/100000000,benefit_original!AF73)</f>
        <v>0</v>
      </c>
      <c r="AG73" s="4">
        <f>IF(ISNUMBER(benefit_original!AG73),benefit_original!AG73/100000000,benefit_original!AG73)</f>
        <v>0</v>
      </c>
      <c r="AH73" s="4">
        <f>IF(ISNUMBER(benefit_original!AH73),benefit_original!AH73/100000000,benefit_original!AH73)</f>
        <v>0</v>
      </c>
      <c r="AI73" s="4">
        <f>IF(ISNUMBER(benefit_original!AI73),benefit_original!AI73/100000000,benefit_original!AI73)</f>
        <v>0</v>
      </c>
      <c r="AJ73" s="4">
        <f>IF(ISNUMBER(benefit_original!AJ73),benefit_original!AJ73/100000000,benefit_original!AJ73)</f>
        <v>0</v>
      </c>
      <c r="AK73" s="4">
        <f>IF(ISNUMBER(benefit_original!AK73),benefit_original!AK73/100000000,benefit_original!AK73)</f>
        <v>0</v>
      </c>
      <c r="AL73" s="4">
        <f>IF(ISNUMBER(benefit_original!AL73),benefit_original!AL73/100000000,benefit_original!AL73)</f>
        <v>0</v>
      </c>
      <c r="AM73" s="4">
        <f>IF(ISNUMBER(benefit_original!AM73),benefit_original!AM73/100000000,benefit_original!AM73)</f>
        <v>0</v>
      </c>
      <c r="AN73" s="4">
        <f>IF(ISNUMBER(benefit_original!AN73),benefit_original!AN73/100000000,benefit_original!AN73)</f>
        <v>0</v>
      </c>
      <c r="AO73" s="4">
        <f>IF(ISNUMBER(benefit_original!AO73),benefit_original!AO73/100000000,benefit_original!AO73)</f>
        <v>0</v>
      </c>
      <c r="AP73" s="4">
        <f>IF(ISNUMBER(benefit_original!AP73),benefit_original!AP73/100000000,benefit_original!AP73)</f>
        <v>0</v>
      </c>
      <c r="AQ73" s="4">
        <f>IF(ISNUMBER(benefit_original!AQ73),benefit_original!AQ73/100000000,benefit_original!AQ73)</f>
        <v>0</v>
      </c>
    </row>
    <row r="74" spans="2:43" x14ac:dyDescent="0.25">
      <c r="B74" s="4">
        <f>IF(ISNUMBER(benefit_original!B74),benefit_original!B74/100000000,benefit_original!B74)</f>
        <v>0</v>
      </c>
      <c r="C74" s="4">
        <f>IF(ISNUMBER(benefit_original!C74),benefit_original!C74/100000000,benefit_original!C74)</f>
        <v>0</v>
      </c>
      <c r="D74" s="4">
        <f>IF(ISNUMBER(benefit_original!D74),benefit_original!D74/100000000,benefit_original!D74)</f>
        <v>0</v>
      </c>
      <c r="E74" s="4">
        <f>IF(ISNUMBER(benefit_original!E74),benefit_original!E74/100000000,benefit_original!E74)</f>
        <v>0</v>
      </c>
      <c r="F74" s="4">
        <f>IF(ISNUMBER(benefit_original!F74),benefit_original!F74/100000000,benefit_original!F74)</f>
        <v>0</v>
      </c>
      <c r="G74" s="4">
        <f>IF(ISNUMBER(benefit_original!G74),benefit_original!G74/100000000,benefit_original!G74)</f>
        <v>0</v>
      </c>
      <c r="H74" s="4">
        <f>IF(ISNUMBER(benefit_original!H74),benefit_original!H74/100000000,benefit_original!H74)</f>
        <v>0</v>
      </c>
      <c r="I74" s="4">
        <f>IF(ISNUMBER(benefit_original!I74),benefit_original!I74/100000000,benefit_original!I74)</f>
        <v>0</v>
      </c>
      <c r="J74" s="4">
        <f>IF(ISNUMBER(benefit_original!J74),benefit_original!J74/100000000,benefit_original!J74)</f>
        <v>0</v>
      </c>
      <c r="K74" s="4">
        <f>IF(ISNUMBER(benefit_original!K74),benefit_original!K74/100000000,benefit_original!K74)</f>
        <v>0</v>
      </c>
      <c r="L74" s="4">
        <f>IF(ISNUMBER(benefit_original!L74),benefit_original!L74/100000000,benefit_original!L74)</f>
        <v>0</v>
      </c>
      <c r="M74" s="4">
        <f>IF(ISNUMBER(benefit_original!M74),benefit_original!M74/100000000,benefit_original!M74)</f>
        <v>0</v>
      </c>
      <c r="N74" s="4">
        <f>IF(ISNUMBER(benefit_original!N74),benefit_original!N74/100000000,benefit_original!N74)</f>
        <v>0</v>
      </c>
      <c r="O74" s="4">
        <f>IF(ISNUMBER(benefit_original!O74),benefit_original!O74/100000000,benefit_original!O74)</f>
        <v>0</v>
      </c>
      <c r="P74" s="4">
        <f>IF(ISNUMBER(benefit_original!P74),benefit_original!P74/100000000,benefit_original!P74)</f>
        <v>0</v>
      </c>
      <c r="Q74" s="4">
        <f>IF(ISNUMBER(benefit_original!Q74),benefit_original!Q74/100000000,benefit_original!Q74)</f>
        <v>0</v>
      </c>
      <c r="R74" s="4">
        <f>IF(ISNUMBER(benefit_original!R74),benefit_original!R74/100000000,benefit_original!R74)</f>
        <v>0</v>
      </c>
      <c r="S74" s="4">
        <f>IF(ISNUMBER(benefit_original!S74),benefit_original!S74/100000000,benefit_original!S74)</f>
        <v>0</v>
      </c>
      <c r="T74" s="4">
        <f>IF(ISNUMBER(benefit_original!T74),benefit_original!T74/100000000,benefit_original!T74)</f>
        <v>0</v>
      </c>
      <c r="U74" s="4">
        <f>IF(ISNUMBER(benefit_original!U74),benefit_original!U74/100000000,benefit_original!U74)</f>
        <v>0</v>
      </c>
      <c r="V74" s="4">
        <f>IF(ISNUMBER(benefit_original!V74),benefit_original!V74/100000000,benefit_original!V74)</f>
        <v>0</v>
      </c>
      <c r="W74" s="4">
        <f>IF(ISNUMBER(benefit_original!W74),benefit_original!W74/100000000,benefit_original!W74)</f>
        <v>0</v>
      </c>
      <c r="X74" s="4">
        <f>IF(ISNUMBER(benefit_original!X74),benefit_original!X74/100000000,benefit_original!X74)</f>
        <v>0</v>
      </c>
      <c r="Y74" s="4">
        <f>IF(ISNUMBER(benefit_original!Y74),benefit_original!Y74/100000000,benefit_original!Y74)</f>
        <v>0</v>
      </c>
      <c r="Z74" s="4">
        <f>IF(ISNUMBER(benefit_original!Z74),benefit_original!Z74/100000000,benefit_original!Z74)</f>
        <v>0</v>
      </c>
      <c r="AA74" s="4">
        <f>IF(ISNUMBER(benefit_original!AA74),benefit_original!AA74/100000000,benefit_original!AA74)</f>
        <v>0</v>
      </c>
      <c r="AB74" s="4">
        <f>IF(ISNUMBER(benefit_original!AB74),benefit_original!AB74/100000000,benefit_original!AB74)</f>
        <v>0</v>
      </c>
      <c r="AC74" s="4">
        <f>IF(ISNUMBER(benefit_original!AC74),benefit_original!AC74/100000000,benefit_original!AC74)</f>
        <v>0</v>
      </c>
      <c r="AD74" s="4">
        <f>IF(ISNUMBER(benefit_original!AD74),benefit_original!AD74/100000000,benefit_original!AD74)</f>
        <v>0</v>
      </c>
      <c r="AE74" s="4">
        <f>IF(ISNUMBER(benefit_original!AE74),benefit_original!AE74/100000000,benefit_original!AE74)</f>
        <v>0</v>
      </c>
      <c r="AF74" s="4">
        <f>IF(ISNUMBER(benefit_original!AF74),benefit_original!AF74/100000000,benefit_original!AF74)</f>
        <v>0</v>
      </c>
      <c r="AG74" s="4">
        <f>IF(ISNUMBER(benefit_original!AG74),benefit_original!AG74/100000000,benefit_original!AG74)</f>
        <v>0</v>
      </c>
      <c r="AH74" s="4">
        <f>IF(ISNUMBER(benefit_original!AH74),benefit_original!AH74/100000000,benefit_original!AH74)</f>
        <v>0</v>
      </c>
      <c r="AI74" s="4">
        <f>IF(ISNUMBER(benefit_original!AI74),benefit_original!AI74/100000000,benefit_original!AI74)</f>
        <v>0</v>
      </c>
      <c r="AJ74" s="4">
        <f>IF(ISNUMBER(benefit_original!AJ74),benefit_original!AJ74/100000000,benefit_original!AJ74)</f>
        <v>0</v>
      </c>
      <c r="AK74" s="4">
        <f>IF(ISNUMBER(benefit_original!AK74),benefit_original!AK74/100000000,benefit_original!AK74)</f>
        <v>0</v>
      </c>
      <c r="AL74" s="4">
        <f>IF(ISNUMBER(benefit_original!AL74),benefit_original!AL74/100000000,benefit_original!AL74)</f>
        <v>0</v>
      </c>
      <c r="AM74" s="4">
        <f>IF(ISNUMBER(benefit_original!AM74),benefit_original!AM74/100000000,benefit_original!AM74)</f>
        <v>0</v>
      </c>
      <c r="AN74" s="4">
        <f>IF(ISNUMBER(benefit_original!AN74),benefit_original!AN74/100000000,benefit_original!AN74)</f>
        <v>0</v>
      </c>
      <c r="AO74" s="4">
        <f>IF(ISNUMBER(benefit_original!AO74),benefit_original!AO74/100000000,benefit_original!AO74)</f>
        <v>0</v>
      </c>
      <c r="AP74" s="4">
        <f>IF(ISNUMBER(benefit_original!AP74),benefit_original!AP74/100000000,benefit_original!AP74)</f>
        <v>0</v>
      </c>
      <c r="AQ74" s="4">
        <f>IF(ISNUMBER(benefit_original!AQ74),benefit_original!AQ74/100000000,benefit_original!AQ74)</f>
        <v>0</v>
      </c>
    </row>
    <row r="75" spans="2:43" x14ac:dyDescent="0.25">
      <c r="B75" s="4">
        <f>IF(ISNUMBER(benefit_original!B75),benefit_original!B75/100000000,benefit_original!B75)</f>
        <v>0</v>
      </c>
      <c r="C75" s="4">
        <f>IF(ISNUMBER(benefit_original!C75),benefit_original!C75/100000000,benefit_original!C75)</f>
        <v>0</v>
      </c>
      <c r="D75" s="4">
        <f>IF(ISNUMBER(benefit_original!D75),benefit_original!D75/100000000,benefit_original!D75)</f>
        <v>0</v>
      </c>
      <c r="E75" s="4">
        <f>IF(ISNUMBER(benefit_original!E75),benefit_original!E75/100000000,benefit_original!E75)</f>
        <v>0</v>
      </c>
      <c r="F75" s="4">
        <f>IF(ISNUMBER(benefit_original!F75),benefit_original!F75/100000000,benefit_original!F75)</f>
        <v>0</v>
      </c>
      <c r="G75" s="4">
        <f>IF(ISNUMBER(benefit_original!G75),benefit_original!G75/100000000,benefit_original!G75)</f>
        <v>0</v>
      </c>
      <c r="H75" s="4">
        <f>IF(ISNUMBER(benefit_original!H75),benefit_original!H75/100000000,benefit_original!H75)</f>
        <v>0</v>
      </c>
      <c r="I75" s="4">
        <f>IF(ISNUMBER(benefit_original!I75),benefit_original!I75/100000000,benefit_original!I75)</f>
        <v>0</v>
      </c>
      <c r="J75" s="4">
        <f>IF(ISNUMBER(benefit_original!J75),benefit_original!J75/100000000,benefit_original!J75)</f>
        <v>0</v>
      </c>
      <c r="K75" s="4">
        <f>IF(ISNUMBER(benefit_original!K75),benefit_original!K75/100000000,benefit_original!K75)</f>
        <v>0</v>
      </c>
      <c r="L75" s="4">
        <f>IF(ISNUMBER(benefit_original!L75),benefit_original!L75/100000000,benefit_original!L75)</f>
        <v>0</v>
      </c>
      <c r="M75" s="4">
        <f>IF(ISNUMBER(benefit_original!M75),benefit_original!M75/100000000,benefit_original!M75)</f>
        <v>0</v>
      </c>
      <c r="N75" s="4">
        <f>IF(ISNUMBER(benefit_original!N75),benefit_original!N75/100000000,benefit_original!N75)</f>
        <v>0</v>
      </c>
      <c r="O75" s="4">
        <f>IF(ISNUMBER(benefit_original!O75),benefit_original!O75/100000000,benefit_original!O75)</f>
        <v>0</v>
      </c>
      <c r="P75" s="4">
        <f>IF(ISNUMBER(benefit_original!P75),benefit_original!P75/100000000,benefit_original!P75)</f>
        <v>0</v>
      </c>
      <c r="Q75" s="4">
        <f>IF(ISNUMBER(benefit_original!Q75),benefit_original!Q75/100000000,benefit_original!Q75)</f>
        <v>0</v>
      </c>
      <c r="R75" s="4">
        <f>IF(ISNUMBER(benefit_original!R75),benefit_original!R75/100000000,benefit_original!R75)</f>
        <v>0</v>
      </c>
      <c r="S75" s="4">
        <f>IF(ISNUMBER(benefit_original!S75),benefit_original!S75/100000000,benefit_original!S75)</f>
        <v>0</v>
      </c>
      <c r="T75" s="4">
        <f>IF(ISNUMBER(benefit_original!T75),benefit_original!T75/100000000,benefit_original!T75)</f>
        <v>0</v>
      </c>
      <c r="U75" s="4">
        <f>IF(ISNUMBER(benefit_original!U75),benefit_original!U75/100000000,benefit_original!U75)</f>
        <v>0</v>
      </c>
      <c r="V75" s="4">
        <f>IF(ISNUMBER(benefit_original!V75),benefit_original!V75/100000000,benefit_original!V75)</f>
        <v>0</v>
      </c>
      <c r="W75" s="4">
        <f>IF(ISNUMBER(benefit_original!W75),benefit_original!W75/100000000,benefit_original!W75)</f>
        <v>0</v>
      </c>
      <c r="X75" s="4">
        <f>IF(ISNUMBER(benefit_original!X75),benefit_original!X75/100000000,benefit_original!X75)</f>
        <v>0</v>
      </c>
      <c r="Y75" s="4">
        <f>IF(ISNUMBER(benefit_original!Y75),benefit_original!Y75/100000000,benefit_original!Y75)</f>
        <v>0</v>
      </c>
      <c r="Z75" s="4">
        <f>IF(ISNUMBER(benefit_original!Z75),benefit_original!Z75/100000000,benefit_original!Z75)</f>
        <v>0</v>
      </c>
      <c r="AA75" s="4">
        <f>IF(ISNUMBER(benefit_original!AA75),benefit_original!AA75/100000000,benefit_original!AA75)</f>
        <v>0</v>
      </c>
      <c r="AB75" s="4">
        <f>IF(ISNUMBER(benefit_original!AB75),benefit_original!AB75/100000000,benefit_original!AB75)</f>
        <v>0</v>
      </c>
      <c r="AC75" s="4">
        <f>IF(ISNUMBER(benefit_original!AC75),benefit_original!AC75/100000000,benefit_original!AC75)</f>
        <v>0</v>
      </c>
      <c r="AD75" s="4">
        <f>IF(ISNUMBER(benefit_original!AD75),benefit_original!AD75/100000000,benefit_original!AD75)</f>
        <v>0</v>
      </c>
      <c r="AE75" s="4">
        <f>IF(ISNUMBER(benefit_original!AE75),benefit_original!AE75/100000000,benefit_original!AE75)</f>
        <v>0</v>
      </c>
      <c r="AF75" s="4">
        <f>IF(ISNUMBER(benefit_original!AF75),benefit_original!AF75/100000000,benefit_original!AF75)</f>
        <v>0</v>
      </c>
      <c r="AG75" s="4">
        <f>IF(ISNUMBER(benefit_original!AG75),benefit_original!AG75/100000000,benefit_original!AG75)</f>
        <v>0</v>
      </c>
      <c r="AH75" s="4">
        <f>IF(ISNUMBER(benefit_original!AH75),benefit_original!AH75/100000000,benefit_original!AH75)</f>
        <v>0</v>
      </c>
      <c r="AI75" s="4">
        <f>IF(ISNUMBER(benefit_original!AI75),benefit_original!AI75/100000000,benefit_original!AI75)</f>
        <v>0</v>
      </c>
      <c r="AJ75" s="4">
        <f>IF(ISNUMBER(benefit_original!AJ75),benefit_original!AJ75/100000000,benefit_original!AJ75)</f>
        <v>0</v>
      </c>
      <c r="AK75" s="4">
        <f>IF(ISNUMBER(benefit_original!AK75),benefit_original!AK75/100000000,benefit_original!AK75)</f>
        <v>0</v>
      </c>
      <c r="AL75" s="4">
        <f>IF(ISNUMBER(benefit_original!AL75),benefit_original!AL75/100000000,benefit_original!AL75)</f>
        <v>0</v>
      </c>
      <c r="AM75" s="4">
        <f>IF(ISNUMBER(benefit_original!AM75),benefit_original!AM75/100000000,benefit_original!AM75)</f>
        <v>0</v>
      </c>
      <c r="AN75" s="4">
        <f>IF(ISNUMBER(benefit_original!AN75),benefit_original!AN75/100000000,benefit_original!AN75)</f>
        <v>0</v>
      </c>
      <c r="AO75" s="4">
        <f>IF(ISNUMBER(benefit_original!AO75),benefit_original!AO75/100000000,benefit_original!AO75)</f>
        <v>0</v>
      </c>
      <c r="AP75" s="4">
        <f>IF(ISNUMBER(benefit_original!AP75),benefit_original!AP75/100000000,benefit_original!AP75)</f>
        <v>0</v>
      </c>
      <c r="AQ75" s="4">
        <f>IF(ISNUMBER(benefit_original!AQ75),benefit_original!AQ75/100000000,benefit_original!AQ75)</f>
        <v>0</v>
      </c>
    </row>
    <row r="76" spans="2:43" x14ac:dyDescent="0.25">
      <c r="B76" s="4">
        <f>IF(ISNUMBER(benefit_original!B76),benefit_original!B76/100000000,benefit_original!B76)</f>
        <v>0</v>
      </c>
      <c r="C76" s="4">
        <f>IF(ISNUMBER(benefit_original!C76),benefit_original!C76/100000000,benefit_original!C76)</f>
        <v>0</v>
      </c>
      <c r="D76" s="4">
        <f>IF(ISNUMBER(benefit_original!D76),benefit_original!D76/100000000,benefit_original!D76)</f>
        <v>0</v>
      </c>
      <c r="E76" s="4">
        <f>IF(ISNUMBER(benefit_original!E76),benefit_original!E76/100000000,benefit_original!E76)</f>
        <v>0</v>
      </c>
      <c r="F76" s="4">
        <f>IF(ISNUMBER(benefit_original!F76),benefit_original!F76/100000000,benefit_original!F76)</f>
        <v>0</v>
      </c>
      <c r="G76" s="4">
        <f>IF(ISNUMBER(benefit_original!G76),benefit_original!G76/100000000,benefit_original!G76)</f>
        <v>0</v>
      </c>
      <c r="H76" s="4">
        <f>IF(ISNUMBER(benefit_original!H76),benefit_original!H76/100000000,benefit_original!H76)</f>
        <v>0</v>
      </c>
      <c r="I76" s="4">
        <f>IF(ISNUMBER(benefit_original!I76),benefit_original!I76/100000000,benefit_original!I76)</f>
        <v>0</v>
      </c>
      <c r="J76" s="4">
        <f>IF(ISNUMBER(benefit_original!J76),benefit_original!J76/100000000,benefit_original!J76)</f>
        <v>0</v>
      </c>
      <c r="K76" s="4">
        <f>IF(ISNUMBER(benefit_original!K76),benefit_original!K76/100000000,benefit_original!K76)</f>
        <v>0</v>
      </c>
      <c r="L76" s="4">
        <f>IF(ISNUMBER(benefit_original!L76),benefit_original!L76/100000000,benefit_original!L76)</f>
        <v>0</v>
      </c>
      <c r="M76" s="4">
        <f>IF(ISNUMBER(benefit_original!M76),benefit_original!M76/100000000,benefit_original!M76)</f>
        <v>0</v>
      </c>
      <c r="N76" s="4">
        <f>IF(ISNUMBER(benefit_original!N76),benefit_original!N76/100000000,benefit_original!N76)</f>
        <v>0</v>
      </c>
      <c r="O76" s="4">
        <f>IF(ISNUMBER(benefit_original!O76),benefit_original!O76/100000000,benefit_original!O76)</f>
        <v>0</v>
      </c>
      <c r="P76" s="4">
        <f>IF(ISNUMBER(benefit_original!P76),benefit_original!P76/100000000,benefit_original!P76)</f>
        <v>0</v>
      </c>
      <c r="Q76" s="4">
        <f>IF(ISNUMBER(benefit_original!Q76),benefit_original!Q76/100000000,benefit_original!Q76)</f>
        <v>0</v>
      </c>
      <c r="R76" s="4">
        <f>IF(ISNUMBER(benefit_original!R76),benefit_original!R76/100000000,benefit_original!R76)</f>
        <v>0</v>
      </c>
      <c r="S76" s="4">
        <f>IF(ISNUMBER(benefit_original!S76),benefit_original!S76/100000000,benefit_original!S76)</f>
        <v>0</v>
      </c>
      <c r="T76" s="4">
        <f>IF(ISNUMBER(benefit_original!T76),benefit_original!T76/100000000,benefit_original!T76)</f>
        <v>0</v>
      </c>
      <c r="U76" s="4">
        <f>IF(ISNUMBER(benefit_original!U76),benefit_original!U76/100000000,benefit_original!U76)</f>
        <v>0</v>
      </c>
      <c r="V76" s="4">
        <f>IF(ISNUMBER(benefit_original!V76),benefit_original!V76/100000000,benefit_original!V76)</f>
        <v>0</v>
      </c>
      <c r="W76" s="4">
        <f>IF(ISNUMBER(benefit_original!W76),benefit_original!W76/100000000,benefit_original!W76)</f>
        <v>0</v>
      </c>
      <c r="X76" s="4">
        <f>IF(ISNUMBER(benefit_original!X76),benefit_original!X76/100000000,benefit_original!X76)</f>
        <v>0</v>
      </c>
      <c r="Y76" s="4">
        <f>IF(ISNUMBER(benefit_original!Y76),benefit_original!Y76/100000000,benefit_original!Y76)</f>
        <v>0</v>
      </c>
      <c r="Z76" s="4">
        <f>IF(ISNUMBER(benefit_original!Z76),benefit_original!Z76/100000000,benefit_original!Z76)</f>
        <v>0</v>
      </c>
      <c r="AA76" s="4">
        <f>IF(ISNUMBER(benefit_original!AA76),benefit_original!AA76/100000000,benefit_original!AA76)</f>
        <v>0</v>
      </c>
      <c r="AB76" s="4">
        <f>IF(ISNUMBER(benefit_original!AB76),benefit_original!AB76/100000000,benefit_original!AB76)</f>
        <v>0</v>
      </c>
      <c r="AC76" s="4">
        <f>IF(ISNUMBER(benefit_original!AC76),benefit_original!AC76/100000000,benefit_original!AC76)</f>
        <v>0</v>
      </c>
      <c r="AD76" s="4">
        <f>IF(ISNUMBER(benefit_original!AD76),benefit_original!AD76/100000000,benefit_original!AD76)</f>
        <v>0</v>
      </c>
      <c r="AE76" s="4">
        <f>IF(ISNUMBER(benefit_original!AE76),benefit_original!AE76/100000000,benefit_original!AE76)</f>
        <v>0</v>
      </c>
      <c r="AF76" s="4">
        <f>IF(ISNUMBER(benefit_original!AF76),benefit_original!AF76/100000000,benefit_original!AF76)</f>
        <v>0</v>
      </c>
      <c r="AG76" s="4">
        <f>IF(ISNUMBER(benefit_original!AG76),benefit_original!AG76/100000000,benefit_original!AG76)</f>
        <v>0</v>
      </c>
      <c r="AH76" s="4">
        <f>IF(ISNUMBER(benefit_original!AH76),benefit_original!AH76/100000000,benefit_original!AH76)</f>
        <v>0</v>
      </c>
      <c r="AI76" s="4">
        <f>IF(ISNUMBER(benefit_original!AI76),benefit_original!AI76/100000000,benefit_original!AI76)</f>
        <v>0</v>
      </c>
      <c r="AJ76" s="4">
        <f>IF(ISNUMBER(benefit_original!AJ76),benefit_original!AJ76/100000000,benefit_original!AJ76)</f>
        <v>0</v>
      </c>
      <c r="AK76" s="4">
        <f>IF(ISNUMBER(benefit_original!AK76),benefit_original!AK76/100000000,benefit_original!AK76)</f>
        <v>0</v>
      </c>
      <c r="AL76" s="4">
        <f>IF(ISNUMBER(benefit_original!AL76),benefit_original!AL76/100000000,benefit_original!AL76)</f>
        <v>0</v>
      </c>
      <c r="AM76" s="4">
        <f>IF(ISNUMBER(benefit_original!AM76),benefit_original!AM76/100000000,benefit_original!AM76)</f>
        <v>0</v>
      </c>
      <c r="AN76" s="4">
        <f>IF(ISNUMBER(benefit_original!AN76),benefit_original!AN76/100000000,benefit_original!AN76)</f>
        <v>0</v>
      </c>
      <c r="AO76" s="4">
        <f>IF(ISNUMBER(benefit_original!AO76),benefit_original!AO76/100000000,benefit_original!AO76)</f>
        <v>0</v>
      </c>
      <c r="AP76" s="4">
        <f>IF(ISNUMBER(benefit_original!AP76),benefit_original!AP76/100000000,benefit_original!AP76)</f>
        <v>0</v>
      </c>
      <c r="AQ76" s="4">
        <f>IF(ISNUMBER(benefit_original!AQ76),benefit_original!AQ76/100000000,benefit_original!AQ76)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9224E-FCD1-4B5F-9172-58AEBC31438A}">
  <sheetPr codeName="Sheet18"/>
  <dimension ref="A1:AD57"/>
  <sheetViews>
    <sheetView tabSelected="1" topLeftCell="J1" workbookViewId="0">
      <selection activeCell="AD3" sqref="AD3"/>
    </sheetView>
  </sheetViews>
  <sheetFormatPr defaultColWidth="9.140625" defaultRowHeight="15" x14ac:dyDescent="0.25"/>
  <cols>
    <col min="1" max="1" width="59.85546875" style="8" bestFit="1" customWidth="1"/>
    <col min="2" max="3" width="12.140625" style="7" bestFit="1" customWidth="1"/>
    <col min="4" max="6" width="13.42578125" style="7" bestFit="1" customWidth="1"/>
    <col min="7" max="10" width="12.140625" style="7" bestFit="1" customWidth="1"/>
    <col min="11" max="12" width="13.42578125" style="7" bestFit="1" customWidth="1"/>
    <col min="13" max="24" width="12.140625" style="7" bestFit="1" customWidth="1"/>
    <col min="25" max="26" width="13.42578125" style="7" bestFit="1" customWidth="1"/>
    <col min="27" max="27" width="12.140625" style="7" bestFit="1" customWidth="1"/>
    <col min="28" max="28" width="12.28515625" style="7" bestFit="1" customWidth="1"/>
    <col min="29" max="29" width="13.42578125" style="7" bestFit="1" customWidth="1"/>
    <col min="30" max="30" width="12.28515625" style="7" bestFit="1" customWidth="1"/>
    <col min="31" max="16384" width="9.140625" style="5"/>
  </cols>
  <sheetData>
    <row r="1" spans="1:30" x14ac:dyDescent="0.25"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  <c r="Y1" s="13">
        <v>25</v>
      </c>
      <c r="Z1" s="13">
        <v>26</v>
      </c>
      <c r="AA1" s="13">
        <v>27</v>
      </c>
      <c r="AB1" s="13">
        <v>28</v>
      </c>
      <c r="AC1" s="13">
        <v>29</v>
      </c>
      <c r="AD1" s="13">
        <v>30</v>
      </c>
    </row>
    <row r="2" spans="1:30" s="6" customFormat="1" x14ac:dyDescent="0.25">
      <c r="A2" s="9" t="s">
        <v>10</v>
      </c>
      <c r="B2" s="10" t="str">
        <f>VLOOKUP($A2,main!$A$1:$AT$40,B$1,FALSE)</f>
        <v>2020-09-30</v>
      </c>
      <c r="C2" s="10" t="str">
        <f>VLOOKUP($A2,main!$A$1:$AT$40,C$1,FALSE)</f>
        <v>2020-06-30</v>
      </c>
      <c r="D2" s="10" t="str">
        <f>VLOOKUP($A2,main!$A$1:$AT$40,D$1,FALSE)</f>
        <v>2020-03-31</v>
      </c>
      <c r="E2" s="10" t="str">
        <f>VLOOKUP($A2,main!$A$1:$AT$40,E$1,FALSE)</f>
        <v>2019-12-31</v>
      </c>
      <c r="F2" s="10" t="str">
        <f>VLOOKUP($A2,main!$A$1:$AT$40,F$1,FALSE)</f>
        <v>2019-09-30</v>
      </c>
      <c r="G2" s="10" t="str">
        <f>VLOOKUP($A2,main!$A$1:$AT$40,G$1,FALSE)</f>
        <v>2019-06-30</v>
      </c>
      <c r="H2" s="10" t="str">
        <f>VLOOKUP($A2,main!$A$1:$AT$40,H$1,FALSE)</f>
        <v>2019-03-31</v>
      </c>
      <c r="I2" s="10" t="str">
        <f>VLOOKUP($A2,main!$A$1:$AT$40,I$1,FALSE)</f>
        <v>2018-12-31</v>
      </c>
      <c r="J2" s="10" t="str">
        <f>VLOOKUP($A2,main!$A$1:$AT$40,J$1,FALSE)</f>
        <v>2018-09-30</v>
      </c>
      <c r="K2" s="10" t="str">
        <f>VLOOKUP($A2,main!$A$1:$AT$40,K$1,FALSE)</f>
        <v>2018-06-30</v>
      </c>
      <c r="L2" s="10" t="str">
        <f>VLOOKUP($A2,main!$A$1:$AT$40,L$1,FALSE)</f>
        <v>2018-03-31</v>
      </c>
      <c r="M2" s="10" t="str">
        <f>VLOOKUP($A2,main!$A$1:$AT$40,M$1,FALSE)</f>
        <v>2017-12-31</v>
      </c>
      <c r="N2" s="10" t="str">
        <f>VLOOKUP($A2,main!$A$1:$AT$40,N$1,FALSE)</f>
        <v>2017-09-30</v>
      </c>
      <c r="O2" s="10" t="str">
        <f>VLOOKUP($A2,main!$A$1:$AT$40,O$1,FALSE)</f>
        <v>2017-06-30</v>
      </c>
      <c r="P2" s="10" t="str">
        <f>VLOOKUP($A2,main!$A$1:$AT$40,P$1,FALSE)</f>
        <v>2017-03-31</v>
      </c>
      <c r="Q2" s="10" t="str">
        <f>VLOOKUP($A2,main!$A$1:$AT$40,Q$1,FALSE)</f>
        <v>2016-12-31</v>
      </c>
      <c r="R2" s="10" t="str">
        <f>VLOOKUP($A2,main!$A$1:$AT$40,R$1,FALSE)</f>
        <v>2016-09-30</v>
      </c>
      <c r="S2" s="10" t="str">
        <f>VLOOKUP($A2,main!$A$1:$AT$40,S$1,FALSE)</f>
        <v>2016-06-30</v>
      </c>
      <c r="T2" s="10" t="str">
        <f>VLOOKUP($A2,main!$A$1:$AT$40,T$1,FALSE)</f>
        <v>2016-03-31</v>
      </c>
      <c r="U2" s="10" t="str">
        <f>VLOOKUP($A2,main!$A$1:$AT$40,U$1,FALSE)</f>
        <v>2015-12-31</v>
      </c>
      <c r="V2" s="10" t="str">
        <f>VLOOKUP($A2,main!$A$1:$AT$40,V$1,FALSE)</f>
        <v>2015-09-30</v>
      </c>
      <c r="W2" s="10" t="str">
        <f>VLOOKUP($A2,main!$A$1:$AT$40,W$1,FALSE)</f>
        <v>2015-06-30</v>
      </c>
      <c r="X2" s="10" t="str">
        <f>VLOOKUP($A2,main!$A$1:$AT$40,X$1,FALSE)</f>
        <v>2015-03-31</v>
      </c>
      <c r="Y2" s="10" t="str">
        <f>VLOOKUP($A2,main!$A$1:$AT$40,Y$1,FALSE)</f>
        <v>2014-12-31</v>
      </c>
      <c r="Z2" s="10" t="str">
        <f>VLOOKUP($A2,main!$A$1:$AT$40,Z$1,FALSE)</f>
        <v>2014-09-30</v>
      </c>
      <c r="AA2" s="10" t="str">
        <f>VLOOKUP($A2,main!$A$1:$AT$40,AA$1,FALSE)</f>
        <v>2014-06-30</v>
      </c>
      <c r="AB2" s="10" t="str">
        <f>VLOOKUP($A2,main!$A$1:$AT$40,AB$1,FALSE)</f>
        <v>2014-03-31</v>
      </c>
      <c r="AC2" s="10" t="str">
        <f>VLOOKUP($A2,main!$A$1:$AT$40,AC$1,FALSE)</f>
        <v>2013-12-31</v>
      </c>
      <c r="AD2" s="10" t="str">
        <f>VLOOKUP($A2,main!$A$1:$AT$40,AD$1,FALSE)</f>
        <v>2013-09-30</v>
      </c>
    </row>
    <row r="3" spans="1:30" x14ac:dyDescent="0.25">
      <c r="A3" s="4" t="s">
        <v>22</v>
      </c>
      <c r="B3" s="11">
        <f>IF(ISNUMBER(VLOOKUP($A3,main!$A$1:$AT$40,B$1,FALSE)),VLOOKUP($A3,main!$A$1:$AT$40,B$1,FALSE),0)</f>
        <v>112.25448900000001</v>
      </c>
      <c r="C3" s="11">
        <f>IF(ISNUMBER(VLOOKUP($A3,main!$A$1:$AT$40,C$1,FALSE)),VLOOKUP($A3,main!$A$1:$AT$40,C$1,FALSE),0)</f>
        <v>95.078849000000005</v>
      </c>
      <c r="D3" s="11">
        <f>IF(ISNUMBER(VLOOKUP($A3,main!$A$1:$AT$40,D$1,FALSE)),VLOOKUP($A3,main!$A$1:$AT$40,D$1,FALSE),0)</f>
        <v>130.937702</v>
      </c>
      <c r="E3" s="11">
        <f>IF(ISNUMBER(VLOOKUP($A3,main!$A$1:$AT$40,E$1,FALSE)),VLOOKUP($A3,main!$A$1:$AT$40,E$1,FALSE),0)</f>
        <v>107.516156</v>
      </c>
      <c r="F3" s="11">
        <f>IF(ISNUMBER(VLOOKUP($A3,main!$A$1:$AT$40,F$1,FALSE)),VLOOKUP($A3,main!$A$1:$AT$40,F$1,FALSE),0)</f>
        <v>105.038298</v>
      </c>
      <c r="G3" s="11">
        <f>IF(ISNUMBER(VLOOKUP($A3,main!$A$1:$AT$40,G$1,FALSE)),VLOOKUP($A3,main!$A$1:$AT$40,G$1,FALSE),0)</f>
        <v>87.295942999999994</v>
      </c>
      <c r="H3" s="11">
        <f>IF(ISNUMBER(VLOOKUP($A3,main!$A$1:$AT$40,H$1,FALSE)),VLOOKUP($A3,main!$A$1:$AT$40,H$1,FALSE),0)</f>
        <v>112.214313</v>
      </c>
      <c r="I3" s="11">
        <f>IF(ISNUMBER(VLOOKUP($A3,main!$A$1:$AT$40,I$1,FALSE)),VLOOKUP($A3,main!$A$1:$AT$40,I$1,FALSE),0)</f>
        <v>104.70072500000001</v>
      </c>
      <c r="J3" s="11">
        <f>IF(ISNUMBER(VLOOKUP($A3,main!$A$1:$AT$40,J$1,FALSE)),VLOOKUP($A3,main!$A$1:$AT$40,J$1,FALSE),0)</f>
        <v>89.693669</v>
      </c>
      <c r="K3" s="11">
        <f>IF(ISNUMBER(VLOOKUP($A3,main!$A$1:$AT$40,K$1,FALSE)),VLOOKUP($A3,main!$A$1:$AT$40,K$1,FALSE),0)</f>
        <v>72.572790999999995</v>
      </c>
      <c r="L3" s="11">
        <f>IF(ISNUMBER(VLOOKUP($A3,main!$A$1:$AT$40,L$1,FALSE)),VLOOKUP($A3,main!$A$1:$AT$40,L$1,FALSE),0)</f>
        <v>85.069067000000004</v>
      </c>
      <c r="M3" s="11">
        <f>IF(ISNUMBER(VLOOKUP($A3,main!$A$1:$AT$40,M$1,FALSE)),VLOOKUP($A3,main!$A$1:$AT$40,M$1,FALSE),0)</f>
        <v>70.955133000000004</v>
      </c>
      <c r="N3" s="11">
        <f>IF(ISNUMBER(VLOOKUP($A3,main!$A$1:$AT$40,N$1,FALSE)),VLOOKUP($A3,main!$A$1:$AT$40,N$1,FALSE),0)</f>
        <v>87.329860999999994</v>
      </c>
      <c r="O3" s="11">
        <f>IF(ISNUMBER(VLOOKUP($A3,main!$A$1:$AT$40,O$1,FALSE)),VLOOKUP($A3,main!$A$1:$AT$40,O$1,FALSE),0)</f>
        <v>51.277416000000002</v>
      </c>
      <c r="P3" s="11">
        <f>IF(ISNUMBER(VLOOKUP($A3,main!$A$1:$AT$40,P$1,FALSE)),VLOOKUP($A3,main!$A$1:$AT$40,P$1,FALSE),0)</f>
        <v>61.231192999999998</v>
      </c>
      <c r="Q3" s="11">
        <f>IF(ISNUMBER(VLOOKUP($A3,main!$A$1:$AT$40,Q$1,FALSE)),VLOOKUP($A3,main!$A$1:$AT$40,Q$1,FALSE),0)</f>
        <v>42.527850000000001</v>
      </c>
      <c r="R3" s="11">
        <f>IF(ISNUMBER(VLOOKUP($A3,main!$A$1:$AT$40,R$1,FALSE)),VLOOKUP($A3,main!$A$1:$AT$40,R$1,FALSE),0)</f>
        <v>36.629406000000003</v>
      </c>
      <c r="S3" s="11">
        <f>IF(ISNUMBER(VLOOKUP($A3,main!$A$1:$AT$40,S$1,FALSE)),VLOOKUP($A3,main!$A$1:$AT$40,S$1,FALSE),0)</f>
        <v>39.133654999999997</v>
      </c>
      <c r="T3" s="11">
        <f>IF(ISNUMBER(VLOOKUP($A3,main!$A$1:$AT$40,T$1,FALSE)),VLOOKUP($A3,main!$A$1:$AT$40,T$1,FALSE),0)</f>
        <v>48.892716</v>
      </c>
      <c r="U3" s="11">
        <f>IF(ISNUMBER(VLOOKUP($A3,main!$A$1:$AT$40,U$1,FALSE)),VLOOKUP($A3,main!$A$1:$AT$40,U$1,FALSE),0)</f>
        <v>40.784525000000002</v>
      </c>
      <c r="V3" s="11">
        <f>IF(ISNUMBER(VLOOKUP($A3,main!$A$1:$AT$40,V$1,FALSE)),VLOOKUP($A3,main!$A$1:$AT$40,V$1,FALSE),0)</f>
        <v>35.364055</v>
      </c>
      <c r="W3" s="11">
        <f>IF(ISNUMBER(VLOOKUP($A3,main!$A$1:$AT$40,W$1,FALSE)),VLOOKUP($A3,main!$A$1:$AT$40,W$1,FALSE),0)</f>
        <v>35.233305999999999</v>
      </c>
      <c r="X3" s="11">
        <f>IF(ISNUMBER(VLOOKUP($A3,main!$A$1:$AT$40,X$1,FALSE)),VLOOKUP($A3,main!$A$1:$AT$40,X$1,FALSE),0)</f>
        <v>43.649017000000001</v>
      </c>
      <c r="Y3" s="11">
        <f>IF(ISNUMBER(VLOOKUP($A3,main!$A$1:$AT$40,Y$1,FALSE)),VLOOKUP($A3,main!$A$1:$AT$40,Y$1,FALSE),0)</f>
        <v>46.564751000000001</v>
      </c>
      <c r="Z3" s="11">
        <f>IF(ISNUMBER(VLOOKUP($A3,main!$A$1:$AT$40,Z$1,FALSE)),VLOOKUP($A3,main!$A$1:$AT$40,Z$1,FALSE),0)</f>
        <v>34.634754000000001</v>
      </c>
      <c r="AA3" s="11">
        <f>IF(ISNUMBER(VLOOKUP($A3,main!$A$1:$AT$40,AA$1,FALSE)),VLOOKUP($A3,main!$A$1:$AT$40,AA$1,FALSE),0)</f>
        <v>35.304676000000001</v>
      </c>
      <c r="AB3" s="11">
        <f>IF(ISNUMBER(VLOOKUP($A3,main!$A$1:$AT$40,AB$1,FALSE)),VLOOKUP($A3,main!$A$1:$AT$40,AB$1,FALSE),0)</f>
        <v>36.993862999999997</v>
      </c>
      <c r="AC3" s="11">
        <f>IF(ISNUMBER(VLOOKUP($A3,main!$A$1:$AT$40,AC$1,FALSE)),VLOOKUP($A3,main!$A$1:$AT$40,AC$1,FALSE),0)</f>
        <v>40.664453000000002</v>
      </c>
      <c r="AD3" s="11">
        <f>IF(ISNUMBER(VLOOKUP($A3,main!$A$1:$AT$40,AD$1,FALSE)),VLOOKUP($A3,main!$A$1:$AT$40,AD$1,FALSE),0)</f>
        <v>38.222498000000002</v>
      </c>
    </row>
    <row r="4" spans="1:30" x14ac:dyDescent="0.25">
      <c r="A4" s="4" t="s">
        <v>33</v>
      </c>
      <c r="B4" s="11">
        <f>IF(ISNUMBER(VLOOKUP($A4,main!$A$1:$AT$40,B$1,FALSE)),VLOOKUP($A4,main!$A$1:$AT$40,B$1,FALSE),0)</f>
        <v>112.293745</v>
      </c>
      <c r="C4" s="11">
        <f>IF(ISNUMBER(VLOOKUP($A4,main!$A$1:$AT$40,C$1,FALSE)),VLOOKUP($A4,main!$A$1:$AT$40,C$1,FALSE),0)</f>
        <v>95.175095999999996</v>
      </c>
      <c r="D4" s="11">
        <f>IF(ISNUMBER(VLOOKUP($A4,main!$A$1:$AT$40,D$1,FALSE)),VLOOKUP($A4,main!$A$1:$AT$40,D$1,FALSE),0)</f>
        <v>131.552167</v>
      </c>
      <c r="E4" s="11">
        <f>IF(ISNUMBER(VLOOKUP($A4,main!$A$1:$AT$40,E$1,FALSE)),VLOOKUP($A4,main!$A$1:$AT$40,E$1,FALSE),0)</f>
        <v>108.72688100000001</v>
      </c>
      <c r="F4" s="11">
        <f>IF(ISNUMBER(VLOOKUP($A4,main!$A$1:$AT$40,F$1,FALSE)),VLOOKUP($A4,main!$A$1:$AT$40,F$1,FALSE),0)</f>
        <v>105.027817</v>
      </c>
      <c r="G4" s="11">
        <f>IF(ISNUMBER(VLOOKUP($A4,main!$A$1:$AT$40,G$1,FALSE)),VLOOKUP($A4,main!$A$1:$AT$40,G$1,FALSE),0)</f>
        <v>87.297173999999998</v>
      </c>
      <c r="H4" s="11">
        <f>IF(ISNUMBER(VLOOKUP($A4,main!$A$1:$AT$40,H$1,FALSE)),VLOOKUP($A4,main!$A$1:$AT$40,H$1,FALSE),0)</f>
        <v>113.017218</v>
      </c>
      <c r="I4" s="11">
        <f>IF(ISNUMBER(VLOOKUP($A4,main!$A$1:$AT$40,I$1,FALSE)),VLOOKUP($A4,main!$A$1:$AT$40,I$1,FALSE),0)</f>
        <v>106.564325</v>
      </c>
      <c r="J4" s="11">
        <f>IF(ISNUMBER(VLOOKUP($A4,main!$A$1:$AT$40,J$1,FALSE)),VLOOKUP($A4,main!$A$1:$AT$40,J$1,FALSE),0)</f>
        <v>90.448425999999998</v>
      </c>
      <c r="K4" s="11">
        <f>IF(ISNUMBER(VLOOKUP($A4,main!$A$1:$AT$40,K$1,FALSE)),VLOOKUP($A4,main!$A$1:$AT$40,K$1,FALSE),0)</f>
        <v>73.733896000000001</v>
      </c>
      <c r="L4" s="11">
        <f>IF(ISNUMBER(VLOOKUP($A4,main!$A$1:$AT$40,L$1,FALSE)),VLOOKUP($A4,main!$A$1:$AT$40,L$1,FALSE),0)</f>
        <v>85.107788999999997</v>
      </c>
      <c r="M4" s="11">
        <f>IF(ISNUMBER(VLOOKUP($A4,main!$A$1:$AT$40,M$1,FALSE)),VLOOKUP($A4,main!$A$1:$AT$40,M$1,FALSE),0)</f>
        <v>71.370748000000006</v>
      </c>
      <c r="N4" s="11">
        <f>IF(ISNUMBER(VLOOKUP($A4,main!$A$1:$AT$40,N$1,FALSE)),VLOOKUP($A4,main!$A$1:$AT$40,N$1,FALSE),0)</f>
        <v>88.071323000000007</v>
      </c>
      <c r="O4" s="11">
        <f>IF(ISNUMBER(VLOOKUP($A4,main!$A$1:$AT$40,O$1,FALSE)),VLOOKUP($A4,main!$A$1:$AT$40,O$1,FALSE),0)</f>
        <v>51.316918999999999</v>
      </c>
      <c r="P4" s="11">
        <f>IF(ISNUMBER(VLOOKUP($A4,main!$A$1:$AT$40,P$1,FALSE)),VLOOKUP($A4,main!$A$1:$AT$40,P$1,FALSE),0)</f>
        <v>61.481847000000002</v>
      </c>
      <c r="Q4" s="11">
        <f>IF(ISNUMBER(VLOOKUP($A4,main!$A$1:$AT$40,Q$1,FALSE)),VLOOKUP($A4,main!$A$1:$AT$40,Q$1,FALSE),0)</f>
        <v>44.094155999999998</v>
      </c>
      <c r="R4" s="11">
        <f>IF(ISNUMBER(VLOOKUP($A4,main!$A$1:$AT$40,R$1,FALSE)),VLOOKUP($A4,main!$A$1:$AT$40,R$1,FALSE),0)</f>
        <v>37.463251999999997</v>
      </c>
      <c r="S4" s="11">
        <f>IF(ISNUMBER(VLOOKUP($A4,main!$A$1:$AT$40,S$1,FALSE)),VLOOKUP($A4,main!$A$1:$AT$40,S$1,FALSE),0)</f>
        <v>39.126609999999999</v>
      </c>
      <c r="T4" s="11">
        <f>IF(ISNUMBER(VLOOKUP($A4,main!$A$1:$AT$40,T$1,FALSE)),VLOOKUP($A4,main!$A$1:$AT$40,T$1,FALSE),0)</f>
        <v>48.862872000000003</v>
      </c>
      <c r="U4" s="11">
        <f>IF(ISNUMBER(VLOOKUP($A4,main!$A$1:$AT$40,U$1,FALSE)),VLOOKUP($A4,main!$A$1:$AT$40,U$1,FALSE),0)</f>
        <v>40.963614999999997</v>
      </c>
      <c r="V4" s="11">
        <f>IF(ISNUMBER(VLOOKUP($A4,main!$A$1:$AT$40,V$1,FALSE)),VLOOKUP($A4,main!$A$1:$AT$40,V$1,FALSE),0)</f>
        <v>36.306091000000002</v>
      </c>
      <c r="W4" s="11">
        <f>IF(ISNUMBER(VLOOKUP($A4,main!$A$1:$AT$40,W$1,FALSE)),VLOOKUP($A4,main!$A$1:$AT$40,W$1,FALSE),0)</f>
        <v>35.232599</v>
      </c>
      <c r="X4" s="11">
        <f>IF(ISNUMBER(VLOOKUP($A4,main!$A$1:$AT$40,X$1,FALSE)),VLOOKUP($A4,main!$A$1:$AT$40,X$1,FALSE),0)</f>
        <v>43.666359999999997</v>
      </c>
      <c r="Y4" s="11">
        <f>IF(ISNUMBER(VLOOKUP($A4,main!$A$1:$AT$40,Y$1,FALSE)),VLOOKUP($A4,main!$A$1:$AT$40,Y$1,FALSE),0)</f>
        <v>47.294159999999998</v>
      </c>
      <c r="Z4" s="11">
        <f>IF(ISNUMBER(VLOOKUP($A4,main!$A$1:$AT$40,Z$1,FALSE)),VLOOKUP($A4,main!$A$1:$AT$40,Z$1,FALSE),0)</f>
        <v>35.414527</v>
      </c>
      <c r="AA4" s="11">
        <f>IF(ISNUMBER(VLOOKUP($A4,main!$A$1:$AT$40,AA$1,FALSE)),VLOOKUP($A4,main!$A$1:$AT$40,AA$1,FALSE),0)</f>
        <v>35.448602000000001</v>
      </c>
      <c r="AB4" s="11">
        <f>IF(ISNUMBER(VLOOKUP($A4,main!$A$1:$AT$40,AB$1,FALSE)),VLOOKUP($A4,main!$A$1:$AT$40,AB$1,FALSE),0)</f>
        <v>37.051045000000002</v>
      </c>
      <c r="AC4" s="11">
        <f>IF(ISNUMBER(VLOOKUP($A4,main!$A$1:$AT$40,AC$1,FALSE)),VLOOKUP($A4,main!$A$1:$AT$40,AC$1,FALSE),0)</f>
        <v>41.351757999999997</v>
      </c>
      <c r="AD4" s="11">
        <f>IF(ISNUMBER(VLOOKUP($A4,main!$A$1:$AT$40,AD$1,FALSE)),VLOOKUP($A4,main!$A$1:$AT$40,AD$1,FALSE),0)</f>
        <v>38.736178000000002</v>
      </c>
    </row>
    <row r="5" spans="1:30" x14ac:dyDescent="0.25">
      <c r="A5" s="4" t="s">
        <v>34</v>
      </c>
      <c r="B5" s="11">
        <f>IF(ISNUMBER(VLOOKUP($A5,main!$A$1:$AT$40,B$1,FALSE)),VLOOKUP($A5,main!$A$1:$AT$40,B$1,FALSE),0)</f>
        <v>239.4050558495</v>
      </c>
      <c r="C5" s="11">
        <f>IF(ISNUMBER(VLOOKUP($A5,main!$A$1:$AT$40,C$1,FALSE)),VLOOKUP($A5,main!$A$1:$AT$40,C$1,FALSE),0)</f>
        <v>203.35879249639999</v>
      </c>
      <c r="D5" s="11">
        <f>IF(ISNUMBER(VLOOKUP($A5,main!$A$1:$AT$40,D$1,FALSE)),VLOOKUP($A5,main!$A$1:$AT$40,D$1,FALSE),0)</f>
        <v>252.98492025939998</v>
      </c>
      <c r="E5" s="11">
        <f>IF(ISNUMBER(VLOOKUP($A5,main!$A$1:$AT$40,E$1,FALSE)),VLOOKUP($A5,main!$A$1:$AT$40,E$1,FALSE),0)</f>
        <v>253.45674442060002</v>
      </c>
      <c r="F5" s="11">
        <f>IF(ISNUMBER(VLOOKUP($A5,main!$A$1:$AT$40,F$1,FALSE)),VLOOKUP($A5,main!$A$1:$AT$40,F$1,FALSE),0)</f>
        <v>223.35981736759999</v>
      </c>
      <c r="G5" s="11">
        <f>IF(ISNUMBER(VLOOKUP($A5,main!$A$1:$AT$40,G$1,FALSE)),VLOOKUP($A5,main!$A$1:$AT$40,G$1,FALSE),0)</f>
        <v>186.92156055250001</v>
      </c>
      <c r="H5" s="11">
        <f>IF(ISNUMBER(VLOOKUP($A5,main!$A$1:$AT$40,H$1,FALSE)),VLOOKUP($A5,main!$A$1:$AT$40,H$1,FALSE),0)</f>
        <v>224.80525254689999</v>
      </c>
      <c r="I5" s="11">
        <f>IF(ISNUMBER(VLOOKUP($A5,main!$A$1:$AT$40,I$1,FALSE)),VLOOKUP($A5,main!$A$1:$AT$40,I$1,FALSE),0)</f>
        <v>222.301176588</v>
      </c>
      <c r="J5" s="11">
        <f>IF(ISNUMBER(VLOOKUP($A5,main!$A$1:$AT$40,J$1,FALSE)),VLOOKUP($A5,main!$A$1:$AT$40,J$1,FALSE),0)</f>
        <v>197.17801668090001</v>
      </c>
      <c r="K5" s="11">
        <f>IF(ISNUMBER(VLOOKUP($A5,main!$A$1:$AT$40,K$1,FALSE)),VLOOKUP($A5,main!$A$1:$AT$40,K$1,FALSE),0)</f>
        <v>168.56207937370002</v>
      </c>
      <c r="L5" s="11">
        <f>IF(ISNUMBER(VLOOKUP($A5,main!$A$1:$AT$40,L$1,FALSE)),VLOOKUP($A5,main!$A$1:$AT$40,L$1,FALSE),0)</f>
        <v>183.9525684596</v>
      </c>
      <c r="M5" s="11">
        <f>IF(ISNUMBER(VLOOKUP($A5,main!$A$1:$AT$40,M$1,FALSE)),VLOOKUP($A5,main!$A$1:$AT$40,M$1,FALSE),0)</f>
        <v>165.75382294720001</v>
      </c>
      <c r="N5" s="11">
        <f>IF(ISNUMBER(VLOOKUP($A5,main!$A$1:$AT$40,N$1,FALSE)),VLOOKUP($A5,main!$A$1:$AT$40,N$1,FALSE),0)</f>
        <v>189.9347782641</v>
      </c>
      <c r="O5" s="11">
        <f>IF(ISNUMBER(VLOOKUP($A5,main!$A$1:$AT$40,O$1,FALSE)),VLOOKUP($A5,main!$A$1:$AT$40,O$1,FALSE),0)</f>
        <v>115.80485375729999</v>
      </c>
      <c r="P5" s="11">
        <f>IF(ISNUMBER(VLOOKUP($A5,main!$A$1:$AT$40,P$1,FALSE)),VLOOKUP($A5,main!$A$1:$AT$40,P$1,FALSE),0)</f>
        <v>139.13411369299999</v>
      </c>
      <c r="Q5" s="11">
        <f>IF(ISNUMBER(VLOOKUP($A5,main!$A$1:$AT$40,Q$1,FALSE)),VLOOKUP($A5,main!$A$1:$AT$40,Q$1,FALSE),0)</f>
        <v>126.2234926191</v>
      </c>
      <c r="R5" s="11">
        <f>IF(ISNUMBER(VLOOKUP($A5,main!$A$1:$AT$40,R$1,FALSE)),VLOOKUP($A5,main!$A$1:$AT$40,R$1,FALSE),0)</f>
        <v>87.951180592000014</v>
      </c>
      <c r="S5" s="11">
        <f>IF(ISNUMBER(VLOOKUP($A5,main!$A$1:$AT$40,S$1,FALSE)),VLOOKUP($A5,main!$A$1:$AT$40,S$1,FALSE),0)</f>
        <v>84.867495081300007</v>
      </c>
      <c r="T5" s="11">
        <f>IF(ISNUMBER(VLOOKUP($A5,main!$A$1:$AT$40,T$1,FALSE)),VLOOKUP($A5,main!$A$1:$AT$40,T$1,FALSE),0)</f>
        <v>102.50867583690001</v>
      </c>
      <c r="U5" s="11">
        <f>IF(ISNUMBER(VLOOKUP($A5,main!$A$1:$AT$40,U$1,FALSE)),VLOOKUP($A5,main!$A$1:$AT$40,U$1,FALSE),0)</f>
        <v>97.125397951000011</v>
      </c>
      <c r="V5" s="11">
        <f>IF(ISNUMBER(VLOOKUP($A5,main!$A$1:$AT$40,V$1,FALSE)),VLOOKUP($A5,main!$A$1:$AT$40,V$1,FALSE),0)</f>
        <v>75.486676810100008</v>
      </c>
      <c r="W5" s="11">
        <f>IF(ISNUMBER(VLOOKUP($A5,main!$A$1:$AT$40,W$1,FALSE)),VLOOKUP($A5,main!$A$1:$AT$40,W$1,FALSE),0)</f>
        <v>74.252836412500002</v>
      </c>
      <c r="X5" s="11">
        <f>IF(ISNUMBER(VLOOKUP($A5,main!$A$1:$AT$40,X$1,FALSE)),VLOOKUP($A5,main!$A$1:$AT$40,X$1,FALSE),0)</f>
        <v>87.603679282199991</v>
      </c>
      <c r="Y5" s="11">
        <f>IF(ISNUMBER(VLOOKUP($A5,main!$A$1:$AT$40,Y$1,FALSE)),VLOOKUP($A5,main!$A$1:$AT$40,Y$1,FALSE),0)</f>
        <v>100.43956018760001</v>
      </c>
      <c r="Z5" s="11">
        <f>IF(ISNUMBER(VLOOKUP($A5,main!$A$1:$AT$40,Z$1,FALSE)),VLOOKUP($A5,main!$A$1:$AT$40,Z$1,FALSE),0)</f>
        <v>75.576184642100003</v>
      </c>
      <c r="AA5" s="11">
        <f>IF(ISNUMBER(VLOOKUP($A5,main!$A$1:$AT$40,AA$1,FALSE)),VLOOKUP($A5,main!$A$1:$AT$40,AA$1,FALSE),0)</f>
        <v>70.338996239700009</v>
      </c>
      <c r="AB5" s="11">
        <f>IF(ISNUMBER(VLOOKUP($A5,main!$A$1:$AT$40,AB$1,FALSE)),VLOOKUP($A5,main!$A$1:$AT$40,AB$1,FALSE),0)</f>
        <v>75.817396341399999</v>
      </c>
      <c r="AC5" s="11">
        <f>IF(ISNUMBER(VLOOKUP($A5,main!$A$1:$AT$40,AC$1,FALSE)),VLOOKUP($A5,main!$A$1:$AT$40,AC$1,FALSE),0)</f>
        <v>90.682148510700003</v>
      </c>
      <c r="AD5" s="11">
        <f>IF(ISNUMBER(VLOOKUP($A5,main!$A$1:$AT$40,AD$1,FALSE)),VLOOKUP($A5,main!$A$1:$AT$40,AD$1,FALSE),0)</f>
        <v>78.649496345700001</v>
      </c>
    </row>
    <row r="6" spans="1:30" x14ac:dyDescent="0.25">
      <c r="A6" s="3" t="s">
        <v>17</v>
      </c>
      <c r="B6" s="11">
        <f>IF(ISNUMBER(VLOOKUP($A6,cash!$A$1:$AU$95,B$1,FALSE)),VLOOKUP($A6,cash!$A$1:$AU$95,B$1,FALSE),0)</f>
        <v>124.90039400000001</v>
      </c>
      <c r="C6" s="11">
        <f>IF(ISNUMBER(VLOOKUP($A6,cash!$A$1:$AU$95,C$1,FALSE)),VLOOKUP($A6,cash!$A$1:$AU$95,C$1,FALSE),0)</f>
        <v>103.178541</v>
      </c>
      <c r="D6" s="11">
        <f>IF(ISNUMBER(VLOOKUP($A6,cash!$A$1:$AU$95,D$1,FALSE)),VLOOKUP($A6,cash!$A$1:$AU$95,D$1,FALSE),0)</f>
        <v>23.031094</v>
      </c>
      <c r="E6" s="11">
        <f>IF(ISNUMBER(VLOOKUP($A6,cash!$A$1:$AU$95,E$1,FALSE)),VLOOKUP($A6,cash!$A$1:$AU$95,E$1,FALSE),0)</f>
        <v>178.95210700000001</v>
      </c>
      <c r="F6" s="11">
        <f>IF(ISNUMBER(VLOOKUP($A6,cash!$A$1:$AU$95,F$1,FALSE)),VLOOKUP($A6,cash!$A$1:$AU$95,F$1,FALSE),0)</f>
        <v>32.284818000000001</v>
      </c>
      <c r="G6" s="11">
        <f>IF(ISNUMBER(VLOOKUP($A6,cash!$A$1:$AU$95,G$1,FALSE)),VLOOKUP($A6,cash!$A$1:$AU$95,G$1,FALSE),0)</f>
        <v>228.977101</v>
      </c>
      <c r="H6" s="11">
        <f>IF(ISNUMBER(VLOOKUP($A6,cash!$A$1:$AU$95,H$1,FALSE)),VLOOKUP($A6,cash!$A$1:$AU$95,H$1,FALSE),0)</f>
        <v>11.892101</v>
      </c>
      <c r="I6" s="11">
        <f>IF(ISNUMBER(VLOOKUP($A6,cash!$A$1:$AU$95,I$1,FALSE)),VLOOKUP($A6,cash!$A$1:$AU$95,I$1,FALSE),0)</f>
        <v>131.63948500000001</v>
      </c>
      <c r="J6" s="11">
        <f>IF(ISNUMBER(VLOOKUP($A6,cash!$A$1:$AU$95,J$1,FALSE)),VLOOKUP($A6,cash!$A$1:$AU$95,J$1,FALSE),0)</f>
        <v>104.86255</v>
      </c>
      <c r="K6" s="11">
        <f>IF(ISNUMBER(VLOOKUP($A6,cash!$A$1:$AU$95,K$1,FALSE)),VLOOKUP($A6,cash!$A$1:$AU$95,K$1,FALSE),0)</f>
        <v>127.99530300000001</v>
      </c>
      <c r="L6" s="11">
        <f>IF(ISNUMBER(VLOOKUP($A6,cash!$A$1:$AU$95,L$1,FALSE)),VLOOKUP($A6,cash!$A$1:$AU$95,L$1,FALSE),0)</f>
        <v>49.355007000000001</v>
      </c>
      <c r="M6" s="11">
        <f>IF(ISNUMBER(VLOOKUP($A6,cash!$A$1:$AU$95,M$1,FALSE)),VLOOKUP($A6,cash!$A$1:$AU$95,M$1,FALSE),0)</f>
        <v>-6.3373109999999997</v>
      </c>
      <c r="N6" s="11">
        <f>IF(ISNUMBER(VLOOKUP($A6,cash!$A$1:$AU$95,N$1,FALSE)),VLOOKUP($A6,cash!$A$1:$AU$95,N$1,FALSE),0)</f>
        <v>158.51406800000001</v>
      </c>
      <c r="O6" s="11">
        <f>IF(ISNUMBER(VLOOKUP($A6,cash!$A$1:$AU$95,O$1,FALSE)),VLOOKUP($A6,cash!$A$1:$AU$95,O$1,FALSE),0)</f>
        <v>8.2638529999999992</v>
      </c>
      <c r="P6" s="11">
        <f>IF(ISNUMBER(VLOOKUP($A6,cash!$A$1:$AU$95,P$1,FALSE)),VLOOKUP($A6,cash!$A$1:$AU$95,P$1,FALSE),0)</f>
        <v>61.089751</v>
      </c>
      <c r="Q6" s="11">
        <f>IF(ISNUMBER(VLOOKUP($A6,cash!$A$1:$AU$95,Q$1,FALSE)),VLOOKUP($A6,cash!$A$1:$AU$95,Q$1,FALSE),0)</f>
        <v>49.159170000000003</v>
      </c>
      <c r="R6" s="11">
        <f>IF(ISNUMBER(VLOOKUP($A6,cash!$A$1:$AU$95,R$1,FALSE)),VLOOKUP($A6,cash!$A$1:$AU$95,R$1,FALSE),0)</f>
        <v>189.313703</v>
      </c>
      <c r="S6" s="11">
        <f>IF(ISNUMBER(VLOOKUP($A6,cash!$A$1:$AU$95,S$1,FALSE)),VLOOKUP($A6,cash!$A$1:$AU$95,S$1,FALSE),0)</f>
        <v>61.679178999999998</v>
      </c>
      <c r="T6" s="11">
        <f>IF(ISNUMBER(VLOOKUP($A6,cash!$A$1:$AU$95,T$1,FALSE)),VLOOKUP($A6,cash!$A$1:$AU$95,T$1,FALSE),0)</f>
        <v>74.360443000000004</v>
      </c>
      <c r="U6" s="11">
        <f>IF(ISNUMBER(VLOOKUP($A6,cash!$A$1:$AU$95,U$1,FALSE)),VLOOKUP($A6,cash!$A$1:$AU$95,U$1,FALSE),0)</f>
        <v>60.129468000000003</v>
      </c>
      <c r="V6" s="11">
        <f>IF(ISNUMBER(VLOOKUP($A6,cash!$A$1:$AU$95,V$1,FALSE)),VLOOKUP($A6,cash!$A$1:$AU$95,V$1,FALSE),0)</f>
        <v>65.21705</v>
      </c>
      <c r="W6" s="11">
        <f>IF(ISNUMBER(VLOOKUP($A6,cash!$A$1:$AU$95,W$1,FALSE)),VLOOKUP($A6,cash!$A$1:$AU$95,W$1,FALSE),0)</f>
        <v>27.900547</v>
      </c>
      <c r="X6" s="11">
        <f>IF(ISNUMBER(VLOOKUP($A6,cash!$A$1:$AU$95,X$1,FALSE)),VLOOKUP($A6,cash!$A$1:$AU$95,X$1,FALSE),0)</f>
        <v>21.116336</v>
      </c>
      <c r="Y6" s="11">
        <f>IF(ISNUMBER(VLOOKUP($A6,cash!$A$1:$AU$95,Y$1,FALSE)),VLOOKUP($A6,cash!$A$1:$AU$95,Y$1,FALSE),0)</f>
        <v>49.531252000000002</v>
      </c>
      <c r="Z6" s="11">
        <f>IF(ISNUMBER(VLOOKUP($A6,cash!$A$1:$AU$95,Z$1,FALSE)),VLOOKUP($A6,cash!$A$1:$AU$95,Z$1,FALSE),0)</f>
        <v>33.906539000000002</v>
      </c>
      <c r="AA6" s="11">
        <f>IF(ISNUMBER(VLOOKUP($A6,cash!$A$1:$AU$95,AA$1,FALSE)),VLOOKUP($A6,cash!$A$1:$AU$95,AA$1,FALSE),0)</f>
        <v>41.148276000000003</v>
      </c>
      <c r="AB6" s="11">
        <f>IF(ISNUMBER(VLOOKUP($A6,cash!$A$1:$AU$95,AB$1,FALSE)),VLOOKUP($A6,cash!$A$1:$AU$95,AB$1,FALSE),0)</f>
        <v>1.7391570000000001</v>
      </c>
      <c r="AC6" s="11">
        <f>IF(ISNUMBER(VLOOKUP($A6,cash!$A$1:$AU$95,AC$1,FALSE)),VLOOKUP($A6,cash!$A$1:$AU$95,AC$1,FALSE),0)</f>
        <v>34.099069</v>
      </c>
      <c r="AD6" s="11">
        <f>IF(ISNUMBER(VLOOKUP($A6,cash!$A$1:$AU$95,AD$1,FALSE)),VLOOKUP($A6,cash!$A$1:$AU$95,AD$1,FALSE),0)</f>
        <v>40.300935000000003</v>
      </c>
    </row>
    <row r="7" spans="1:30" x14ac:dyDescent="0.25">
      <c r="A7" s="3" t="s">
        <v>19</v>
      </c>
      <c r="B7" s="11">
        <f>IF(ISNUMBER(VLOOKUP($A7,cash!$A$1:$AU$95,B$1,FALSE)),VLOOKUP($A7,cash!$A$1:$AU$95,B$1,FALSE),0)</f>
        <v>6.5088600000000003</v>
      </c>
      <c r="C7" s="11">
        <f>IF(ISNUMBER(VLOOKUP($A7,cash!$A$1:$AU$95,C$1,FALSE)),VLOOKUP($A7,cash!$A$1:$AU$95,C$1,FALSE),0)</f>
        <v>5.4980450000000003</v>
      </c>
      <c r="D7" s="11">
        <f>IF(ISNUMBER(VLOOKUP($A7,cash!$A$1:$AU$95,D$1,FALSE)),VLOOKUP($A7,cash!$A$1:$AU$95,D$1,FALSE),0)</f>
        <v>4.1446240000000003</v>
      </c>
      <c r="E7" s="11">
        <f>IF(ISNUMBER(VLOOKUP($A7,cash!$A$1:$AU$95,E$1,FALSE)),VLOOKUP($A7,cash!$A$1:$AU$95,E$1,FALSE),0)</f>
        <v>11.208252999999999</v>
      </c>
      <c r="F7" s="11">
        <f>IF(ISNUMBER(VLOOKUP($A7,cash!$A$1:$AU$95,F$1,FALSE)),VLOOKUP($A7,cash!$A$1:$AU$95,F$1,FALSE),0)</f>
        <v>9.0324740000000006</v>
      </c>
      <c r="G7" s="11">
        <f>IF(ISNUMBER(VLOOKUP($A7,cash!$A$1:$AU$95,G$1,FALSE)),VLOOKUP($A7,cash!$A$1:$AU$95,G$1,FALSE),0)</f>
        <v>5.1530959999999997</v>
      </c>
      <c r="H7" s="11">
        <f>IF(ISNUMBER(VLOOKUP($A7,cash!$A$1:$AU$95,H$1,FALSE)),VLOOKUP($A7,cash!$A$1:$AU$95,H$1,FALSE),0)</f>
        <v>6.094824</v>
      </c>
      <c r="I7" s="11">
        <f>IF(ISNUMBER(VLOOKUP($A7,cash!$A$1:$AU$95,I$1,FALSE)),VLOOKUP($A7,cash!$A$1:$AU$95,I$1,FALSE),0)</f>
        <v>5.9027229999999999</v>
      </c>
      <c r="J7" s="11">
        <f>IF(ISNUMBER(VLOOKUP($A7,cash!$A$1:$AU$95,J$1,FALSE)),VLOOKUP($A7,cash!$A$1:$AU$95,J$1,FALSE),0)</f>
        <v>2.9983810000000002</v>
      </c>
      <c r="K7" s="11">
        <f>IF(ISNUMBER(VLOOKUP($A7,cash!$A$1:$AU$95,K$1,FALSE)),VLOOKUP($A7,cash!$A$1:$AU$95,K$1,FALSE),0)</f>
        <v>1.42001</v>
      </c>
      <c r="L7" s="11">
        <f>IF(ISNUMBER(VLOOKUP($A7,cash!$A$1:$AU$95,L$1,FALSE)),VLOOKUP($A7,cash!$A$1:$AU$95,L$1,FALSE),0)</f>
        <v>5.7463889999999997</v>
      </c>
      <c r="M7" s="11">
        <f>IF(ISNUMBER(VLOOKUP($A7,cash!$A$1:$AU$95,M$1,FALSE)),VLOOKUP($A7,cash!$A$1:$AU$95,M$1,FALSE),0)</f>
        <v>3.6802269999999999</v>
      </c>
      <c r="N7" s="11">
        <f>IF(ISNUMBER(VLOOKUP($A7,cash!$A$1:$AU$95,N$1,FALSE)),VLOOKUP($A7,cash!$A$1:$AU$95,N$1,FALSE),0)</f>
        <v>2.7599520000000002</v>
      </c>
      <c r="O7" s="11">
        <f>IF(ISNUMBER(VLOOKUP($A7,cash!$A$1:$AU$95,O$1,FALSE)),VLOOKUP($A7,cash!$A$1:$AU$95,O$1,FALSE),0)</f>
        <v>1.7363</v>
      </c>
      <c r="P7" s="11">
        <f>IF(ISNUMBER(VLOOKUP($A7,cash!$A$1:$AU$95,P$1,FALSE)),VLOOKUP($A7,cash!$A$1:$AU$95,P$1,FALSE),0)</f>
        <v>3.073693</v>
      </c>
      <c r="Q7" s="11">
        <f>IF(ISNUMBER(VLOOKUP($A7,cash!$A$1:$AU$95,Q$1,FALSE)),VLOOKUP($A7,cash!$A$1:$AU$95,Q$1,FALSE),0)</f>
        <v>2.4390890000000001</v>
      </c>
      <c r="R7" s="11">
        <f>IF(ISNUMBER(VLOOKUP($A7,cash!$A$1:$AU$95,R$1,FALSE)),VLOOKUP($A7,cash!$A$1:$AU$95,R$1,FALSE),0)</f>
        <v>2.786632</v>
      </c>
      <c r="S7" s="11">
        <f>IF(ISNUMBER(VLOOKUP($A7,cash!$A$1:$AU$95,S$1,FALSE)),VLOOKUP($A7,cash!$A$1:$AU$95,S$1,FALSE),0)</f>
        <v>1.2951950000000001</v>
      </c>
      <c r="T7" s="11">
        <f>IF(ISNUMBER(VLOOKUP($A7,cash!$A$1:$AU$95,T$1,FALSE)),VLOOKUP($A7,cash!$A$1:$AU$95,T$1,FALSE),0)</f>
        <v>3.6708660000000002</v>
      </c>
      <c r="U7" s="11">
        <f>IF(ISNUMBER(VLOOKUP($A7,cash!$A$1:$AU$95,U$1,FALSE)),VLOOKUP($A7,cash!$A$1:$AU$95,U$1,FALSE),0)</f>
        <v>2.5066030000000001</v>
      </c>
      <c r="V7" s="11">
        <f>IF(ISNUMBER(VLOOKUP($A7,cash!$A$1:$AU$95,V$1,FALSE)),VLOOKUP($A7,cash!$A$1:$AU$95,V$1,FALSE),0)</f>
        <v>5.3490279999999997</v>
      </c>
      <c r="W7" s="11">
        <f>IF(ISNUMBER(VLOOKUP($A7,cash!$A$1:$AU$95,W$1,FALSE)),VLOOKUP($A7,cash!$A$1:$AU$95,W$1,FALSE),0)</f>
        <v>4.1017700000000001</v>
      </c>
      <c r="X7" s="11">
        <f>IF(ISNUMBER(VLOOKUP($A7,cash!$A$1:$AU$95,X$1,FALSE)),VLOOKUP($A7,cash!$A$1:$AU$95,X$1,FALSE),0)</f>
        <v>8.6573030000000006</v>
      </c>
      <c r="Y7" s="11">
        <f>IF(ISNUMBER(VLOOKUP($A7,cash!$A$1:$AU$95,Y$1,FALSE)),VLOOKUP($A7,cash!$A$1:$AU$95,Y$1,FALSE),0)</f>
        <v>7.3265929999999999</v>
      </c>
      <c r="Z7" s="11">
        <f>IF(ISNUMBER(VLOOKUP($A7,cash!$A$1:$AU$95,Z$1,FALSE)),VLOOKUP($A7,cash!$A$1:$AU$95,Z$1,FALSE),0)</f>
        <v>8.522907</v>
      </c>
      <c r="AA7" s="11">
        <f>IF(ISNUMBER(VLOOKUP($A7,cash!$A$1:$AU$95,AA$1,FALSE)),VLOOKUP($A7,cash!$A$1:$AU$95,AA$1,FALSE),0)</f>
        <v>8.2114720000000005</v>
      </c>
      <c r="AB7" s="11">
        <f>IF(ISNUMBER(VLOOKUP($A7,cash!$A$1:$AU$95,AB$1,FALSE)),VLOOKUP($A7,cash!$A$1:$AU$95,AB$1,FALSE),0)</f>
        <v>20.249679</v>
      </c>
      <c r="AC7" s="11">
        <f>IF(ISNUMBER(VLOOKUP($A7,cash!$A$1:$AU$95,AC$1,FALSE)),VLOOKUP($A7,cash!$A$1:$AU$95,AC$1,FALSE),0)</f>
        <v>14.610771</v>
      </c>
      <c r="AD7" s="11">
        <f>IF(ISNUMBER(VLOOKUP($A7,cash!$A$1:$AU$95,AD$1,FALSE)),VLOOKUP($A7,cash!$A$1:$AU$95,AD$1,FALSE),0)</f>
        <v>14.174670000000001</v>
      </c>
    </row>
    <row r="8" spans="1:30" x14ac:dyDescent="0.25">
      <c r="A8" s="3" t="s">
        <v>18</v>
      </c>
      <c r="B8" s="11">
        <f>IF(ISNUMBER(VLOOKUP($A8,cash!$A$1:$AU$95,B$1,FALSE)),VLOOKUP($A8,cash!$A$1:$AU$95,B$1,FALSE),0)</f>
        <v>0</v>
      </c>
      <c r="C8" s="11">
        <f>IF(ISNUMBER(VLOOKUP($A8,cash!$A$1:$AU$95,C$1,FALSE)),VLOOKUP($A8,cash!$A$1:$AU$95,C$1,FALSE),0)</f>
        <v>0</v>
      </c>
      <c r="D8" s="11">
        <f>IF(ISNUMBER(VLOOKUP($A8,cash!$A$1:$AU$95,D$1,FALSE)),VLOOKUP($A8,cash!$A$1:$AU$95,D$1,FALSE),0)</f>
        <v>0</v>
      </c>
      <c r="E8" s="11">
        <f>IF(ISNUMBER(VLOOKUP($A8,cash!$A$1:$AU$95,E$1,FALSE)),VLOOKUP($A8,cash!$A$1:$AU$95,E$1,FALSE),0)</f>
        <v>0</v>
      </c>
      <c r="F8" s="11">
        <f>IF(ISNUMBER(VLOOKUP($A8,cash!$A$1:$AU$95,F$1,FALSE)),VLOOKUP($A8,cash!$A$1:$AU$95,F$1,FALSE),0)</f>
        <v>0</v>
      </c>
      <c r="G8" s="11">
        <f>IF(ISNUMBER(VLOOKUP($A8,cash!$A$1:$AU$95,G$1,FALSE)),VLOOKUP($A8,cash!$A$1:$AU$95,G$1,FALSE),0)</f>
        <v>0</v>
      </c>
      <c r="H8" s="11">
        <f>IF(ISNUMBER(VLOOKUP($A8,cash!$A$1:$AU$95,H$1,FALSE)),VLOOKUP($A8,cash!$A$1:$AU$95,H$1,FALSE),0)</f>
        <v>0</v>
      </c>
      <c r="I8" s="11">
        <f>IF(ISNUMBER(VLOOKUP($A8,cash!$A$1:$AU$95,I$1,FALSE)),VLOOKUP($A8,cash!$A$1:$AU$95,I$1,FALSE),0)</f>
        <v>0</v>
      </c>
      <c r="J8" s="11">
        <f>IF(ISNUMBER(VLOOKUP($A8,cash!$A$1:$AU$95,J$1,FALSE)),VLOOKUP($A8,cash!$A$1:$AU$95,J$1,FALSE),0)</f>
        <v>0</v>
      </c>
      <c r="K8" s="11">
        <f>IF(ISNUMBER(VLOOKUP($A8,cash!$A$1:$AU$95,K$1,FALSE)),VLOOKUP($A8,cash!$A$1:$AU$95,K$1,FALSE),0)</f>
        <v>0</v>
      </c>
      <c r="L8" s="11">
        <f>IF(ISNUMBER(VLOOKUP($A8,cash!$A$1:$AU$95,L$1,FALSE)),VLOOKUP($A8,cash!$A$1:$AU$95,L$1,FALSE),0)</f>
        <v>0</v>
      </c>
      <c r="M8" s="11">
        <f>IF(ISNUMBER(VLOOKUP($A8,cash!$A$1:$AU$95,M$1,FALSE)),VLOOKUP($A8,cash!$A$1:$AU$95,M$1,FALSE),0)</f>
        <v>0</v>
      </c>
      <c r="N8" s="11">
        <f>IF(ISNUMBER(VLOOKUP($A8,cash!$A$1:$AU$95,N$1,FALSE)),VLOOKUP($A8,cash!$A$1:$AU$95,N$1,FALSE),0)</f>
        <v>0</v>
      </c>
      <c r="O8" s="11">
        <f>IF(ISNUMBER(VLOOKUP($A8,cash!$A$1:$AU$95,O$1,FALSE)),VLOOKUP($A8,cash!$A$1:$AU$95,O$1,FALSE),0)</f>
        <v>0</v>
      </c>
      <c r="P8" s="11">
        <f>IF(ISNUMBER(VLOOKUP($A8,cash!$A$1:$AU$95,P$1,FALSE)),VLOOKUP($A8,cash!$A$1:$AU$95,P$1,FALSE),0)</f>
        <v>0</v>
      </c>
      <c r="Q8" s="11">
        <f>IF(ISNUMBER(VLOOKUP($A8,cash!$A$1:$AU$95,Q$1,FALSE)),VLOOKUP($A8,cash!$A$1:$AU$95,Q$1,FALSE),0)</f>
        <v>1.6899999999999999E-4</v>
      </c>
      <c r="R8" s="11">
        <f>IF(ISNUMBER(VLOOKUP($A8,cash!$A$1:$AU$95,R$1,FALSE)),VLOOKUP($A8,cash!$A$1:$AU$95,R$1,FALSE),0)</f>
        <v>1.2999999999999999E-5</v>
      </c>
      <c r="S8" s="11">
        <f>IF(ISNUMBER(VLOOKUP($A8,cash!$A$1:$AU$95,S$1,FALSE)),VLOOKUP($A8,cash!$A$1:$AU$95,S$1,FALSE),0)</f>
        <v>-4.35E-4</v>
      </c>
      <c r="T8" s="11">
        <f>IF(ISNUMBER(VLOOKUP($A8,cash!$A$1:$AU$95,T$1,FALSE)),VLOOKUP($A8,cash!$A$1:$AU$95,T$1,FALSE),0)</f>
        <v>1.173E-3</v>
      </c>
      <c r="U8" s="11">
        <f>IF(ISNUMBER(VLOOKUP($A8,cash!$A$1:$AU$95,U$1,FALSE)),VLOOKUP($A8,cash!$A$1:$AU$95,U$1,FALSE),0)</f>
        <v>8.7717000000000003E-2</v>
      </c>
      <c r="V8" s="11">
        <f>IF(ISNUMBER(VLOOKUP($A8,cash!$A$1:$AU$95,V$1,FALSE)),VLOOKUP($A8,cash!$A$1:$AU$95,V$1,FALSE),0)</f>
        <v>0</v>
      </c>
      <c r="W8" s="11">
        <f>IF(ISNUMBER(VLOOKUP($A8,cash!$A$1:$AU$95,W$1,FALSE)),VLOOKUP($A8,cash!$A$1:$AU$95,W$1,FALSE),0)</f>
        <v>0</v>
      </c>
      <c r="X8" s="11">
        <f>IF(ISNUMBER(VLOOKUP($A8,cash!$A$1:$AU$95,X$1,FALSE)),VLOOKUP($A8,cash!$A$1:$AU$95,X$1,FALSE),0)</f>
        <v>0</v>
      </c>
      <c r="Y8" s="11">
        <f>IF(ISNUMBER(VLOOKUP($A8,cash!$A$1:$AU$95,Y$1,FALSE)),VLOOKUP($A8,cash!$A$1:$AU$95,Y$1,FALSE),0)</f>
        <v>9.1793E-2</v>
      </c>
      <c r="Z8" s="11">
        <f>IF(ISNUMBER(VLOOKUP($A8,cash!$A$1:$AU$95,Z$1,FALSE)),VLOOKUP($A8,cash!$A$1:$AU$95,Z$1,FALSE),0)</f>
        <v>0</v>
      </c>
      <c r="AA8" s="11">
        <f>IF(ISNUMBER(VLOOKUP($A8,cash!$A$1:$AU$95,AA$1,FALSE)),VLOOKUP($A8,cash!$A$1:$AU$95,AA$1,FALSE),0)</f>
        <v>8.7430000000000008E-3</v>
      </c>
      <c r="AB8" s="11">
        <f>IF(ISNUMBER(VLOOKUP($A8,cash!$A$1:$AU$95,AB$1,FALSE)),VLOOKUP($A8,cash!$A$1:$AU$95,AB$1,FALSE),0)</f>
        <v>1.7340000000000001E-3</v>
      </c>
      <c r="AC8" s="11">
        <f>IF(ISNUMBER(VLOOKUP($A8,cash!$A$1:$AU$95,AC$1,FALSE)),VLOOKUP($A8,cash!$A$1:$AU$95,AC$1,FALSE),0)</f>
        <v>0</v>
      </c>
      <c r="AD8" s="11">
        <f>IF(ISNUMBER(VLOOKUP($A8,cash!$A$1:$AU$95,AD$1,FALSE)),VLOOKUP($A8,cash!$A$1:$AU$95,AD$1,FALSE),0)</f>
        <v>0</v>
      </c>
    </row>
    <row r="9" spans="1:30" x14ac:dyDescent="0.25">
      <c r="A9" s="3" t="s">
        <v>20</v>
      </c>
      <c r="B9" s="11">
        <f>IF(ISNUMBER(VLOOKUP($A9,cash!$A$1:$AU$95,B$1,FALSE)),VLOOKUP($A9,cash!$A$1:$AU$95,B$1,FALSE),0)</f>
        <v>-3.4083921352999997</v>
      </c>
      <c r="C9" s="11">
        <f>IF(ISNUMBER(VLOOKUP($A9,cash!$A$1:$AU$95,C$1,FALSE)),VLOOKUP($A9,cash!$A$1:$AU$95,C$1,FALSE),0)</f>
        <v>-5.5281887601999999</v>
      </c>
      <c r="D9" s="11">
        <f>IF(ISNUMBER(VLOOKUP($A9,cash!$A$1:$AU$95,D$1,FALSE)),VLOOKUP($A9,cash!$A$1:$AU$95,D$1,FALSE),0)</f>
        <v>-4.2022531575000004</v>
      </c>
      <c r="E9" s="11">
        <f>IF(ISNUMBER(VLOOKUP($A9,cash!$A$1:$AU$95,E$1,FALSE)),VLOOKUP($A9,cash!$A$1:$AU$95,E$1,FALSE),0)</f>
        <v>-11.2541556535</v>
      </c>
      <c r="F9" s="11">
        <f>IF(ISNUMBER(VLOOKUP($A9,cash!$A$1:$AU$95,F$1,FALSE)),VLOOKUP($A9,cash!$A$1:$AU$95,F$1,FALSE),0)</f>
        <v>-9.0388656014999995</v>
      </c>
      <c r="G9" s="11">
        <f>IF(ISNUMBER(VLOOKUP($A9,cash!$A$1:$AU$95,G$1,FALSE)),VLOOKUP($A9,cash!$A$1:$AU$95,G$1,FALSE),0)</f>
        <v>-5.1807983423000001</v>
      </c>
      <c r="H9" s="11">
        <f>IF(ISNUMBER(VLOOKUP($A9,cash!$A$1:$AU$95,H$1,FALSE)),VLOOKUP($A9,cash!$A$1:$AU$95,H$1,FALSE),0)</f>
        <v>-6.1830378351999995</v>
      </c>
      <c r="I9" s="11">
        <f>IF(ISNUMBER(VLOOKUP($A9,cash!$A$1:$AU$95,I$1,FALSE)),VLOOKUP($A9,cash!$A$1:$AU$95,I$1,FALSE),0)</f>
        <v>-6.0583888945000002</v>
      </c>
      <c r="J9" s="11">
        <f>IF(ISNUMBER(VLOOKUP($A9,cash!$A$1:$AU$95,J$1,FALSE)),VLOOKUP($A9,cash!$A$1:$AU$95,J$1,FALSE),0)</f>
        <v>-2.8334213813</v>
      </c>
      <c r="K9" s="11">
        <f>IF(ISNUMBER(VLOOKUP($A9,cash!$A$1:$AU$95,K$1,FALSE)),VLOOKUP($A9,cash!$A$1:$AU$95,K$1,FALSE),0)</f>
        <v>-1.4787071846000002</v>
      </c>
      <c r="L9" s="11">
        <f>IF(ISNUMBER(VLOOKUP($A9,cash!$A$1:$AU$95,L$1,FALSE)),VLOOKUP($A9,cash!$A$1:$AU$95,L$1,FALSE),0)</f>
        <v>-5.9191095852000002</v>
      </c>
      <c r="M9" s="11">
        <f>IF(ISNUMBER(VLOOKUP($A9,cash!$A$1:$AU$95,M$1,FALSE)),VLOOKUP($A9,cash!$A$1:$AU$95,M$1,FALSE),0)</f>
        <v>-3.7287000125</v>
      </c>
      <c r="N9" s="11">
        <f>IF(ISNUMBER(VLOOKUP($A9,cash!$A$1:$AU$95,N$1,FALSE)),VLOOKUP($A9,cash!$A$1:$AU$95,N$1,FALSE),0)</f>
        <v>-2.7708660018</v>
      </c>
      <c r="O9" s="11">
        <f>IF(ISNUMBER(VLOOKUP($A9,cash!$A$1:$AU$95,O$1,FALSE)),VLOOKUP($A9,cash!$A$1:$AU$95,O$1,FALSE),0)</f>
        <v>-1.7034892105999999</v>
      </c>
      <c r="P9" s="11">
        <f>IF(ISNUMBER(VLOOKUP($A9,cash!$A$1:$AU$95,P$1,FALSE)),VLOOKUP($A9,cash!$A$1:$AU$95,P$1,FALSE),0)</f>
        <v>-3.0033969211000002</v>
      </c>
      <c r="Q9" s="11">
        <f>IF(ISNUMBER(VLOOKUP($A9,cash!$A$1:$AU$95,Q$1,FALSE)),VLOOKUP($A9,cash!$A$1:$AU$95,Q$1,FALSE),0)</f>
        <v>-3.2901341507999997</v>
      </c>
      <c r="R9" s="11">
        <f>IF(ISNUMBER(VLOOKUP($A9,cash!$A$1:$AU$95,R$1,FALSE)),VLOOKUP($A9,cash!$A$1:$AU$95,R$1,FALSE),0)</f>
        <v>-2.1797954157000001</v>
      </c>
      <c r="S9" s="11">
        <f>IF(ISNUMBER(VLOOKUP($A9,cash!$A$1:$AU$95,S$1,FALSE)),VLOOKUP($A9,cash!$A$1:$AU$95,S$1,FALSE),0)</f>
        <v>-1.3416253171999999</v>
      </c>
      <c r="T9" s="11">
        <f>IF(ISNUMBER(VLOOKUP($A9,cash!$A$1:$AU$95,T$1,FALSE)),VLOOKUP($A9,cash!$A$1:$AU$95,T$1,FALSE),0)</f>
        <v>-4.2134531583000001</v>
      </c>
      <c r="U9" s="11">
        <f>IF(ISNUMBER(VLOOKUP($A9,cash!$A$1:$AU$95,U$1,FALSE)),VLOOKUP($A9,cash!$A$1:$AU$95,U$1,FALSE),0)</f>
        <v>-2.6579574155000003</v>
      </c>
      <c r="V9" s="11">
        <f>IF(ISNUMBER(VLOOKUP($A9,cash!$A$1:$AU$95,V$1,FALSE)),VLOOKUP($A9,cash!$A$1:$AU$95,V$1,FALSE),0)</f>
        <v>-4.9227911304000003</v>
      </c>
      <c r="W9" s="11">
        <f>IF(ISNUMBER(VLOOKUP($A9,cash!$A$1:$AU$95,W$1,FALSE)),VLOOKUP($A9,cash!$A$1:$AU$95,W$1,FALSE),0)</f>
        <v>-4.3667012146999999</v>
      </c>
      <c r="X9" s="11">
        <f>IF(ISNUMBER(VLOOKUP($A9,cash!$A$1:$AU$95,X$1,FALSE)),VLOOKUP($A9,cash!$A$1:$AU$95,X$1,FALSE),0)</f>
        <v>-8.5404528853000006</v>
      </c>
      <c r="Y9" s="11">
        <f>IF(ISNUMBER(VLOOKUP($A9,cash!$A$1:$AU$95,Y$1,FALSE)),VLOOKUP($A9,cash!$A$1:$AU$95,Y$1,FALSE),0)</f>
        <v>-7.0523973185999997</v>
      </c>
      <c r="Z9" s="11">
        <f>IF(ISNUMBER(VLOOKUP($A9,cash!$A$1:$AU$95,Z$1,FALSE)),VLOOKUP($A9,cash!$A$1:$AU$95,Z$1,FALSE),0)</f>
        <v>-8.7616471484999998</v>
      </c>
      <c r="AA9" s="11">
        <f>IF(ISNUMBER(VLOOKUP($A9,cash!$A$1:$AU$95,AA$1,FALSE)),VLOOKUP($A9,cash!$A$1:$AU$95,AA$1,FALSE),0)</f>
        <v>-9.1393642400000008</v>
      </c>
      <c r="AB9" s="11">
        <f>IF(ISNUMBER(VLOOKUP($A9,cash!$A$1:$AU$95,AB$1,FALSE)),VLOOKUP($A9,cash!$A$1:$AU$95,AB$1,FALSE),0)</f>
        <v>-20.8481870948</v>
      </c>
      <c r="AC9" s="11">
        <f>IF(ISNUMBER(VLOOKUP($A9,cash!$A$1:$AU$95,AC$1,FALSE)),VLOOKUP($A9,cash!$A$1:$AU$95,AC$1,FALSE),0)</f>
        <v>-15.017912588699998</v>
      </c>
      <c r="AD9" s="11">
        <f>IF(ISNUMBER(VLOOKUP($A9,cash!$A$1:$AU$95,AD$1,FALSE)),VLOOKUP($A9,cash!$A$1:$AU$95,AD$1,FALSE),0)</f>
        <v>-14.559366685599999</v>
      </c>
    </row>
    <row r="10" spans="1:30" x14ac:dyDescent="0.25">
      <c r="A10" s="3" t="s">
        <v>21</v>
      </c>
      <c r="B10" s="11">
        <f>IF(ISNUMBER(VLOOKUP($A10,cash!$A$1:$AU$95,B$1,FALSE)),VLOOKUP($A10,cash!$A$1:$AU$95,B$1,FALSE),0)</f>
        <v>-1.4409020321000001</v>
      </c>
      <c r="C10" s="11">
        <f>IF(ISNUMBER(VLOOKUP($A10,cash!$A$1:$AU$95,C$1,FALSE)),VLOOKUP($A10,cash!$A$1:$AU$95,C$1,FALSE),0)</f>
        <v>-232.82981133060002</v>
      </c>
      <c r="D10" s="11">
        <f>IF(ISNUMBER(VLOOKUP($A10,cash!$A$1:$AU$95,D$1,FALSE)),VLOOKUP($A10,cash!$A$1:$AU$95,D$1,FALSE),0)</f>
        <v>-4.5123439999999997</v>
      </c>
      <c r="E10" s="11">
        <f>IF(ISNUMBER(VLOOKUP($A10,cash!$A$1:$AU$95,E$1,FALSE)),VLOOKUP($A10,cash!$A$1:$AU$95,E$1,FALSE),0)</f>
        <v>3.74542322E-2</v>
      </c>
      <c r="F10" s="11">
        <f>IF(ISNUMBER(VLOOKUP($A10,cash!$A$1:$AU$95,F$1,FALSE)),VLOOKUP($A10,cash!$A$1:$AU$95,F$1,FALSE),0)</f>
        <v>-2.5591841447999997</v>
      </c>
      <c r="G10" s="11">
        <f>IF(ISNUMBER(VLOOKUP($A10,cash!$A$1:$AU$95,G$1,FALSE)),VLOOKUP($A10,cash!$A$1:$AU$95,G$1,FALSE),0)</f>
        <v>0</v>
      </c>
      <c r="H10" s="11">
        <f>IF(ISNUMBER(VLOOKUP($A10,cash!$A$1:$AU$95,H$1,FALSE)),VLOOKUP($A10,cash!$A$1:$AU$95,H$1,FALSE),0)</f>
        <v>0</v>
      </c>
      <c r="I10" s="11">
        <f>IF(ISNUMBER(VLOOKUP($A10,cash!$A$1:$AU$95,I$1,FALSE)),VLOOKUP($A10,cash!$A$1:$AU$95,I$1,FALSE),0)</f>
        <v>-5.7000000000000002E-2</v>
      </c>
      <c r="J10" s="11">
        <f>IF(ISNUMBER(VLOOKUP($A10,cash!$A$1:$AU$95,J$1,FALSE)),VLOOKUP($A10,cash!$A$1:$AU$95,J$1,FALSE),0)</f>
        <v>-25.804735492300001</v>
      </c>
      <c r="K10" s="11">
        <f>IF(ISNUMBER(VLOOKUP($A10,cash!$A$1:$AU$95,K$1,FALSE)),VLOOKUP($A10,cash!$A$1:$AU$95,K$1,FALSE),0)</f>
        <v>0</v>
      </c>
      <c r="L10" s="11">
        <f>IF(ISNUMBER(VLOOKUP($A10,cash!$A$1:$AU$95,L$1,FALSE)),VLOOKUP($A10,cash!$A$1:$AU$95,L$1,FALSE),0)</f>
        <v>0</v>
      </c>
      <c r="M10" s="11">
        <f>IF(ISNUMBER(VLOOKUP($A10,cash!$A$1:$AU$95,M$1,FALSE)),VLOOKUP($A10,cash!$A$1:$AU$95,M$1,FALSE),0)</f>
        <v>-0.06</v>
      </c>
      <c r="N10" s="11">
        <f>IF(ISNUMBER(VLOOKUP($A10,cash!$A$1:$AU$95,N$1,FALSE)),VLOOKUP($A10,cash!$A$1:$AU$95,N$1,FALSE),0)</f>
        <v>-85.291778808000004</v>
      </c>
      <c r="O10" s="11">
        <f>IF(ISNUMBER(VLOOKUP($A10,cash!$A$1:$AU$95,O$1,FALSE)),VLOOKUP($A10,cash!$A$1:$AU$95,O$1,FALSE),0)</f>
        <v>0</v>
      </c>
      <c r="P10" s="11">
        <f>IF(ISNUMBER(VLOOKUP($A10,cash!$A$1:$AU$95,P$1,FALSE)),VLOOKUP($A10,cash!$A$1:$AU$95,P$1,FALSE),0)</f>
        <v>0</v>
      </c>
      <c r="Q10" s="11">
        <f>IF(ISNUMBER(VLOOKUP($A10,cash!$A$1:$AU$95,Q$1,FALSE)),VLOOKUP($A10,cash!$A$1:$AU$95,Q$1,FALSE),0)</f>
        <v>-0.50448341880000003</v>
      </c>
      <c r="R10" s="11">
        <f>IF(ISNUMBER(VLOOKUP($A10,cash!$A$1:$AU$95,R$1,FALSE)),VLOOKUP($A10,cash!$A$1:$AU$95,R$1,FALSE),0)</f>
        <v>-50.009901293599995</v>
      </c>
      <c r="S10" s="11">
        <f>IF(ISNUMBER(VLOOKUP($A10,cash!$A$1:$AU$95,S$1,FALSE)),VLOOKUP($A10,cash!$A$1:$AU$95,S$1,FALSE),0)</f>
        <v>-27.7456649445</v>
      </c>
      <c r="T10" s="11">
        <f>IF(ISNUMBER(VLOOKUP($A10,cash!$A$1:$AU$95,T$1,FALSE)),VLOOKUP($A10,cash!$A$1:$AU$95,T$1,FALSE),0)</f>
        <v>-5.0850728653999999</v>
      </c>
      <c r="U10" s="11">
        <f>IF(ISNUMBER(VLOOKUP($A10,cash!$A$1:$AU$95,U$1,FALSE)),VLOOKUP($A10,cash!$A$1:$AU$95,U$1,FALSE),0)</f>
        <v>-4.6425709000000003E-3</v>
      </c>
      <c r="V10" s="11">
        <f>IF(ISNUMBER(VLOOKUP($A10,cash!$A$1:$AU$95,V$1,FALSE)),VLOOKUP($A10,cash!$A$1:$AU$95,V$1,FALSE),0)</f>
        <v>-55.526129248500006</v>
      </c>
      <c r="W10" s="11">
        <f>IF(ISNUMBER(VLOOKUP($A10,cash!$A$1:$AU$95,W$1,FALSE)),VLOOKUP($A10,cash!$A$1:$AU$95,W$1,FALSE),0)</f>
        <v>-3.0060376000000002E-3</v>
      </c>
      <c r="X10" s="11">
        <f>IF(ISNUMBER(VLOOKUP($A10,cash!$A$1:$AU$95,X$1,FALSE)),VLOOKUP($A10,cash!$A$1:$AU$95,X$1,FALSE),0)</f>
        <v>-0.34641852909999998</v>
      </c>
      <c r="Y10" s="11">
        <f>IF(ISNUMBER(VLOOKUP($A10,cash!$A$1:$AU$95,Y$1,FALSE)),VLOOKUP($A10,cash!$A$1:$AU$95,Y$1,FALSE),0)</f>
        <v>0.57965138289999996</v>
      </c>
      <c r="Z10" s="11">
        <f>IF(ISNUMBER(VLOOKUP($A10,cash!$A$1:$AU$95,Z$1,FALSE)),VLOOKUP($A10,cash!$A$1:$AU$95,Z$1,FALSE),0)</f>
        <v>0.06</v>
      </c>
      <c r="AA10" s="11">
        <f>IF(ISNUMBER(VLOOKUP($A10,cash!$A$1:$AU$95,AA$1,FALSE)),VLOOKUP($A10,cash!$A$1:$AU$95,AA$1,FALSE),0)</f>
        <v>0</v>
      </c>
      <c r="AB10" s="11">
        <f>IF(ISNUMBER(VLOOKUP($A10,cash!$A$1:$AU$95,AB$1,FALSE)),VLOOKUP($A10,cash!$A$1:$AU$95,AB$1,FALSE),0)</f>
        <v>0</v>
      </c>
      <c r="AC10" s="11">
        <f>IF(ISNUMBER(VLOOKUP($A10,cash!$A$1:$AU$95,AC$1,FALSE)),VLOOKUP($A10,cash!$A$1:$AU$95,AC$1,FALSE),0)</f>
        <v>-0.41667355569999998</v>
      </c>
      <c r="AD10" s="11">
        <f>IF(ISNUMBER(VLOOKUP($A10,cash!$A$1:$AU$95,AD$1,FALSE)),VLOOKUP($A10,cash!$A$1:$AU$95,AD$1,FALSE),0)</f>
        <v>-5.5391006444000004</v>
      </c>
    </row>
    <row r="11" spans="1:30" x14ac:dyDescent="0.25">
      <c r="A11" s="3" t="s">
        <v>11</v>
      </c>
      <c r="B11" s="11">
        <f>IF(ISNUMBER(VLOOKUP($A11,benefit!$A$1:$AQ$76,B$1,FALSE)),VLOOKUP($A11,benefit!$A$1:$AQ$76,B$1,FALSE),0)</f>
        <v>20.785698</v>
      </c>
      <c r="C11" s="11">
        <f>IF(ISNUMBER(VLOOKUP($A11,benefit!$A$1:$AQ$76,C$1,FALSE)),VLOOKUP($A11,benefit!$A$1:$AQ$76,C$1,FALSE),0)</f>
        <v>17.198830999999998</v>
      </c>
      <c r="D11" s="11">
        <f>IF(ISNUMBER(VLOOKUP($A11,benefit!$A$1:$AQ$76,D$1,FALSE)),VLOOKUP($A11,benefit!$A$1:$AQ$76,D$1,FALSE),0)</f>
        <v>20.324435000000001</v>
      </c>
      <c r="E11" s="11">
        <f>IF(ISNUMBER(VLOOKUP($A11,benefit!$A$1:$AQ$76,E$1,FALSE)),VLOOKUP($A11,benefit!$A$1:$AQ$76,E$1,FALSE),0)</f>
        <v>22.441326</v>
      </c>
      <c r="F11" s="11">
        <f>IF(ISNUMBER(VLOOKUP($A11,benefit!$A$1:$AQ$76,F$1,FALSE)),VLOOKUP($A11,benefit!$A$1:$AQ$76,F$1,FALSE),0)</f>
        <v>19.742612000000001</v>
      </c>
      <c r="G11" s="11">
        <f>IF(ISNUMBER(VLOOKUP($A11,benefit!$A$1:$AQ$76,G$1,FALSE)),VLOOKUP($A11,benefit!$A$1:$AQ$76,G$1,FALSE),0)</f>
        <v>15.041793999999999</v>
      </c>
      <c r="H11" s="11">
        <f>IF(ISNUMBER(VLOOKUP($A11,benefit!$A$1:$AQ$76,H$1,FALSE)),VLOOKUP($A11,benefit!$A$1:$AQ$76,H$1,FALSE),0)</f>
        <v>17.074407000000001</v>
      </c>
      <c r="I11" s="11">
        <f>IF(ISNUMBER(VLOOKUP($A11,benefit!$A$1:$AQ$76,I$1,FALSE)),VLOOKUP($A11,benefit!$A$1:$AQ$76,I$1,FALSE),0)</f>
        <v>18.858664000000001</v>
      </c>
      <c r="J11" s="11">
        <f>IF(ISNUMBER(VLOOKUP($A11,benefit!$A$1:$AQ$76,J$1,FALSE)),VLOOKUP($A11,benefit!$A$1:$AQ$76,J$1,FALSE),0)</f>
        <v>16.120303</v>
      </c>
      <c r="K11" s="11">
        <f>IF(ISNUMBER(VLOOKUP($A11,benefit!$A$1:$AQ$76,K$1,FALSE)),VLOOKUP($A11,benefit!$A$1:$AQ$76,K$1,FALSE),0)</f>
        <v>15.064322000000001</v>
      </c>
      <c r="L11" s="11">
        <f>IF(ISNUMBER(VLOOKUP($A11,benefit!$A$1:$AQ$76,L$1,FALSE)),VLOOKUP($A11,benefit!$A$1:$AQ$76,L$1,FALSE),0)</f>
        <v>15.185929</v>
      </c>
      <c r="M11" s="11">
        <f>IF(ISNUMBER(VLOOKUP($A11,benefit!$A$1:$AQ$76,M$1,FALSE)),VLOOKUP($A11,benefit!$A$1:$AQ$76,M$1,FALSE),0)</f>
        <v>16.669981</v>
      </c>
      <c r="N11" s="11">
        <f>IF(ISNUMBER(VLOOKUP($A11,benefit!$A$1:$AQ$76,N$1,FALSE)),VLOOKUP($A11,benefit!$A$1:$AQ$76,N$1,FALSE),0)</f>
        <v>17.622098999999999</v>
      </c>
      <c r="O11" s="11">
        <f>IF(ISNUMBER(VLOOKUP($A11,benefit!$A$1:$AQ$76,O$1,FALSE)),VLOOKUP($A11,benefit!$A$1:$AQ$76,O$1,FALSE),0)</f>
        <v>13.342307</v>
      </c>
      <c r="P11" s="11">
        <f>IF(ISNUMBER(VLOOKUP($A11,benefit!$A$1:$AQ$76,P$1,FALSE)),VLOOKUP($A11,benefit!$A$1:$AQ$76,P$1,FALSE),0)</f>
        <v>11.769977000000001</v>
      </c>
      <c r="Q11" s="11">
        <f>IF(ISNUMBER(VLOOKUP($A11,benefit!$A$1:$AQ$76,Q$1,FALSE)),VLOOKUP($A11,benefit!$A$1:$AQ$76,Q$1,FALSE),0)</f>
        <v>11.847054</v>
      </c>
      <c r="R11" s="11">
        <f>IF(ISNUMBER(VLOOKUP($A11,benefit!$A$1:$AQ$76,R$1,FALSE)),VLOOKUP($A11,benefit!$A$1:$AQ$76,R$1,FALSE),0)</f>
        <v>7.4999099999999999</v>
      </c>
      <c r="S11" s="11">
        <f>IF(ISNUMBER(VLOOKUP($A11,benefit!$A$1:$AQ$76,S$1,FALSE)),VLOOKUP($A11,benefit!$A$1:$AQ$76,S$1,FALSE),0)</f>
        <v>7.1040570000000001</v>
      </c>
      <c r="T11" s="11">
        <f>IF(ISNUMBER(VLOOKUP($A11,benefit!$A$1:$AQ$76,T$1,FALSE)),VLOOKUP($A11,benefit!$A$1:$AQ$76,T$1,FALSE),0)</f>
        <v>7.6500199999999996</v>
      </c>
      <c r="U11" s="11">
        <f>IF(ISNUMBER(VLOOKUP($A11,benefit!$A$1:$AQ$76,U$1,FALSE)),VLOOKUP($A11,benefit!$A$1:$AQ$76,U$1,FALSE),0)</f>
        <v>7.9128980000000002</v>
      </c>
      <c r="V11" s="11">
        <f>IF(ISNUMBER(VLOOKUP($A11,benefit!$A$1:$AQ$76,V$1,FALSE)),VLOOKUP($A11,benefit!$A$1:$AQ$76,V$1,FALSE),0)</f>
        <v>5.8116969999999997</v>
      </c>
      <c r="W11" s="11">
        <f>IF(ISNUMBER(VLOOKUP($A11,benefit!$A$1:$AQ$76,W$1,FALSE)),VLOOKUP($A11,benefit!$A$1:$AQ$76,W$1,FALSE),0)</f>
        <v>5.860811</v>
      </c>
      <c r="X11" s="11">
        <f>IF(ISNUMBER(VLOOKUP($A11,benefit!$A$1:$AQ$76,X$1,FALSE)),VLOOKUP($A11,benefit!$A$1:$AQ$76,X$1,FALSE),0)</f>
        <v>5.7979690000000002</v>
      </c>
      <c r="Y11" s="11">
        <f>IF(ISNUMBER(VLOOKUP($A11,benefit!$A$1:$AQ$76,Y$1,FALSE)),VLOOKUP($A11,benefit!$A$1:$AQ$76,Y$1,FALSE),0)</f>
        <v>7.4524319999999999</v>
      </c>
      <c r="Z11" s="11">
        <f>IF(ISNUMBER(VLOOKUP($A11,benefit!$A$1:$AQ$76,Z$1,FALSE)),VLOOKUP($A11,benefit!$A$1:$AQ$76,Z$1,FALSE),0)</f>
        <v>6.0576400000000001</v>
      </c>
      <c r="AA11" s="11">
        <f>IF(ISNUMBER(VLOOKUP($A11,benefit!$A$1:$AQ$76,AA$1,FALSE)),VLOOKUP($A11,benefit!$A$1:$AQ$76,AA$1,FALSE),0)</f>
        <v>4.8060809999999998</v>
      </c>
      <c r="AB11" s="11">
        <f>IF(ISNUMBER(VLOOKUP($A11,benefit!$A$1:$AQ$76,AB$1,FALSE)),VLOOKUP($A11,benefit!$A$1:$AQ$76,AB$1,FALSE),0)</f>
        <v>5.0693520000000003</v>
      </c>
      <c r="AC11" s="11">
        <f>IF(ISNUMBER(VLOOKUP($A11,benefit!$A$1:$AQ$76,AC$1,FALSE)),VLOOKUP($A11,benefit!$A$1:$AQ$76,AC$1,FALSE),0)</f>
        <v>7.5305530000000003</v>
      </c>
      <c r="AD11" s="11">
        <f>IF(ISNUMBER(VLOOKUP($A11,benefit!$A$1:$AQ$76,AD$1,FALSE)),VLOOKUP($A11,benefit!$A$1:$AQ$76,AD$1,FALSE),0)</f>
        <v>5.0829829999999996</v>
      </c>
    </row>
    <row r="12" spans="1:30" x14ac:dyDescent="0.25">
      <c r="A12" s="3" t="s">
        <v>12</v>
      </c>
      <c r="B12" s="11">
        <f>IF(ISNUMBER(VLOOKUP($A12,benefit!$A$1:$AQ$76,B$1,FALSE)),VLOOKUP($A12,benefit!$A$1:$AQ$76,B$1,FALSE),0)</f>
        <v>6.1252310000000003</v>
      </c>
      <c r="C12" s="11">
        <f>IF(ISNUMBER(VLOOKUP($A12,benefit!$A$1:$AQ$76,C$1,FALSE)),VLOOKUP($A12,benefit!$A$1:$AQ$76,C$1,FALSE),0)</f>
        <v>5.0202799999999996</v>
      </c>
      <c r="D12" s="11">
        <f>IF(ISNUMBER(VLOOKUP($A12,benefit!$A$1:$AQ$76,D$1,FALSE)),VLOOKUP($A12,benefit!$A$1:$AQ$76,D$1,FALSE),0)</f>
        <v>6.6130560000000003</v>
      </c>
      <c r="E12" s="11">
        <f>IF(ISNUMBER(VLOOKUP($A12,benefit!$A$1:$AQ$76,E$1,FALSE)),VLOOKUP($A12,benefit!$A$1:$AQ$76,E$1,FALSE),0)</f>
        <v>6.6500260000000004</v>
      </c>
      <c r="F12" s="11">
        <f>IF(ISNUMBER(VLOOKUP($A12,benefit!$A$1:$AQ$76,F$1,FALSE)),VLOOKUP($A12,benefit!$A$1:$AQ$76,F$1,FALSE),0)</f>
        <v>6.2702910000000003</v>
      </c>
      <c r="G12" s="11">
        <f>IF(ISNUMBER(VLOOKUP($A12,benefit!$A$1:$AQ$76,G$1,FALSE)),VLOOKUP($A12,benefit!$A$1:$AQ$76,G$1,FALSE),0)</f>
        <v>11.154560999999999</v>
      </c>
      <c r="H12" s="11">
        <f>IF(ISNUMBER(VLOOKUP($A12,benefit!$A$1:$AQ$76,H$1,FALSE)),VLOOKUP($A12,benefit!$A$1:$AQ$76,H$1,FALSE),0)</f>
        <v>8.7150309999999998</v>
      </c>
      <c r="I12" s="11">
        <f>IF(ISNUMBER(VLOOKUP($A12,benefit!$A$1:$AQ$76,I$1,FALSE)),VLOOKUP($A12,benefit!$A$1:$AQ$76,I$1,FALSE),0)</f>
        <v>-2.7349969999999999</v>
      </c>
      <c r="J12" s="11">
        <f>IF(ISNUMBER(VLOOKUP($A12,benefit!$A$1:$AQ$76,J$1,FALSE)),VLOOKUP($A12,benefit!$A$1:$AQ$76,J$1,FALSE),0)</f>
        <v>6.459886</v>
      </c>
      <c r="K12" s="11">
        <f>IF(ISNUMBER(VLOOKUP($A12,benefit!$A$1:$AQ$76,K$1,FALSE)),VLOOKUP($A12,benefit!$A$1:$AQ$76,K$1,FALSE),0)</f>
        <v>12.544975000000001</v>
      </c>
      <c r="L12" s="11">
        <f>IF(ISNUMBER(VLOOKUP($A12,benefit!$A$1:$AQ$76,L$1,FALSE)),VLOOKUP($A12,benefit!$A$1:$AQ$76,L$1,FALSE),0)</f>
        <v>9.4509050000000006</v>
      </c>
      <c r="M12" s="11">
        <f>IF(ISNUMBER(VLOOKUP($A12,benefit!$A$1:$AQ$76,M$1,FALSE)),VLOOKUP($A12,benefit!$A$1:$AQ$76,M$1,FALSE),0)</f>
        <v>10.081576</v>
      </c>
      <c r="N12" s="11">
        <f>IF(ISNUMBER(VLOOKUP($A12,benefit!$A$1:$AQ$76,N$1,FALSE)),VLOOKUP($A12,benefit!$A$1:$AQ$76,N$1,FALSE),0)</f>
        <v>5.9904039999999998</v>
      </c>
      <c r="O12" s="11">
        <f>IF(ISNUMBER(VLOOKUP($A12,benefit!$A$1:$AQ$76,O$1,FALSE)),VLOOKUP($A12,benefit!$A$1:$AQ$76,O$1,FALSE),0)</f>
        <v>5.2643639999999996</v>
      </c>
      <c r="P12" s="11">
        <f>IF(ISNUMBER(VLOOKUP($A12,benefit!$A$1:$AQ$76,P$1,FALSE)),VLOOKUP($A12,benefit!$A$1:$AQ$76,P$1,FALSE),0)</f>
        <v>8.5243409999999997</v>
      </c>
      <c r="Q12" s="11">
        <f>IF(ISNUMBER(VLOOKUP($A12,benefit!$A$1:$AQ$76,Q$1,FALSE)),VLOOKUP($A12,benefit!$A$1:$AQ$76,Q$1,FALSE),0)</f>
        <v>10.259416999999999</v>
      </c>
      <c r="R12" s="11">
        <f>IF(ISNUMBER(VLOOKUP($A12,benefit!$A$1:$AQ$76,R$1,FALSE)),VLOOKUP($A12,benefit!$A$1:$AQ$76,R$1,FALSE),0)</f>
        <v>2.6768860000000001</v>
      </c>
      <c r="S12" s="11">
        <f>IF(ISNUMBER(VLOOKUP($A12,benefit!$A$1:$AQ$76,S$1,FALSE)),VLOOKUP($A12,benefit!$A$1:$AQ$76,S$1,FALSE),0)</f>
        <v>2.1703619999999999</v>
      </c>
      <c r="T12" s="11">
        <f>IF(ISNUMBER(VLOOKUP($A12,benefit!$A$1:$AQ$76,T$1,FALSE)),VLOOKUP($A12,benefit!$A$1:$AQ$76,T$1,FALSE),0)</f>
        <v>1.703854</v>
      </c>
      <c r="U12" s="11">
        <f>IF(ISNUMBER(VLOOKUP($A12,benefit!$A$1:$AQ$76,U$1,FALSE)),VLOOKUP($A12,benefit!$A$1:$AQ$76,U$1,FALSE),0)</f>
        <v>5.4955999999999996</v>
      </c>
      <c r="V12" s="11">
        <f>IF(ISNUMBER(VLOOKUP($A12,benefit!$A$1:$AQ$76,V$1,FALSE)),VLOOKUP($A12,benefit!$A$1:$AQ$76,V$1,FALSE),0)</f>
        <v>3.433875</v>
      </c>
      <c r="W12" s="11">
        <f>IF(ISNUMBER(VLOOKUP($A12,benefit!$A$1:$AQ$76,W$1,FALSE)),VLOOKUP($A12,benefit!$A$1:$AQ$76,W$1,FALSE),0)</f>
        <v>3.4941420000000001</v>
      </c>
      <c r="X12" s="11">
        <f>IF(ISNUMBER(VLOOKUP($A12,benefit!$A$1:$AQ$76,X$1,FALSE)),VLOOKUP($A12,benefit!$A$1:$AQ$76,X$1,FALSE),0)</f>
        <v>2.4259979999999999</v>
      </c>
      <c r="Y12" s="11">
        <f>IF(ISNUMBER(VLOOKUP($A12,benefit!$A$1:$AQ$76,Y$1,FALSE)),VLOOKUP($A12,benefit!$A$1:$AQ$76,Y$1,FALSE),0)</f>
        <v>6.9802210000000002</v>
      </c>
      <c r="Z12" s="11">
        <f>IF(ISNUMBER(VLOOKUP($A12,benefit!$A$1:$AQ$76,Z$1,FALSE)),VLOOKUP($A12,benefit!$A$1:$AQ$76,Z$1,FALSE),0)</f>
        <v>3.2990520000000001</v>
      </c>
      <c r="AA12" s="11">
        <f>IF(ISNUMBER(VLOOKUP($A12,benefit!$A$1:$AQ$76,AA$1,FALSE)),VLOOKUP($A12,benefit!$A$1:$AQ$76,AA$1,FALSE),0)</f>
        <v>3.1766019999999999</v>
      </c>
      <c r="AB12" s="11">
        <f>IF(ISNUMBER(VLOOKUP($A12,benefit!$A$1:$AQ$76,AB$1,FALSE)),VLOOKUP($A12,benefit!$A$1:$AQ$76,AB$1,FALSE),0)</f>
        <v>3.2914590000000001</v>
      </c>
      <c r="AC12" s="11">
        <f>IF(ISNUMBER(VLOOKUP($A12,benefit!$A$1:$AQ$76,AC$1,FALSE)),VLOOKUP($A12,benefit!$A$1:$AQ$76,AC$1,FALSE),0)</f>
        <v>6.9258280000000001</v>
      </c>
      <c r="AD12" s="11">
        <f>IF(ISNUMBER(VLOOKUP($A12,benefit!$A$1:$AQ$76,AD$1,FALSE)),VLOOKUP($A12,benefit!$A$1:$AQ$76,AD$1,FALSE),0)</f>
        <v>3.6575340000000001</v>
      </c>
    </row>
    <row r="13" spans="1:30" x14ac:dyDescent="0.25">
      <c r="A13" s="3" t="s">
        <v>13</v>
      </c>
      <c r="B13" s="11">
        <f>IF(ISNUMBER(VLOOKUP($A13,benefit!$A$1:$AQ$76,B$1,FALSE)),VLOOKUP($A13,benefit!$A$1:$AQ$76,B$1,FALSE),0)</f>
        <v>15.769019</v>
      </c>
      <c r="C13" s="11">
        <f>IF(ISNUMBER(VLOOKUP($A13,benefit!$A$1:$AQ$76,C$1,FALSE)),VLOOKUP($A13,benefit!$A$1:$AQ$76,C$1,FALSE),0)</f>
        <v>14.127605000000001</v>
      </c>
      <c r="D13" s="11">
        <f>IF(ISNUMBER(VLOOKUP($A13,benefit!$A$1:$AQ$76,D$1,FALSE)),VLOOKUP($A13,benefit!$A$1:$AQ$76,D$1,FALSE),0)</f>
        <v>15.598532000000001</v>
      </c>
      <c r="E13" s="11">
        <f>IF(ISNUMBER(VLOOKUP($A13,benefit!$A$1:$AQ$76,E$1,FALSE)),VLOOKUP($A13,benefit!$A$1:$AQ$76,E$1,FALSE),0)</f>
        <v>20.285748999999999</v>
      </c>
      <c r="F13" s="11">
        <f>IF(ISNUMBER(VLOOKUP($A13,benefit!$A$1:$AQ$76,F$1,FALSE)),VLOOKUP($A13,benefit!$A$1:$AQ$76,F$1,FALSE),0)</f>
        <v>14.235493</v>
      </c>
      <c r="G13" s="11">
        <f>IF(ISNUMBER(VLOOKUP($A13,benefit!$A$1:$AQ$76,G$1,FALSE)),VLOOKUP($A13,benefit!$A$1:$AQ$76,G$1,FALSE),0)</f>
        <v>12.590555999999999</v>
      </c>
      <c r="H13" s="11">
        <f>IF(ISNUMBER(VLOOKUP($A13,benefit!$A$1:$AQ$76,H$1,FALSE)),VLOOKUP($A13,benefit!$A$1:$AQ$76,H$1,FALSE),0)</f>
        <v>14.56803</v>
      </c>
      <c r="I13" s="11">
        <f>IF(ISNUMBER(VLOOKUP($A13,benefit!$A$1:$AQ$76,I$1,FALSE)),VLOOKUP($A13,benefit!$A$1:$AQ$76,I$1,FALSE),0)</f>
        <v>16.416501</v>
      </c>
      <c r="J13" s="11">
        <f>IF(ISNUMBER(VLOOKUP($A13,benefit!$A$1:$AQ$76,J$1,FALSE)),VLOOKUP($A13,benefit!$A$1:$AQ$76,J$1,FALSE),0)</f>
        <v>12.311441</v>
      </c>
      <c r="K13" s="11">
        <f>IF(ISNUMBER(VLOOKUP($A13,benefit!$A$1:$AQ$76,K$1,FALSE)),VLOOKUP($A13,benefit!$A$1:$AQ$76,K$1,FALSE),0)</f>
        <v>12.516550000000001</v>
      </c>
      <c r="L13" s="11">
        <f>IF(ISNUMBER(VLOOKUP($A13,benefit!$A$1:$AQ$76,L$1,FALSE)),VLOOKUP($A13,benefit!$A$1:$AQ$76,L$1,FALSE),0)</f>
        <v>12.014915999999999</v>
      </c>
      <c r="M13" s="11">
        <f>IF(ISNUMBER(VLOOKUP($A13,benefit!$A$1:$AQ$76,M$1,FALSE)),VLOOKUP($A13,benefit!$A$1:$AQ$76,M$1,FALSE),0)</f>
        <v>15.980229</v>
      </c>
      <c r="N13" s="11">
        <f>IF(ISNUMBER(VLOOKUP($A13,benefit!$A$1:$AQ$76,N$1,FALSE)),VLOOKUP($A13,benefit!$A$1:$AQ$76,N$1,FALSE),0)</f>
        <v>10.715265</v>
      </c>
      <c r="O13" s="11">
        <f>IF(ISNUMBER(VLOOKUP($A13,benefit!$A$1:$AQ$76,O$1,FALSE)),VLOOKUP($A13,benefit!$A$1:$AQ$76,O$1,FALSE),0)</f>
        <v>9.1001569999999994</v>
      </c>
      <c r="P13" s="11">
        <f>IF(ISNUMBER(VLOOKUP($A13,benefit!$A$1:$AQ$76,P$1,FALSE)),VLOOKUP($A13,benefit!$A$1:$AQ$76,P$1,FALSE),0)</f>
        <v>11.222305</v>
      </c>
      <c r="Q13" s="11">
        <f>IF(ISNUMBER(VLOOKUP($A13,benefit!$A$1:$AQ$76,Q$1,FALSE)),VLOOKUP($A13,benefit!$A$1:$AQ$76,Q$1,FALSE),0)</f>
        <v>14.010856</v>
      </c>
      <c r="R13" s="11">
        <f>IF(ISNUMBER(VLOOKUP($A13,benefit!$A$1:$AQ$76,R$1,FALSE)),VLOOKUP($A13,benefit!$A$1:$AQ$76,R$1,FALSE),0)</f>
        <v>9.2651240000000001</v>
      </c>
      <c r="S13" s="11">
        <f>IF(ISNUMBER(VLOOKUP($A13,benefit!$A$1:$AQ$76,S$1,FALSE)),VLOOKUP($A13,benefit!$A$1:$AQ$76,S$1,FALSE),0)</f>
        <v>9.5457879999999999</v>
      </c>
      <c r="T13" s="11">
        <f>IF(ISNUMBER(VLOOKUP($A13,benefit!$A$1:$AQ$76,T$1,FALSE)),VLOOKUP($A13,benefit!$A$1:$AQ$76,T$1,FALSE),0)</f>
        <v>9.0501299999999993</v>
      </c>
      <c r="U13" s="11">
        <f>IF(ISNUMBER(VLOOKUP($A13,benefit!$A$1:$AQ$76,U$1,FALSE)),VLOOKUP($A13,benefit!$A$1:$AQ$76,U$1,FALSE),0)</f>
        <v>12.202712999999999</v>
      </c>
      <c r="V13" s="11">
        <f>IF(ISNUMBER(VLOOKUP($A13,benefit!$A$1:$AQ$76,V$1,FALSE)),VLOOKUP($A13,benefit!$A$1:$AQ$76,V$1,FALSE),0)</f>
        <v>7.6544910000000002</v>
      </c>
      <c r="W13" s="11">
        <f>IF(ISNUMBER(VLOOKUP($A13,benefit!$A$1:$AQ$76,W$1,FALSE)),VLOOKUP($A13,benefit!$A$1:$AQ$76,W$1,FALSE),0)</f>
        <v>9.0721120000000006</v>
      </c>
      <c r="X13" s="11">
        <f>IF(ISNUMBER(VLOOKUP($A13,benefit!$A$1:$AQ$76,X$1,FALSE)),VLOOKUP($A13,benefit!$A$1:$AQ$76,X$1,FALSE),0)</f>
        <v>9.1992039999999999</v>
      </c>
      <c r="Y13" s="11">
        <f>IF(ISNUMBER(VLOOKUP($A13,benefit!$A$1:$AQ$76,Y$1,FALSE)),VLOOKUP($A13,benefit!$A$1:$AQ$76,Y$1,FALSE),0)</f>
        <v>10.415418000000001</v>
      </c>
      <c r="Z13" s="11">
        <f>IF(ISNUMBER(VLOOKUP($A13,benefit!$A$1:$AQ$76,Z$1,FALSE)),VLOOKUP($A13,benefit!$A$1:$AQ$76,Z$1,FALSE),0)</f>
        <v>8.4414929999999995</v>
      </c>
      <c r="AA13" s="11">
        <f>IF(ISNUMBER(VLOOKUP($A13,benefit!$A$1:$AQ$76,AA$1,FALSE)),VLOOKUP($A13,benefit!$A$1:$AQ$76,AA$1,FALSE),0)</f>
        <v>7.6186119999999997</v>
      </c>
      <c r="AB13" s="11">
        <f>IF(ISNUMBER(VLOOKUP($A13,benefit!$A$1:$AQ$76,AB$1,FALSE)),VLOOKUP($A13,benefit!$A$1:$AQ$76,AB$1,FALSE),0)</f>
        <v>7.3094720000000004</v>
      </c>
      <c r="AC13" s="11">
        <f>IF(ISNUMBER(VLOOKUP($A13,benefit!$A$1:$AQ$76,AC$1,FALSE)),VLOOKUP($A13,benefit!$A$1:$AQ$76,AC$1,FALSE),0)</f>
        <v>10.913073000000001</v>
      </c>
      <c r="AD13" s="11">
        <f>IF(ISNUMBER(VLOOKUP($A13,benefit!$A$1:$AQ$76,AD$1,FALSE)),VLOOKUP($A13,benefit!$A$1:$AQ$76,AD$1,FALSE),0)</f>
        <v>5.9155559999999996</v>
      </c>
    </row>
    <row r="14" spans="1:30" x14ac:dyDescent="0.25">
      <c r="A14" s="3" t="s">
        <v>14</v>
      </c>
      <c r="B14" s="11">
        <f>IF(ISNUMBER(VLOOKUP($A14,benefit!$A$1:$AQ$76,B$1,FALSE)),VLOOKUP($A14,benefit!$A$1:$AQ$76,B$1,FALSE),0)</f>
        <v>0.14303399999999999</v>
      </c>
      <c r="C14" s="11">
        <f>IF(ISNUMBER(VLOOKUP($A14,benefit!$A$1:$AQ$76,C$1,FALSE)),VLOOKUP($A14,benefit!$A$1:$AQ$76,C$1,FALSE),0)</f>
        <v>0.13241900000000001</v>
      </c>
      <c r="D14" s="11">
        <f>IF(ISNUMBER(VLOOKUP($A14,benefit!$A$1:$AQ$76,D$1,FALSE)),VLOOKUP($A14,benefit!$A$1:$AQ$76,D$1,FALSE),0)</f>
        <v>0.103496</v>
      </c>
      <c r="E14" s="11">
        <f>IF(ISNUMBER(VLOOKUP($A14,benefit!$A$1:$AQ$76,E$1,FALSE)),VLOOKUP($A14,benefit!$A$1:$AQ$76,E$1,FALSE),0)</f>
        <v>-0.16462299999999999</v>
      </c>
      <c r="F14" s="11">
        <f>IF(ISNUMBER(VLOOKUP($A14,benefit!$A$1:$AQ$76,F$1,FALSE)),VLOOKUP($A14,benefit!$A$1:$AQ$76,F$1,FALSE),0)</f>
        <v>0.12554999999999999</v>
      </c>
      <c r="G14" s="11">
        <f>IF(ISNUMBER(VLOOKUP($A14,benefit!$A$1:$AQ$76,G$1,FALSE)),VLOOKUP($A14,benefit!$A$1:$AQ$76,G$1,FALSE),0)</f>
        <v>0.436921</v>
      </c>
      <c r="H14" s="11">
        <f>IF(ISNUMBER(VLOOKUP($A14,benefit!$A$1:$AQ$76,H$1,FALSE)),VLOOKUP($A14,benefit!$A$1:$AQ$76,H$1,FALSE),0)</f>
        <v>8.9040999999999995E-2</v>
      </c>
      <c r="I14" s="11">
        <f>IF(ISNUMBER(VLOOKUP($A14,benefit!$A$1:$AQ$76,I$1,FALSE)),VLOOKUP($A14,benefit!$A$1:$AQ$76,I$1,FALSE),0)</f>
        <v>6.7511000000000002E-2</v>
      </c>
      <c r="J14" s="11">
        <f>IF(ISNUMBER(VLOOKUP($A14,benefit!$A$1:$AQ$76,J$1,FALSE)),VLOOKUP($A14,benefit!$A$1:$AQ$76,J$1,FALSE),0)</f>
        <v>7.9336000000000004E-2</v>
      </c>
      <c r="K14" s="11">
        <f>IF(ISNUMBER(VLOOKUP($A14,benefit!$A$1:$AQ$76,K$1,FALSE)),VLOOKUP($A14,benefit!$A$1:$AQ$76,K$1,FALSE),0)</f>
        <v>4.5557E-2</v>
      </c>
      <c r="L14" s="11">
        <f>IF(ISNUMBER(VLOOKUP($A14,benefit!$A$1:$AQ$76,L$1,FALSE)),VLOOKUP($A14,benefit!$A$1:$AQ$76,L$1,FALSE),0)</f>
        <v>2.7132E-2</v>
      </c>
      <c r="M14" s="11">
        <f>IF(ISNUMBER(VLOOKUP($A14,benefit!$A$1:$AQ$76,M$1,FALSE)),VLOOKUP($A14,benefit!$A$1:$AQ$76,M$1,FALSE),0)</f>
        <v>7.4810000000000001E-2</v>
      </c>
      <c r="N14" s="11">
        <f>IF(ISNUMBER(VLOOKUP($A14,benefit!$A$1:$AQ$76,N$1,FALSE)),VLOOKUP($A14,benefit!$A$1:$AQ$76,N$1,FALSE),0)</f>
        <v>0</v>
      </c>
      <c r="O14" s="11">
        <f>IF(ISNUMBER(VLOOKUP($A14,benefit!$A$1:$AQ$76,O$1,FALSE)),VLOOKUP($A14,benefit!$A$1:$AQ$76,O$1,FALSE),0)</f>
        <v>0</v>
      </c>
      <c r="P14" s="11">
        <f>IF(ISNUMBER(VLOOKUP($A14,benefit!$A$1:$AQ$76,P$1,FALSE)),VLOOKUP($A14,benefit!$A$1:$AQ$76,P$1,FALSE),0)</f>
        <v>0</v>
      </c>
      <c r="Q14" s="11">
        <f>IF(ISNUMBER(VLOOKUP($A14,benefit!$A$1:$AQ$76,Q$1,FALSE)),VLOOKUP($A14,benefit!$A$1:$AQ$76,Q$1,FALSE),0)</f>
        <v>0</v>
      </c>
      <c r="R14" s="11">
        <f>IF(ISNUMBER(VLOOKUP($A14,benefit!$A$1:$AQ$76,R$1,FALSE)),VLOOKUP($A14,benefit!$A$1:$AQ$76,R$1,FALSE),0)</f>
        <v>0</v>
      </c>
      <c r="S14" s="11">
        <f>IF(ISNUMBER(VLOOKUP($A14,benefit!$A$1:$AQ$76,S$1,FALSE)),VLOOKUP($A14,benefit!$A$1:$AQ$76,S$1,FALSE),0)</f>
        <v>0</v>
      </c>
      <c r="T14" s="11">
        <f>IF(ISNUMBER(VLOOKUP($A14,benefit!$A$1:$AQ$76,T$1,FALSE)),VLOOKUP($A14,benefit!$A$1:$AQ$76,T$1,FALSE),0)</f>
        <v>0</v>
      </c>
      <c r="U14" s="11">
        <f>IF(ISNUMBER(VLOOKUP($A14,benefit!$A$1:$AQ$76,U$1,FALSE)),VLOOKUP($A14,benefit!$A$1:$AQ$76,U$1,FALSE),0)</f>
        <v>0</v>
      </c>
      <c r="V14" s="11">
        <f>IF(ISNUMBER(VLOOKUP($A14,benefit!$A$1:$AQ$76,V$1,FALSE)),VLOOKUP($A14,benefit!$A$1:$AQ$76,V$1,FALSE),0)</f>
        <v>0</v>
      </c>
      <c r="W14" s="11">
        <f>IF(ISNUMBER(VLOOKUP($A14,benefit!$A$1:$AQ$76,W$1,FALSE)),VLOOKUP($A14,benefit!$A$1:$AQ$76,W$1,FALSE),0)</f>
        <v>0</v>
      </c>
      <c r="X14" s="11">
        <f>IF(ISNUMBER(VLOOKUP($A14,benefit!$A$1:$AQ$76,X$1,FALSE)),VLOOKUP($A14,benefit!$A$1:$AQ$76,X$1,FALSE),0)</f>
        <v>0</v>
      </c>
      <c r="Y14" s="11">
        <f>IF(ISNUMBER(VLOOKUP($A14,benefit!$A$1:$AQ$76,Y$1,FALSE)),VLOOKUP($A14,benefit!$A$1:$AQ$76,Y$1,FALSE),0)</f>
        <v>0</v>
      </c>
      <c r="Z14" s="11">
        <f>IF(ISNUMBER(VLOOKUP($A14,benefit!$A$1:$AQ$76,Z$1,FALSE)),VLOOKUP($A14,benefit!$A$1:$AQ$76,Z$1,FALSE),0)</f>
        <v>0</v>
      </c>
      <c r="AA14" s="11">
        <f>IF(ISNUMBER(VLOOKUP($A14,benefit!$A$1:$AQ$76,AA$1,FALSE)),VLOOKUP($A14,benefit!$A$1:$AQ$76,AA$1,FALSE),0)</f>
        <v>0</v>
      </c>
      <c r="AB14" s="11">
        <f>IF(ISNUMBER(VLOOKUP($A14,benefit!$A$1:$AQ$76,AB$1,FALSE)),VLOOKUP($A14,benefit!$A$1:$AQ$76,AB$1,FALSE),0)</f>
        <v>0</v>
      </c>
      <c r="AC14" s="11">
        <f>IF(ISNUMBER(VLOOKUP($A14,benefit!$A$1:$AQ$76,AC$1,FALSE)),VLOOKUP($A14,benefit!$A$1:$AQ$76,AC$1,FALSE),0)</f>
        <v>0</v>
      </c>
      <c r="AD14" s="11">
        <f>IF(ISNUMBER(VLOOKUP($A14,benefit!$A$1:$AQ$76,AD$1,FALSE)),VLOOKUP($A14,benefit!$A$1:$AQ$76,AD$1,FALSE),0)</f>
        <v>0</v>
      </c>
    </row>
    <row r="15" spans="1:30" x14ac:dyDescent="0.25">
      <c r="A15" s="3" t="s">
        <v>15</v>
      </c>
      <c r="B15" s="11">
        <f>IF(ISNUMBER(VLOOKUP($A15,benefit!$A$1:$AQ$76,B$1,FALSE)),VLOOKUP($A15,benefit!$A$1:$AQ$76,B$1,FALSE),0)</f>
        <v>-0.82458699999999996</v>
      </c>
      <c r="C15" s="11">
        <f>IF(ISNUMBER(VLOOKUP($A15,benefit!$A$1:$AQ$76,C$1,FALSE)),VLOOKUP($A15,benefit!$A$1:$AQ$76,C$1,FALSE),0)</f>
        <v>-0.67709900000000001</v>
      </c>
      <c r="D15" s="11">
        <f>IF(ISNUMBER(VLOOKUP($A15,benefit!$A$1:$AQ$76,D$1,FALSE)),VLOOKUP($A15,benefit!$A$1:$AQ$76,D$1,FALSE),0)</f>
        <v>-5.1351000000000001E-2</v>
      </c>
      <c r="E15" s="11">
        <f>IF(ISNUMBER(VLOOKUP($A15,benefit!$A$1:$AQ$76,E$1,FALSE)),VLOOKUP($A15,benefit!$A$1:$AQ$76,E$1,FALSE),0)</f>
        <v>0.08</v>
      </c>
      <c r="F15" s="11">
        <f>IF(ISNUMBER(VLOOKUP($A15,benefit!$A$1:$AQ$76,F$1,FALSE)),VLOOKUP($A15,benefit!$A$1:$AQ$76,F$1,FALSE),0)</f>
        <v>1.3708E-2</v>
      </c>
      <c r="G15" s="11">
        <f>IF(ISNUMBER(VLOOKUP($A15,benefit!$A$1:$AQ$76,G$1,FALSE)),VLOOKUP($A15,benefit!$A$1:$AQ$76,G$1,FALSE),0)</f>
        <v>-1.5753E-2</v>
      </c>
      <c r="H15" s="11">
        <f>IF(ISNUMBER(VLOOKUP($A15,benefit!$A$1:$AQ$76,H$1,FALSE)),VLOOKUP($A15,benefit!$A$1:$AQ$76,H$1,FALSE),0)</f>
        <v>-3.375E-3</v>
      </c>
      <c r="I15" s="11">
        <f>IF(ISNUMBER(VLOOKUP($A15,benefit!$A$1:$AQ$76,I$1,FALSE)),VLOOKUP($A15,benefit!$A$1:$AQ$76,I$1,FALSE),0)</f>
        <v>8.6289999999999995E-3</v>
      </c>
      <c r="J15" s="11">
        <f>IF(ISNUMBER(VLOOKUP($A15,benefit!$A$1:$AQ$76,J$1,FALSE)),VLOOKUP($A15,benefit!$A$1:$AQ$76,J$1,FALSE),0)</f>
        <v>-1.5950000000000001E-3</v>
      </c>
      <c r="K15" s="11">
        <f>IF(ISNUMBER(VLOOKUP($A15,benefit!$A$1:$AQ$76,K$1,FALSE)),VLOOKUP($A15,benefit!$A$1:$AQ$76,K$1,FALSE),0)</f>
        <v>-7.6400000000000001E-3</v>
      </c>
      <c r="L15" s="11">
        <f>IF(ISNUMBER(VLOOKUP($A15,benefit!$A$1:$AQ$76,L$1,FALSE)),VLOOKUP($A15,benefit!$A$1:$AQ$76,L$1,FALSE),0)</f>
        <v>-3.4605999999999998E-2</v>
      </c>
      <c r="M15" s="11">
        <f>IF(ISNUMBER(VLOOKUP($A15,benefit!$A$1:$AQ$76,M$1,FALSE)),VLOOKUP($A15,benefit!$A$1:$AQ$76,M$1,FALSE),0)</f>
        <v>-0.164491</v>
      </c>
      <c r="N15" s="11">
        <f>IF(ISNUMBER(VLOOKUP($A15,benefit!$A$1:$AQ$76,N$1,FALSE)),VLOOKUP($A15,benefit!$A$1:$AQ$76,N$1,FALSE),0)</f>
        <v>-1.7680000000000001E-2</v>
      </c>
      <c r="O15" s="11">
        <f>IF(ISNUMBER(VLOOKUP($A15,benefit!$A$1:$AQ$76,O$1,FALSE)),VLOOKUP($A15,benefit!$A$1:$AQ$76,O$1,FALSE),0)</f>
        <v>-8.0109E-2</v>
      </c>
      <c r="P15" s="11">
        <f>IF(ISNUMBER(VLOOKUP($A15,benefit!$A$1:$AQ$76,P$1,FALSE)),VLOOKUP($A15,benefit!$A$1:$AQ$76,P$1,FALSE),0)</f>
        <v>-0.29494300000000001</v>
      </c>
      <c r="Q15" s="11">
        <f>IF(ISNUMBER(VLOOKUP($A15,benefit!$A$1:$AQ$76,Q$1,FALSE)),VLOOKUP($A15,benefit!$A$1:$AQ$76,Q$1,FALSE),0)</f>
        <v>-0.31873200000000002</v>
      </c>
      <c r="R15" s="11">
        <f>IF(ISNUMBER(VLOOKUP($A15,benefit!$A$1:$AQ$76,R$1,FALSE)),VLOOKUP($A15,benefit!$A$1:$AQ$76,R$1,FALSE),0)</f>
        <v>0.109241</v>
      </c>
      <c r="S15" s="11">
        <f>IF(ISNUMBER(VLOOKUP($A15,benefit!$A$1:$AQ$76,S$1,FALSE)),VLOOKUP($A15,benefit!$A$1:$AQ$76,S$1,FALSE),0)</f>
        <v>-9.1947000000000001E-2</v>
      </c>
      <c r="T15" s="11">
        <f>IF(ISNUMBER(VLOOKUP($A15,benefit!$A$1:$AQ$76,T$1,FALSE)),VLOOKUP($A15,benefit!$A$1:$AQ$76,T$1,FALSE),0)</f>
        <v>-3.0314000000000001E-2</v>
      </c>
      <c r="U15" s="11">
        <f>IF(ISNUMBER(VLOOKUP($A15,benefit!$A$1:$AQ$76,U$1,FALSE)),VLOOKUP($A15,benefit!$A$1:$AQ$76,U$1,FALSE),0)</f>
        <v>-0.15134700000000001</v>
      </c>
      <c r="V15" s="11">
        <f>IF(ISNUMBER(VLOOKUP($A15,benefit!$A$1:$AQ$76,V$1,FALSE)),VLOOKUP($A15,benefit!$A$1:$AQ$76,V$1,FALSE),0)</f>
        <v>-0.33136500000000002</v>
      </c>
      <c r="W15" s="11">
        <f>IF(ISNUMBER(VLOOKUP($A15,benefit!$A$1:$AQ$76,W$1,FALSE)),VLOOKUP($A15,benefit!$A$1:$AQ$76,W$1,FALSE),0)</f>
        <v>-0.125226</v>
      </c>
      <c r="X15" s="11">
        <f>IF(ISNUMBER(VLOOKUP($A15,benefit!$A$1:$AQ$76,X$1,FALSE)),VLOOKUP($A15,benefit!$A$1:$AQ$76,X$1,FALSE),0)</f>
        <v>-6.4729999999999996E-2</v>
      </c>
      <c r="Y15" s="11">
        <f>IF(ISNUMBER(VLOOKUP($A15,benefit!$A$1:$AQ$76,Y$1,FALSE)),VLOOKUP($A15,benefit!$A$1:$AQ$76,Y$1,FALSE),0)</f>
        <v>-0.27396700000000002</v>
      </c>
      <c r="Z15" s="11">
        <f>IF(ISNUMBER(VLOOKUP($A15,benefit!$A$1:$AQ$76,Z$1,FALSE)),VLOOKUP($A15,benefit!$A$1:$AQ$76,Z$1,FALSE),0)</f>
        <v>-0.41882900000000001</v>
      </c>
      <c r="AA15" s="11">
        <f>IF(ISNUMBER(VLOOKUP($A15,benefit!$A$1:$AQ$76,AA$1,FALSE)),VLOOKUP($A15,benefit!$A$1:$AQ$76,AA$1,FALSE),0)</f>
        <v>-0.29765999999999998</v>
      </c>
      <c r="AB15" s="11">
        <f>IF(ISNUMBER(VLOOKUP($A15,benefit!$A$1:$AQ$76,AB$1,FALSE)),VLOOKUP($A15,benefit!$A$1:$AQ$76,AB$1,FALSE),0)</f>
        <v>-0.241232</v>
      </c>
      <c r="AC15" s="11">
        <f>IF(ISNUMBER(VLOOKUP($A15,benefit!$A$1:$AQ$76,AC$1,FALSE)),VLOOKUP($A15,benefit!$A$1:$AQ$76,AC$1,FALSE),0)</f>
        <v>-0.85247499999999998</v>
      </c>
      <c r="AD15" s="11">
        <f>IF(ISNUMBER(VLOOKUP($A15,benefit!$A$1:$AQ$76,AD$1,FALSE)),VLOOKUP($A15,benefit!$A$1:$AQ$76,AD$1,FALSE),0)</f>
        <v>-1.0503629999999999</v>
      </c>
    </row>
    <row r="16" spans="1:30" x14ac:dyDescent="0.25">
      <c r="A16" s="3" t="s">
        <v>16</v>
      </c>
      <c r="B16" s="11">
        <f>IF(ISNUMBER(VLOOKUP($A16,benefit!$A$1:$AQ$76,B$1,FALSE)),VLOOKUP($A16,benefit!$A$1:$AQ$76,B$1,FALSE),0)</f>
        <v>159.0490596267</v>
      </c>
      <c r="C16" s="11">
        <f>IF(ISNUMBER(VLOOKUP($A16,benefit!$A$1:$AQ$76,C$1,FALSE)),VLOOKUP($A16,benefit!$A$1:$AQ$76,C$1,FALSE),0)</f>
        <v>135.20293981430001</v>
      </c>
      <c r="D16" s="11">
        <f>IF(ISNUMBER(VLOOKUP($A16,benefit!$A$1:$AQ$76,D$1,FALSE)),VLOOKUP($A16,benefit!$A$1:$AQ$76,D$1,FALSE),0)</f>
        <v>185.60620625580003</v>
      </c>
      <c r="E16" s="11">
        <f>IF(ISNUMBER(VLOOKUP($A16,benefit!$A$1:$AQ$76,E$1,FALSE)),VLOOKUP($A16,benefit!$A$1:$AQ$76,E$1,FALSE),0)</f>
        <v>157.2918192674</v>
      </c>
      <c r="F16" s="11">
        <f>IF(ISNUMBER(VLOOKUP($A16,benefit!$A$1:$AQ$76,F$1,FALSE)),VLOOKUP($A16,benefit!$A$1:$AQ$76,F$1,FALSE),0)</f>
        <v>149.1431101867</v>
      </c>
      <c r="G16" s="11">
        <f>IF(ISNUMBER(VLOOKUP($A16,benefit!$A$1:$AQ$76,G$1,FALSE)),VLOOKUP($A16,benefit!$A$1:$AQ$76,G$1,FALSE),0)</f>
        <v>124.0177405375</v>
      </c>
      <c r="H16" s="11">
        <f>IF(ISNUMBER(VLOOKUP($A16,benefit!$A$1:$AQ$76,H$1,FALSE)),VLOOKUP($A16,benefit!$A$1:$AQ$76,H$1,FALSE),0)</f>
        <v>159.96222276980001</v>
      </c>
      <c r="I16" s="11">
        <f>IF(ISNUMBER(VLOOKUP($A16,benefit!$A$1:$AQ$76,I$1,FALSE)),VLOOKUP($A16,benefit!$A$1:$AQ$76,I$1,FALSE),0)</f>
        <v>155.0506845358</v>
      </c>
      <c r="J16" s="11">
        <f>IF(ISNUMBER(VLOOKUP($A16,benefit!$A$1:$AQ$76,J$1,FALSE)),VLOOKUP($A16,benefit!$A$1:$AQ$76,J$1,FALSE),0)</f>
        <v>129.58023407100001</v>
      </c>
      <c r="K16" s="11">
        <f>IF(ISNUMBER(VLOOKUP($A16,benefit!$A$1:$AQ$76,K$1,FALSE)),VLOOKUP($A16,benefit!$A$1:$AQ$76,K$1,FALSE),0)</f>
        <v>107.0221742754</v>
      </c>
      <c r="L16" s="11">
        <f>IF(ISNUMBER(VLOOKUP($A16,benefit!$A$1:$AQ$76,L$1,FALSE)),VLOOKUP($A16,benefit!$A$1:$AQ$76,L$1,FALSE),0)</f>
        <v>121.77678392959999</v>
      </c>
      <c r="M16" s="11">
        <f>IF(ISNUMBER(VLOOKUP($A16,benefit!$A$1:$AQ$76,M$1,FALSE)),VLOOKUP($A16,benefit!$A$1:$AQ$76,M$1,FALSE),0)</f>
        <v>103.030641481</v>
      </c>
      <c r="N16" s="11">
        <f>IF(ISNUMBER(VLOOKUP($A16,benefit!$A$1:$AQ$76,N$1,FALSE)),VLOOKUP($A16,benefit!$A$1:$AQ$76,N$1,FALSE),0)</f>
        <v>125.1317346908</v>
      </c>
      <c r="O16" s="11">
        <f>IF(ISNUMBER(VLOOKUP($A16,benefit!$A$1:$AQ$76,O$1,FALSE)),VLOOKUP($A16,benefit!$A$1:$AQ$76,O$1,FALSE),0)</f>
        <v>73.3361715371</v>
      </c>
      <c r="P16" s="11">
        <f>IF(ISNUMBER(VLOOKUP($A16,benefit!$A$1:$AQ$76,P$1,FALSE)),VLOOKUP($A16,benefit!$A$1:$AQ$76,P$1,FALSE),0)</f>
        <v>87.901527625599996</v>
      </c>
      <c r="Q16" s="11">
        <f>IF(ISNUMBER(VLOOKUP($A16,benefit!$A$1:$AQ$76,Q$1,FALSE)),VLOOKUP($A16,benefit!$A$1:$AQ$76,Q$1,FALSE),0)</f>
        <v>61.160469659899995</v>
      </c>
      <c r="R16" s="11">
        <f>IF(ISNUMBER(VLOOKUP($A16,benefit!$A$1:$AQ$76,R$1,FALSE)),VLOOKUP($A16,benefit!$A$1:$AQ$76,R$1,FALSE),0)</f>
        <v>53.894547345699998</v>
      </c>
      <c r="S16" s="11">
        <f>IF(ISNUMBER(VLOOKUP($A16,benefit!$A$1:$AQ$76,S$1,FALSE)),VLOOKUP($A16,benefit!$A$1:$AQ$76,S$1,FALSE),0)</f>
        <v>55.575603616499997</v>
      </c>
      <c r="T16" s="11">
        <f>IF(ISNUMBER(VLOOKUP($A16,benefit!$A$1:$AQ$76,T$1,FALSE)),VLOOKUP($A16,benefit!$A$1:$AQ$76,T$1,FALSE),0)</f>
        <v>72.025631072099998</v>
      </c>
      <c r="U16" s="11">
        <f>IF(ISNUMBER(VLOOKUP($A16,benefit!$A$1:$AQ$76,U$1,FALSE)),VLOOKUP($A16,benefit!$A$1:$AQ$76,U$1,FALSE),0)</f>
        <v>58.640127153199998</v>
      </c>
      <c r="V16" s="11">
        <f>IF(ISNUMBER(VLOOKUP($A16,benefit!$A$1:$AQ$76,V$1,FALSE)),VLOOKUP($A16,benefit!$A$1:$AQ$76,V$1,FALSE),0)</f>
        <v>51.433653626499996</v>
      </c>
      <c r="W16" s="11">
        <f>IF(ISNUMBER(VLOOKUP($A16,benefit!$A$1:$AQ$76,W$1,FALSE)),VLOOKUP($A16,benefit!$A$1:$AQ$76,W$1,FALSE),0)</f>
        <v>49.472818651700003</v>
      </c>
      <c r="X16" s="11">
        <f>IF(ISNUMBER(VLOOKUP($A16,benefit!$A$1:$AQ$76,X$1,FALSE)),VLOOKUP($A16,benefit!$A$1:$AQ$76,X$1,FALSE),0)</f>
        <v>62.043320197299998</v>
      </c>
      <c r="Y16" s="11">
        <f>IF(ISNUMBER(VLOOKUP($A16,benefit!$A$1:$AQ$76,Y$1,FALSE)),VLOOKUP($A16,benefit!$A$1:$AQ$76,Y$1,FALSE),0)</f>
        <v>67.865285126000003</v>
      </c>
      <c r="Z16" s="11">
        <f>IF(ISNUMBER(VLOOKUP($A16,benefit!$A$1:$AQ$76,Z$1,FALSE)),VLOOKUP($A16,benefit!$A$1:$AQ$76,Z$1,FALSE),0)</f>
        <v>50.654677541999995</v>
      </c>
      <c r="AA16" s="11">
        <f>IF(ISNUMBER(VLOOKUP($A16,benefit!$A$1:$AQ$76,AA$1,FALSE)),VLOOKUP($A16,benefit!$A$1:$AQ$76,AA$1,FALSE),0)</f>
        <v>49.310574192299995</v>
      </c>
      <c r="AB16" s="11">
        <f>IF(ISNUMBER(VLOOKUP($A16,benefit!$A$1:$AQ$76,AB$1,FALSE)),VLOOKUP($A16,benefit!$A$1:$AQ$76,AB$1,FALSE),0)</f>
        <v>53.199195648699998</v>
      </c>
      <c r="AC16" s="11">
        <f>IF(ISNUMBER(VLOOKUP($A16,benefit!$A$1:$AQ$76,AC$1,FALSE)),VLOOKUP($A16,benefit!$A$1:$AQ$76,AC$1,FALSE),0)</f>
        <v>57.783354091599996</v>
      </c>
      <c r="AD16" s="11">
        <f>IF(ISNUMBER(VLOOKUP($A16,benefit!$A$1:$AQ$76,AD$1,FALSE)),VLOOKUP($A16,benefit!$A$1:$AQ$76,AD$1,FALSE),0)</f>
        <v>56.154631220200002</v>
      </c>
    </row>
    <row r="17" spans="1:30" x14ac:dyDescent="0.25">
      <c r="A17" s="3"/>
    </row>
    <row r="19" spans="1:30" x14ac:dyDescent="0.25">
      <c r="A19" s="9" t="s">
        <v>10</v>
      </c>
      <c r="B19" s="10">
        <f>VLOOKUP($A19,debt!$A$1:$N$92,B$1,FALSE)</f>
        <v>2019</v>
      </c>
      <c r="C19" s="10">
        <f>VLOOKUP($A19,debt!$A$1:$N$92,C$1,FALSE)</f>
        <v>2018</v>
      </c>
      <c r="D19" s="10">
        <f>VLOOKUP($A19,debt!$A$1:$N$92,D$1,FALSE)</f>
        <v>2017</v>
      </c>
      <c r="E19" s="10">
        <f>VLOOKUP($A19,debt!$A$1:$N$92,E$1,FALSE)</f>
        <v>2016</v>
      </c>
      <c r="F19" s="10">
        <f>VLOOKUP($A19,debt!$A$1:$N$92,F$1,FALSE)</f>
        <v>2015</v>
      </c>
      <c r="G19" s="10">
        <f>VLOOKUP($A19,debt!$A$1:$N$92,G$1,FALSE)</f>
        <v>2014</v>
      </c>
      <c r="H19" s="10">
        <f>VLOOKUP($A19,debt!$A$1:$N$92,H$1,FALSE)</f>
        <v>2013</v>
      </c>
      <c r="I19" s="10">
        <f>VLOOKUP($A19,debt!$A$1:$N$92,I$1,FALSE)</f>
        <v>2012</v>
      </c>
      <c r="J19" s="10">
        <f>VLOOKUP($A19,debt!$A$1:$N$92,J$1,FALSE)</f>
        <v>2011</v>
      </c>
      <c r="K19" s="10">
        <f>VLOOKUP($A19,debt!$A$1:$N$92,K$1,FALSE)</f>
        <v>2010</v>
      </c>
      <c r="L19" s="10">
        <f>VLOOKUP($A19,debt!$A$1:$N$92,L$1,FALSE)</f>
        <v>2009</v>
      </c>
      <c r="M19" s="10">
        <f>VLOOKUP($A19,debt!$A$1:$N$92,M$1,FALSE)</f>
        <v>2008</v>
      </c>
      <c r="N19" s="10">
        <f>VLOOKUP($A19,debt!$A$1:$N$92,N$1,FALSE)</f>
        <v>2007</v>
      </c>
      <c r="O19" s="10" t="e">
        <f>VLOOKUP($A19,debt!$A$1:$N$92,O$1,FALSE)</f>
        <v>#REF!</v>
      </c>
      <c r="P19" s="10" t="e">
        <f>VLOOKUP($A19,debt!$A$1:$N$92,P$1,FALSE)</f>
        <v>#REF!</v>
      </c>
      <c r="Q19" s="10" t="e">
        <f>VLOOKUP($A19,debt!$A$1:$N$92,Q$1,FALSE)</f>
        <v>#REF!</v>
      </c>
      <c r="R19" s="10" t="e">
        <f>VLOOKUP($A19,debt!$A$1:$N$92,R$1,FALSE)</f>
        <v>#REF!</v>
      </c>
      <c r="S19" s="10" t="e">
        <f>VLOOKUP($A19,debt!$A$1:$N$92,S$1,FALSE)</f>
        <v>#REF!</v>
      </c>
      <c r="T19" s="10" t="e">
        <f>VLOOKUP($A19,debt!$A$1:$N$92,T$1,FALSE)</f>
        <v>#REF!</v>
      </c>
      <c r="U19" s="10" t="e">
        <f>VLOOKUP($A19,debt!$A$1:$N$92,U$1,FALSE)</f>
        <v>#REF!</v>
      </c>
      <c r="V19" s="10" t="e">
        <f>VLOOKUP($A19,debt!$A$1:$N$92,V$1,FALSE)</f>
        <v>#REF!</v>
      </c>
      <c r="W19" s="10" t="e">
        <f>VLOOKUP($A19,debt!$A$1:$N$92,W$1,FALSE)</f>
        <v>#REF!</v>
      </c>
      <c r="X19" s="10" t="e">
        <f>VLOOKUP($A19,debt!$A$1:$N$92,X$1,FALSE)</f>
        <v>#REF!</v>
      </c>
      <c r="Y19" s="10" t="e">
        <f>VLOOKUP($A19,debt!$A$1:$N$92,Y$1,FALSE)</f>
        <v>#REF!</v>
      </c>
      <c r="Z19" s="10" t="e">
        <f>VLOOKUP($A19,debt!$A$1:$N$92,Z$1,FALSE)</f>
        <v>#REF!</v>
      </c>
      <c r="AA19" s="10" t="e">
        <f>VLOOKUP($A19,debt!$A$1:$N$92,AA$1,FALSE)</f>
        <v>#REF!</v>
      </c>
      <c r="AB19" s="10" t="e">
        <f>VLOOKUP($A19,debt!$A$1:$N$92,AB$1,FALSE)</f>
        <v>#REF!</v>
      </c>
      <c r="AC19" s="10" t="e">
        <f>VLOOKUP($A19,debt!$A$1:$N$92,AC$1,FALSE)</f>
        <v>#REF!</v>
      </c>
      <c r="AD19" s="10" t="e">
        <f>VLOOKUP($A19,debt!$A$1:$N$92,AD$1,FALSE)</f>
        <v>#REF!</v>
      </c>
    </row>
    <row r="20" spans="1:30" x14ac:dyDescent="0.25">
      <c r="A20" s="3" t="s">
        <v>23</v>
      </c>
      <c r="B20" s="11">
        <f>VLOOKUP($A20,debt!$A$1:$N$92,B$1,FALSE)</f>
        <v>132.51817199999999</v>
      </c>
      <c r="C20" s="11">
        <f>VLOOKUP($A20,debt!$A$1:$N$92,C$1,FALSE)</f>
        <v>1120.747914</v>
      </c>
      <c r="D20" s="11">
        <f>VLOOKUP($A20,debt!$A$1:$N$92,D$1,FALSE)</f>
        <v>878.68869900000004</v>
      </c>
      <c r="E20" s="11">
        <f>VLOOKUP($A20,debt!$A$1:$N$92,E$1,FALSE)</f>
        <v>668.549621</v>
      </c>
      <c r="F20" s="11">
        <f>VLOOKUP($A20,debt!$A$1:$N$92,F$1,FALSE)</f>
        <v>368.007499</v>
      </c>
      <c r="G20" s="11">
        <f>VLOOKUP($A20,debt!$A$1:$N$92,G$1,FALSE)</f>
        <v>277.10717699999998</v>
      </c>
      <c r="H20" s="11">
        <f>VLOOKUP($A20,debt!$A$1:$N$92,H$1,FALSE)</f>
        <v>251.85009299999999</v>
      </c>
      <c r="I20" s="11">
        <f>VLOOKUP($A20,debt!$A$1:$N$92,I$1,FALSE)</f>
        <v>220.61999900000001</v>
      </c>
      <c r="J20" s="11">
        <f>VLOOKUP($A20,debt!$A$1:$N$92,J$1,FALSE)</f>
        <v>182.54690199999999</v>
      </c>
      <c r="K20" s="11">
        <f>VLOOKUP($A20,debt!$A$1:$N$92,K$1,FALSE)</f>
        <v>128.883939</v>
      </c>
      <c r="L20" s="11">
        <f>VLOOKUP($A20,debt!$A$1:$N$92,L$1,FALSE)</f>
        <v>97.431522000000001</v>
      </c>
      <c r="M20" s="11">
        <f>VLOOKUP($A20,debt!$A$1:$N$92,M$1,FALSE)</f>
        <v>80.937218999999999</v>
      </c>
      <c r="N20" s="11">
        <f>VLOOKUP($A20,debt!$A$1:$N$92,N$1,FALSE)</f>
        <v>47.227063000000001</v>
      </c>
      <c r="O20" s="11" t="e">
        <f>VLOOKUP($A20,debt!$A$1:$N$92,O$1,FALSE)</f>
        <v>#REF!</v>
      </c>
      <c r="P20" s="11" t="e">
        <f>VLOOKUP($A20,debt!$A$1:$N$92,P$1,FALSE)</f>
        <v>#REF!</v>
      </c>
      <c r="Q20" s="11" t="e">
        <f>VLOOKUP($A20,debt!$A$1:$N$92,Q$1,FALSE)</f>
        <v>#REF!</v>
      </c>
      <c r="R20" s="11" t="e">
        <f>VLOOKUP($A20,debt!$A$1:$N$92,R$1,FALSE)</f>
        <v>#REF!</v>
      </c>
      <c r="S20" s="11" t="e">
        <f>VLOOKUP($A20,debt!$A$1:$N$92,S$1,FALSE)</f>
        <v>#REF!</v>
      </c>
      <c r="T20" s="11" t="e">
        <f>VLOOKUP($A20,debt!$A$1:$N$92,T$1,FALSE)</f>
        <v>#REF!</v>
      </c>
      <c r="U20" s="11" t="e">
        <f>VLOOKUP($A20,debt!$A$1:$N$92,U$1,FALSE)</f>
        <v>#REF!</v>
      </c>
      <c r="V20" s="11" t="e">
        <f>VLOOKUP($A20,debt!$A$1:$N$92,V$1,FALSE)</f>
        <v>#REF!</v>
      </c>
      <c r="W20" s="11" t="e">
        <f>VLOOKUP($A20,debt!$A$1:$N$92,W$1,FALSE)</f>
        <v>#REF!</v>
      </c>
      <c r="X20" s="11" t="e">
        <f>VLOOKUP($A20,debt!$A$1:$N$92,X$1,FALSE)</f>
        <v>#REF!</v>
      </c>
      <c r="Y20" s="11" t="e">
        <f>VLOOKUP($A20,debt!$A$1:$N$92,Y$1,FALSE)</f>
        <v>#REF!</v>
      </c>
      <c r="Z20" s="11" t="e">
        <f>VLOOKUP($A20,debt!$A$1:$N$92,Z$1,FALSE)</f>
        <v>#REF!</v>
      </c>
      <c r="AA20" s="11" t="e">
        <f>VLOOKUP($A20,debt!$A$1:$N$92,AA$1,FALSE)</f>
        <v>#REF!</v>
      </c>
      <c r="AB20" s="11" t="e">
        <f>VLOOKUP($A20,debt!$A$1:$N$92,AB$1,FALSE)</f>
        <v>#REF!</v>
      </c>
      <c r="AC20" s="11" t="e">
        <f>VLOOKUP($A20,debt!$A$1:$N$92,AC$1,FALSE)</f>
        <v>#REF!</v>
      </c>
      <c r="AD20" s="11" t="e">
        <f>VLOOKUP($A20,debt!$A$1:$N$92,AD$1,FALSE)</f>
        <v>#REF!</v>
      </c>
    </row>
    <row r="21" spans="1:30" x14ac:dyDescent="0.25">
      <c r="A21" s="3" t="s">
        <v>24</v>
      </c>
      <c r="B21" s="11">
        <f>VLOOKUP($A21,debt!$A$1:$N$92,B$1,FALSE)</f>
        <v>1590.2447199999999</v>
      </c>
      <c r="C21" s="11">
        <f>VLOOKUP($A21,debt!$A$1:$N$92,C$1,FALSE)</f>
        <v>1378.6183530000001</v>
      </c>
      <c r="D21" s="11">
        <f>VLOOKUP($A21,debt!$A$1:$N$92,D$1,FALSE)</f>
        <v>1122.4918600000001</v>
      </c>
      <c r="E21" s="11">
        <f>VLOOKUP($A21,debt!$A$1:$N$92,E$1,FALSE)</f>
        <v>901.80548799999997</v>
      </c>
      <c r="F21" s="11">
        <f>VLOOKUP($A21,debt!$A$1:$N$92,F$1,FALSE)</f>
        <v>650.04513999999995</v>
      </c>
      <c r="G21" s="11">
        <f>VLOOKUP($A21,debt!$A$1:$N$92,G$1,FALSE)</f>
        <v>475.70929100000001</v>
      </c>
      <c r="H21" s="11">
        <f>VLOOKUP($A21,debt!$A$1:$N$92,H$1,FALSE)</f>
        <v>419.315834</v>
      </c>
      <c r="I21" s="11">
        <f>VLOOKUP($A21,debt!$A$1:$N$92,I$1,FALSE)</f>
        <v>362.250766</v>
      </c>
      <c r="J21" s="11">
        <f>VLOOKUP($A21,debt!$A$1:$N$92,J$1,FALSE)</f>
        <v>278.29632199999998</v>
      </c>
      <c r="K21" s="11">
        <f>VLOOKUP($A21,debt!$A$1:$N$92,K$1,FALSE)</f>
        <v>203.002848</v>
      </c>
      <c r="L21" s="11">
        <f>VLOOKUP($A21,debt!$A$1:$N$92,L$1,FALSE)</f>
        <v>156.55585400000001</v>
      </c>
      <c r="M21" s="11">
        <f>VLOOKUP($A21,debt!$A$1:$N$92,M$1,FALSE)</f>
        <v>122.407509</v>
      </c>
      <c r="N21" s="11">
        <f>VLOOKUP($A21,debt!$A$1:$N$92,N$1,FALSE)</f>
        <v>79.044396000000006</v>
      </c>
      <c r="O21" s="11" t="e">
        <f>VLOOKUP($A21,debt!$A$1:$N$92,O$1,FALSE)</f>
        <v>#REF!</v>
      </c>
      <c r="P21" s="11" t="e">
        <f>VLOOKUP($A21,debt!$A$1:$N$92,P$1,FALSE)</f>
        <v>#REF!</v>
      </c>
      <c r="Q21" s="11" t="e">
        <f>VLOOKUP($A21,debt!$A$1:$N$92,Q$1,FALSE)</f>
        <v>#REF!</v>
      </c>
      <c r="R21" s="11" t="e">
        <f>VLOOKUP($A21,debt!$A$1:$N$92,R$1,FALSE)</f>
        <v>#REF!</v>
      </c>
      <c r="S21" s="11" t="e">
        <f>VLOOKUP($A21,debt!$A$1:$N$92,S$1,FALSE)</f>
        <v>#REF!</v>
      </c>
      <c r="T21" s="11" t="e">
        <f>VLOOKUP($A21,debt!$A$1:$N$92,T$1,FALSE)</f>
        <v>#REF!</v>
      </c>
      <c r="U21" s="11" t="e">
        <f>VLOOKUP($A21,debt!$A$1:$N$92,U$1,FALSE)</f>
        <v>#REF!</v>
      </c>
      <c r="V21" s="11" t="e">
        <f>VLOOKUP($A21,debt!$A$1:$N$92,V$1,FALSE)</f>
        <v>#REF!</v>
      </c>
      <c r="W21" s="11" t="e">
        <f>VLOOKUP($A21,debt!$A$1:$N$92,W$1,FALSE)</f>
        <v>#REF!</v>
      </c>
      <c r="X21" s="11" t="e">
        <f>VLOOKUP($A21,debt!$A$1:$N$92,X$1,FALSE)</f>
        <v>#REF!</v>
      </c>
      <c r="Y21" s="11" t="e">
        <f>VLOOKUP($A21,debt!$A$1:$N$92,Y$1,FALSE)</f>
        <v>#REF!</v>
      </c>
      <c r="Z21" s="11" t="e">
        <f>VLOOKUP($A21,debt!$A$1:$N$92,Z$1,FALSE)</f>
        <v>#REF!</v>
      </c>
      <c r="AA21" s="11" t="e">
        <f>VLOOKUP($A21,debt!$A$1:$N$92,AA$1,FALSE)</f>
        <v>#REF!</v>
      </c>
      <c r="AB21" s="11" t="e">
        <f>VLOOKUP($A21,debt!$A$1:$N$92,AB$1,FALSE)</f>
        <v>#REF!</v>
      </c>
      <c r="AC21" s="11" t="e">
        <f>VLOOKUP($A21,debt!$A$1:$N$92,AC$1,FALSE)</f>
        <v>#REF!</v>
      </c>
      <c r="AD21" s="11" t="e">
        <f>VLOOKUP($A21,debt!$A$1:$N$92,AD$1,FALSE)</f>
        <v>#REF!</v>
      </c>
    </row>
    <row r="22" spans="1:30" x14ac:dyDescent="0.25">
      <c r="A22" s="3" t="s">
        <v>25</v>
      </c>
      <c r="B22" s="11">
        <f>VLOOKUP($A22,debt!$A$1:$N$92,B$1,FALSE)</f>
        <v>151.44182699999999</v>
      </c>
      <c r="C22" s="11">
        <f>VLOOKUP($A22,debt!$A$1:$N$92,C$1,FALSE)</f>
        <v>152.48556600000001</v>
      </c>
      <c r="D22" s="11">
        <f>VLOOKUP($A22,debt!$A$1:$N$92,D$1,FALSE)</f>
        <v>152.440966</v>
      </c>
      <c r="E22" s="11">
        <f>VLOOKUP($A22,debt!$A$1:$N$92,E$1,FALSE)</f>
        <v>144.53177400000001</v>
      </c>
      <c r="F22" s="11">
        <f>VLOOKUP($A22,debt!$A$1:$N$92,F$1,FALSE)</f>
        <v>114.166358</v>
      </c>
      <c r="G22" s="11">
        <f>VLOOKUP($A22,debt!$A$1:$N$92,G$1,FALSE)</f>
        <v>103.757578</v>
      </c>
      <c r="H22" s="11">
        <f>VLOOKUP($A22,debt!$A$1:$N$92,H$1,FALSE)</f>
        <v>85.232569999999996</v>
      </c>
      <c r="I22" s="11">
        <f>VLOOKUP($A22,debt!$A$1:$N$92,I$1,FALSE)</f>
        <v>68.073331999999994</v>
      </c>
      <c r="J22" s="11">
        <f>VLOOKUP($A22,debt!$A$1:$N$92,J$1,FALSE)</f>
        <v>54.260123</v>
      </c>
      <c r="K22" s="11">
        <f>VLOOKUP($A22,debt!$A$1:$N$92,K$1,FALSE)</f>
        <v>41.918511000000002</v>
      </c>
      <c r="L22" s="11">
        <f>VLOOKUP($A22,debt!$A$1:$N$92,L$1,FALSE)</f>
        <v>31.687252000000001</v>
      </c>
      <c r="M22" s="11">
        <f>VLOOKUP($A22,debt!$A$1:$N$92,M$1,FALSE)</f>
        <v>21.901719</v>
      </c>
      <c r="N22" s="11">
        <f>VLOOKUP($A22,debt!$A$1:$N$92,N$1,FALSE)</f>
        <v>18.269833999999999</v>
      </c>
      <c r="O22" s="11" t="e">
        <f>VLOOKUP($A22,debt!$A$1:$N$92,O$1,FALSE)</f>
        <v>#REF!</v>
      </c>
      <c r="P22" s="11" t="e">
        <f>VLOOKUP($A22,debt!$A$1:$N$92,P$1,FALSE)</f>
        <v>#REF!</v>
      </c>
      <c r="Q22" s="11" t="e">
        <f>VLOOKUP($A22,debt!$A$1:$N$92,Q$1,FALSE)</f>
        <v>#REF!</v>
      </c>
      <c r="R22" s="11" t="e">
        <f>VLOOKUP($A22,debt!$A$1:$N$92,R$1,FALSE)</f>
        <v>#REF!</v>
      </c>
      <c r="S22" s="11" t="e">
        <f>VLOOKUP($A22,debt!$A$1:$N$92,S$1,FALSE)</f>
        <v>#REF!</v>
      </c>
      <c r="T22" s="11" t="e">
        <f>VLOOKUP($A22,debt!$A$1:$N$92,T$1,FALSE)</f>
        <v>#REF!</v>
      </c>
      <c r="U22" s="11" t="e">
        <f>VLOOKUP($A22,debt!$A$1:$N$92,U$1,FALSE)</f>
        <v>#REF!</v>
      </c>
      <c r="V22" s="11" t="e">
        <f>VLOOKUP($A22,debt!$A$1:$N$92,V$1,FALSE)</f>
        <v>#REF!</v>
      </c>
      <c r="W22" s="11" t="e">
        <f>VLOOKUP($A22,debt!$A$1:$N$92,W$1,FALSE)</f>
        <v>#REF!</v>
      </c>
      <c r="X22" s="11" t="e">
        <f>VLOOKUP($A22,debt!$A$1:$N$92,X$1,FALSE)</f>
        <v>#REF!</v>
      </c>
      <c r="Y22" s="11" t="e">
        <f>VLOOKUP($A22,debt!$A$1:$N$92,Y$1,FALSE)</f>
        <v>#REF!</v>
      </c>
      <c r="Z22" s="11" t="e">
        <f>VLOOKUP($A22,debt!$A$1:$N$92,Z$1,FALSE)</f>
        <v>#REF!</v>
      </c>
      <c r="AA22" s="11" t="e">
        <f>VLOOKUP($A22,debt!$A$1:$N$92,AA$1,FALSE)</f>
        <v>#REF!</v>
      </c>
      <c r="AB22" s="11" t="e">
        <f>VLOOKUP($A22,debt!$A$1:$N$92,AB$1,FALSE)</f>
        <v>#REF!</v>
      </c>
      <c r="AC22" s="11" t="e">
        <f>VLOOKUP($A22,debt!$A$1:$N$92,AC$1,FALSE)</f>
        <v>#REF!</v>
      </c>
      <c r="AD22" s="11" t="e">
        <f>VLOOKUP($A22,debt!$A$1:$N$92,AD$1,FALSE)</f>
        <v>#REF!</v>
      </c>
    </row>
    <row r="23" spans="1:30" x14ac:dyDescent="0.25">
      <c r="A23" s="3" t="s">
        <v>26</v>
      </c>
      <c r="B23" s="11">
        <f>VLOOKUP($A23,debt!$A$1:$N$92,B$1,FALSE)</f>
        <v>240.179</v>
      </c>
      <c r="C23" s="11">
        <f>VLOOKUP($A23,debt!$A$1:$N$92,C$1,FALSE)</f>
        <v>219.84839400000001</v>
      </c>
      <c r="D23" s="11">
        <f>VLOOKUP($A23,debt!$A$1:$N$92,D$1,FALSE)</f>
        <v>223.609309</v>
      </c>
      <c r="E23" s="11">
        <f>VLOOKUP($A23,debt!$A$1:$N$92,E$1,FALSE)</f>
        <v>227.539895</v>
      </c>
      <c r="F23" s="11">
        <f>VLOOKUP($A23,debt!$A$1:$N$92,F$1,FALSE)</f>
        <v>212.969494</v>
      </c>
      <c r="G23" s="11">
        <f>VLOOKUP($A23,debt!$A$1:$N$92,G$1,FALSE)</f>
        <v>183.02236199999999</v>
      </c>
      <c r="H23" s="11">
        <f>VLOOKUP($A23,debt!$A$1:$N$92,H$1,FALSE)</f>
        <v>135.225672</v>
      </c>
      <c r="I23" s="11">
        <f>VLOOKUP($A23,debt!$A$1:$N$92,I$1,FALSE)</f>
        <v>87.731323000000003</v>
      </c>
      <c r="J23" s="11">
        <f>VLOOKUP($A23,debt!$A$1:$N$92,J$1,FALSE)</f>
        <v>70.712367999999998</v>
      </c>
      <c r="K23" s="11">
        <f>VLOOKUP($A23,debt!$A$1:$N$92,K$1,FALSE)</f>
        <v>52.872951</v>
      </c>
      <c r="L23" s="11">
        <f>VLOOKUP($A23,debt!$A$1:$N$92,L$1,FALSE)</f>
        <v>41.140377999999998</v>
      </c>
      <c r="M23" s="11">
        <f>VLOOKUP($A23,debt!$A$1:$N$92,M$1,FALSE)</f>
        <v>35.134369999999997</v>
      </c>
      <c r="N23" s="11">
        <f>VLOOKUP($A23,debt!$A$1:$N$92,N$1,FALSE)</f>
        <v>25.770322</v>
      </c>
      <c r="O23" s="11" t="e">
        <f>VLOOKUP($A23,debt!$A$1:$N$92,O$1,FALSE)</f>
        <v>#REF!</v>
      </c>
      <c r="P23" s="11" t="e">
        <f>VLOOKUP($A23,debt!$A$1:$N$92,P$1,FALSE)</f>
        <v>#REF!</v>
      </c>
      <c r="Q23" s="11" t="e">
        <f>VLOOKUP($A23,debt!$A$1:$N$92,Q$1,FALSE)</f>
        <v>#REF!</v>
      </c>
      <c r="R23" s="11" t="e">
        <f>VLOOKUP($A23,debt!$A$1:$N$92,R$1,FALSE)</f>
        <v>#REF!</v>
      </c>
      <c r="S23" s="11" t="e">
        <f>VLOOKUP($A23,debt!$A$1:$N$92,S$1,FALSE)</f>
        <v>#REF!</v>
      </c>
      <c r="T23" s="11" t="e">
        <f>VLOOKUP($A23,debt!$A$1:$N$92,T$1,FALSE)</f>
        <v>#REF!</v>
      </c>
      <c r="U23" s="11" t="e">
        <f>VLOOKUP($A23,debt!$A$1:$N$92,U$1,FALSE)</f>
        <v>#REF!</v>
      </c>
      <c r="V23" s="11" t="e">
        <f>VLOOKUP($A23,debt!$A$1:$N$92,V$1,FALSE)</f>
        <v>#REF!</v>
      </c>
      <c r="W23" s="11" t="e">
        <f>VLOOKUP($A23,debt!$A$1:$N$92,W$1,FALSE)</f>
        <v>#REF!</v>
      </c>
      <c r="X23" s="11" t="e">
        <f>VLOOKUP($A23,debt!$A$1:$N$92,X$1,FALSE)</f>
        <v>#REF!</v>
      </c>
      <c r="Y23" s="11" t="e">
        <f>VLOOKUP($A23,debt!$A$1:$N$92,Y$1,FALSE)</f>
        <v>#REF!</v>
      </c>
      <c r="Z23" s="11" t="e">
        <f>VLOOKUP($A23,debt!$A$1:$N$92,Z$1,FALSE)</f>
        <v>#REF!</v>
      </c>
      <c r="AA23" s="11" t="e">
        <f>VLOOKUP($A23,debt!$A$1:$N$92,AA$1,FALSE)</f>
        <v>#REF!</v>
      </c>
      <c r="AB23" s="11" t="e">
        <f>VLOOKUP($A23,debt!$A$1:$N$92,AB$1,FALSE)</f>
        <v>#REF!</v>
      </c>
      <c r="AC23" s="11" t="e">
        <f>VLOOKUP($A23,debt!$A$1:$N$92,AC$1,FALSE)</f>
        <v>#REF!</v>
      </c>
      <c r="AD23" s="11" t="e">
        <f>VLOOKUP($A23,debt!$A$1:$N$92,AD$1,FALSE)</f>
        <v>#REF!</v>
      </c>
    </row>
    <row r="24" spans="1:30" x14ac:dyDescent="0.25">
      <c r="A24" s="3" t="s">
        <v>27</v>
      </c>
      <c r="B24" s="11">
        <f>VLOOKUP($A24,debt!$A$1:$N$92,B$1,FALSE)</f>
        <v>1830.42372</v>
      </c>
      <c r="C24" s="11">
        <f>VLOOKUP($A24,debt!$A$1:$N$92,C$1,FALSE)</f>
        <v>1598.4667469999999</v>
      </c>
      <c r="D24" s="11">
        <f>VLOOKUP($A24,debt!$A$1:$N$92,D$1,FALSE)</f>
        <v>1346.101169</v>
      </c>
      <c r="E24" s="11">
        <f>VLOOKUP($A24,debt!$A$1:$N$92,E$1,FALSE)</f>
        <v>1129.3453830000001</v>
      </c>
      <c r="F24" s="11">
        <f>VLOOKUP($A24,debt!$A$1:$N$92,F$1,FALSE)</f>
        <v>863.014634</v>
      </c>
      <c r="G24" s="11">
        <f>VLOOKUP($A24,debt!$A$1:$N$92,G$1,FALSE)</f>
        <v>658.73165200000005</v>
      </c>
      <c r="H24" s="11">
        <f>VLOOKUP($A24,debt!$A$1:$N$92,H$1,FALSE)</f>
        <v>554.54150700000002</v>
      </c>
      <c r="I24" s="11">
        <f>VLOOKUP($A24,debt!$A$1:$N$92,I$1,FALSE)</f>
        <v>449.98209000000003</v>
      </c>
      <c r="J24" s="11">
        <f>VLOOKUP($A24,debt!$A$1:$N$92,J$1,FALSE)</f>
        <v>349.00869</v>
      </c>
      <c r="K24" s="11">
        <f>VLOOKUP($A24,debt!$A$1:$N$92,K$1,FALSE)</f>
        <v>255.875799</v>
      </c>
      <c r="L24" s="11">
        <f>VLOOKUP($A24,debt!$A$1:$N$92,L$1,FALSE)</f>
        <v>197.69623100000001</v>
      </c>
      <c r="M24" s="11">
        <f>VLOOKUP($A24,debt!$A$1:$N$92,M$1,FALSE)</f>
        <v>157.541878</v>
      </c>
      <c r="N24" s="11">
        <f>VLOOKUP($A24,debt!$A$1:$N$92,N$1,FALSE)</f>
        <v>104.814718</v>
      </c>
      <c r="O24" s="11" t="e">
        <f>VLOOKUP($A24,debt!$A$1:$N$92,O$1,FALSE)</f>
        <v>#REF!</v>
      </c>
      <c r="P24" s="11" t="e">
        <f>VLOOKUP($A24,debt!$A$1:$N$92,P$1,FALSE)</f>
        <v>#REF!</v>
      </c>
      <c r="Q24" s="11" t="e">
        <f>VLOOKUP($A24,debt!$A$1:$N$92,Q$1,FALSE)</f>
        <v>#REF!</v>
      </c>
      <c r="R24" s="11" t="e">
        <f>VLOOKUP($A24,debt!$A$1:$N$92,R$1,FALSE)</f>
        <v>#REF!</v>
      </c>
      <c r="S24" s="11" t="e">
        <f>VLOOKUP($A24,debt!$A$1:$N$92,S$1,FALSE)</f>
        <v>#REF!</v>
      </c>
      <c r="T24" s="11" t="e">
        <f>VLOOKUP($A24,debt!$A$1:$N$92,T$1,FALSE)</f>
        <v>#REF!</v>
      </c>
      <c r="U24" s="11" t="e">
        <f>VLOOKUP($A24,debt!$A$1:$N$92,U$1,FALSE)</f>
        <v>#REF!</v>
      </c>
      <c r="V24" s="11" t="e">
        <f>VLOOKUP($A24,debt!$A$1:$N$92,V$1,FALSE)</f>
        <v>#REF!</v>
      </c>
      <c r="W24" s="11" t="e">
        <f>VLOOKUP($A24,debt!$A$1:$N$92,W$1,FALSE)</f>
        <v>#REF!</v>
      </c>
      <c r="X24" s="11" t="e">
        <f>VLOOKUP($A24,debt!$A$1:$N$92,X$1,FALSE)</f>
        <v>#REF!</v>
      </c>
      <c r="Y24" s="11" t="e">
        <f>VLOOKUP($A24,debt!$A$1:$N$92,Y$1,FALSE)</f>
        <v>#REF!</v>
      </c>
      <c r="Z24" s="11" t="e">
        <f>VLOOKUP($A24,debt!$A$1:$N$92,Z$1,FALSE)</f>
        <v>#REF!</v>
      </c>
      <c r="AA24" s="11" t="e">
        <f>VLOOKUP($A24,debt!$A$1:$N$92,AA$1,FALSE)</f>
        <v>#REF!</v>
      </c>
      <c r="AB24" s="11" t="e">
        <f>VLOOKUP($A24,debt!$A$1:$N$92,AB$1,FALSE)</f>
        <v>#REF!</v>
      </c>
      <c r="AC24" s="11" t="e">
        <f>VLOOKUP($A24,debt!$A$1:$N$92,AC$1,FALSE)</f>
        <v>#REF!</v>
      </c>
      <c r="AD24" s="11" t="e">
        <f>VLOOKUP($A24,debt!$A$1:$N$92,AD$1,FALSE)</f>
        <v>#REF!</v>
      </c>
    </row>
    <row r="25" spans="1:30" x14ac:dyDescent="0.25">
      <c r="A25" s="3" t="s">
        <v>28</v>
      </c>
      <c r="B25" s="11">
        <f>VLOOKUP($A25,debt!$A$1:$N$92,B$1,FALSE)</f>
        <v>410.93299200000001</v>
      </c>
      <c r="C25" s="11">
        <f>VLOOKUP($A25,debt!$A$1:$N$92,C$1,FALSE)</f>
        <v>424.381868</v>
      </c>
      <c r="D25" s="11">
        <f>VLOOKUP($A25,debt!$A$1:$N$92,D$1,FALSE)</f>
        <v>385.74919399999999</v>
      </c>
      <c r="E25" s="11">
        <f>VLOOKUP($A25,debt!$A$1:$N$92,E$1,FALSE)</f>
        <v>370.20425399999999</v>
      </c>
      <c r="F25" s="11">
        <f>VLOOKUP($A25,debt!$A$1:$N$92,F$1,FALSE)</f>
        <v>200.51723000000001</v>
      </c>
      <c r="G25" s="11">
        <f>VLOOKUP($A25,debt!$A$1:$N$92,G$1,FALSE)</f>
        <v>105.438444</v>
      </c>
      <c r="H25" s="11">
        <f>VLOOKUP($A25,debt!$A$1:$N$92,H$1,FALSE)</f>
        <v>113.072884</v>
      </c>
      <c r="I25" s="11">
        <f>VLOOKUP($A25,debt!$A$1:$N$92,I$1,FALSE)</f>
        <v>95.264026000000001</v>
      </c>
      <c r="J25" s="11">
        <f>VLOOKUP($A25,debt!$A$1:$N$92,J$1,FALSE)</f>
        <v>94.807193999999996</v>
      </c>
      <c r="K25" s="11">
        <f>VLOOKUP($A25,debt!$A$1:$N$92,K$1,FALSE)</f>
        <v>70.281902000000002</v>
      </c>
      <c r="L25" s="11">
        <f>VLOOKUP($A25,debt!$A$1:$N$92,L$1,FALSE)</f>
        <v>51.080578000000003</v>
      </c>
      <c r="M25" s="11">
        <f>VLOOKUP($A25,debt!$A$1:$N$92,M$1,FALSE)</f>
        <v>42.507694999999998</v>
      </c>
      <c r="N25" s="11">
        <f>VLOOKUP($A25,debt!$A$1:$N$92,N$1,FALSE)</f>
        <v>21.126161</v>
      </c>
      <c r="O25" s="11" t="e">
        <f>VLOOKUP($A25,debt!$A$1:$N$92,O$1,FALSE)</f>
        <v>#REF!</v>
      </c>
      <c r="P25" s="11" t="e">
        <f>VLOOKUP($A25,debt!$A$1:$N$92,P$1,FALSE)</f>
        <v>#REF!</v>
      </c>
      <c r="Q25" s="11" t="e">
        <f>VLOOKUP($A25,debt!$A$1:$N$92,Q$1,FALSE)</f>
        <v>#REF!</v>
      </c>
      <c r="R25" s="11" t="e">
        <f>VLOOKUP($A25,debt!$A$1:$N$92,R$1,FALSE)</f>
        <v>#REF!</v>
      </c>
      <c r="S25" s="11" t="e">
        <f>VLOOKUP($A25,debt!$A$1:$N$92,S$1,FALSE)</f>
        <v>#REF!</v>
      </c>
      <c r="T25" s="11" t="e">
        <f>VLOOKUP($A25,debt!$A$1:$N$92,T$1,FALSE)</f>
        <v>#REF!</v>
      </c>
      <c r="U25" s="11" t="e">
        <f>VLOOKUP($A25,debt!$A$1:$N$92,U$1,FALSE)</f>
        <v>#REF!</v>
      </c>
      <c r="V25" s="11" t="e">
        <f>VLOOKUP($A25,debt!$A$1:$N$92,V$1,FALSE)</f>
        <v>#REF!</v>
      </c>
      <c r="W25" s="11" t="e">
        <f>VLOOKUP($A25,debt!$A$1:$N$92,W$1,FALSE)</f>
        <v>#REF!</v>
      </c>
      <c r="X25" s="11" t="e">
        <f>VLOOKUP($A25,debt!$A$1:$N$92,X$1,FALSE)</f>
        <v>#REF!</v>
      </c>
      <c r="Y25" s="11" t="e">
        <f>VLOOKUP($A25,debt!$A$1:$N$92,Y$1,FALSE)</f>
        <v>#REF!</v>
      </c>
      <c r="Z25" s="11" t="e">
        <f>VLOOKUP($A25,debt!$A$1:$N$92,Z$1,FALSE)</f>
        <v>#REF!</v>
      </c>
      <c r="AA25" s="11" t="e">
        <f>VLOOKUP($A25,debt!$A$1:$N$92,AA$1,FALSE)</f>
        <v>#REF!</v>
      </c>
      <c r="AB25" s="11" t="e">
        <f>VLOOKUP($A25,debt!$A$1:$N$92,AB$1,FALSE)</f>
        <v>#REF!</v>
      </c>
      <c r="AC25" s="11" t="e">
        <f>VLOOKUP($A25,debt!$A$1:$N$92,AC$1,FALSE)</f>
        <v>#REF!</v>
      </c>
      <c r="AD25" s="11" t="e">
        <f>VLOOKUP($A25,debt!$A$1:$N$92,AD$1,FALSE)</f>
        <v>#REF!</v>
      </c>
    </row>
    <row r="26" spans="1:30" x14ac:dyDescent="0.25">
      <c r="A26" s="3" t="s">
        <v>29</v>
      </c>
      <c r="B26" s="11">
        <f>VLOOKUP($A26,debt!$A$1:$N$92,B$1,FALSE)</f>
        <v>0.72692599999999996</v>
      </c>
      <c r="C26" s="11" t="str">
        <f>VLOOKUP($A26,debt!$A$1:$N$92,C$1,FALSE)</f>
        <v>--</v>
      </c>
      <c r="D26" s="11">
        <f>VLOOKUP($A26,debt!$A$1:$N$92,D$1,FALSE)</f>
        <v>0.15570000000000001</v>
      </c>
      <c r="E26" s="11">
        <f>VLOOKUP($A26,debt!$A$1:$N$92,E$1,FALSE)</f>
        <v>0.15570000000000001</v>
      </c>
      <c r="F26" s="11">
        <f>VLOOKUP($A26,debt!$A$1:$N$92,F$1,FALSE)</f>
        <v>0.15570000000000001</v>
      </c>
      <c r="G26" s="11">
        <f>VLOOKUP($A26,debt!$A$1:$N$92,G$1,FALSE)</f>
        <v>0.1777</v>
      </c>
      <c r="H26" s="11">
        <f>VLOOKUP($A26,debt!$A$1:$N$92,H$1,FALSE)</f>
        <v>0.1777</v>
      </c>
      <c r="I26" s="11">
        <f>VLOOKUP($A26,debt!$A$1:$N$92,I$1,FALSE)</f>
        <v>0.1777</v>
      </c>
      <c r="J26" s="11">
        <f>VLOOKUP($A26,debt!$A$1:$N$92,J$1,FALSE)</f>
        <v>0.16769999999999999</v>
      </c>
      <c r="K26" s="11">
        <f>VLOOKUP($A26,debt!$A$1:$N$92,K$1,FALSE)</f>
        <v>0.1</v>
      </c>
      <c r="L26" s="11">
        <f>VLOOKUP($A26,debt!$A$1:$N$92,L$1,FALSE)</f>
        <v>0.1</v>
      </c>
      <c r="M26" s="11" t="str">
        <f>VLOOKUP($A26,debt!$A$1:$N$92,M$1,FALSE)</f>
        <v>--</v>
      </c>
      <c r="N26" s="11" t="str">
        <f>VLOOKUP($A26,debt!$A$1:$N$92,N$1,FALSE)</f>
        <v>--</v>
      </c>
      <c r="O26" s="11" t="e">
        <f>VLOOKUP($A26,debt!$A$1:$N$92,O$1,FALSE)</f>
        <v>#REF!</v>
      </c>
      <c r="P26" s="11" t="e">
        <f>VLOOKUP($A26,debt!$A$1:$N$92,P$1,FALSE)</f>
        <v>#REF!</v>
      </c>
      <c r="Q26" s="11" t="e">
        <f>VLOOKUP($A26,debt!$A$1:$N$92,Q$1,FALSE)</f>
        <v>#REF!</v>
      </c>
      <c r="R26" s="11" t="e">
        <f>VLOOKUP($A26,debt!$A$1:$N$92,R$1,FALSE)</f>
        <v>#REF!</v>
      </c>
      <c r="S26" s="11" t="e">
        <f>VLOOKUP($A26,debt!$A$1:$N$92,S$1,FALSE)</f>
        <v>#REF!</v>
      </c>
      <c r="T26" s="11" t="e">
        <f>VLOOKUP($A26,debt!$A$1:$N$92,T$1,FALSE)</f>
        <v>#REF!</v>
      </c>
      <c r="U26" s="11" t="e">
        <f>VLOOKUP($A26,debt!$A$1:$N$92,U$1,FALSE)</f>
        <v>#REF!</v>
      </c>
      <c r="V26" s="11" t="e">
        <f>VLOOKUP($A26,debt!$A$1:$N$92,V$1,FALSE)</f>
        <v>#REF!</v>
      </c>
      <c r="W26" s="11" t="e">
        <f>VLOOKUP($A26,debt!$A$1:$N$92,W$1,FALSE)</f>
        <v>#REF!</v>
      </c>
      <c r="X26" s="11" t="e">
        <f>VLOOKUP($A26,debt!$A$1:$N$92,X$1,FALSE)</f>
        <v>#REF!</v>
      </c>
      <c r="Y26" s="11" t="e">
        <f>VLOOKUP($A26,debt!$A$1:$N$92,Y$1,FALSE)</f>
        <v>#REF!</v>
      </c>
      <c r="Z26" s="11" t="e">
        <f>VLOOKUP($A26,debt!$A$1:$N$92,Z$1,FALSE)</f>
        <v>#REF!</v>
      </c>
      <c r="AA26" s="11" t="e">
        <f>VLOOKUP($A26,debt!$A$1:$N$92,AA$1,FALSE)</f>
        <v>#REF!</v>
      </c>
      <c r="AB26" s="11" t="e">
        <f>VLOOKUP($A26,debt!$A$1:$N$92,AB$1,FALSE)</f>
        <v>#REF!</v>
      </c>
      <c r="AC26" s="11" t="e">
        <f>VLOOKUP($A26,debt!$A$1:$N$92,AC$1,FALSE)</f>
        <v>#REF!</v>
      </c>
      <c r="AD26" s="11" t="e">
        <f>VLOOKUP($A26,debt!$A$1:$N$92,AD$1,FALSE)</f>
        <v>#REF!</v>
      </c>
    </row>
    <row r="27" spans="1:30" x14ac:dyDescent="0.25">
      <c r="A27" s="3" t="s">
        <v>30</v>
      </c>
      <c r="B27" s="11">
        <f>VLOOKUP($A27,debt!$A$1:$N$92,B$1,FALSE)</f>
        <v>411.659918</v>
      </c>
      <c r="C27" s="11">
        <f>VLOOKUP($A27,debt!$A$1:$N$92,C$1,FALSE)</f>
        <v>424.381868</v>
      </c>
      <c r="D27" s="11">
        <f>VLOOKUP($A27,debt!$A$1:$N$92,D$1,FALSE)</f>
        <v>385.90489400000001</v>
      </c>
      <c r="E27" s="11">
        <f>VLOOKUP($A27,debt!$A$1:$N$92,E$1,FALSE)</f>
        <v>370.35995400000002</v>
      </c>
      <c r="F27" s="11">
        <f>VLOOKUP($A27,debt!$A$1:$N$92,F$1,FALSE)</f>
        <v>200.67293000000001</v>
      </c>
      <c r="G27" s="11">
        <f>VLOOKUP($A27,debt!$A$1:$N$92,G$1,FALSE)</f>
        <v>105.61614400000001</v>
      </c>
      <c r="H27" s="11">
        <f>VLOOKUP($A27,debt!$A$1:$N$92,H$1,FALSE)</f>
        <v>113.250584</v>
      </c>
      <c r="I27" s="11">
        <f>VLOOKUP($A27,debt!$A$1:$N$92,I$1,FALSE)</f>
        <v>95.441726000000003</v>
      </c>
      <c r="J27" s="11">
        <f>VLOOKUP($A27,debt!$A$1:$N$92,J$1,FALSE)</f>
        <v>94.974894000000006</v>
      </c>
      <c r="K27" s="11">
        <f>VLOOKUP($A27,debt!$A$1:$N$92,K$1,FALSE)</f>
        <v>70.381901999999997</v>
      </c>
      <c r="L27" s="11">
        <f>VLOOKUP($A27,debt!$A$1:$N$92,L$1,FALSE)</f>
        <v>51.180577999999997</v>
      </c>
      <c r="M27" s="11">
        <f>VLOOKUP($A27,debt!$A$1:$N$92,M$1,FALSE)</f>
        <v>42.507694999999998</v>
      </c>
      <c r="N27" s="11">
        <f>VLOOKUP($A27,debt!$A$1:$N$92,N$1,FALSE)</f>
        <v>21.126161</v>
      </c>
      <c r="O27" s="11" t="e">
        <f>VLOOKUP($A27,debt!$A$1:$N$92,O$1,FALSE)</f>
        <v>#REF!</v>
      </c>
      <c r="P27" s="11" t="e">
        <f>VLOOKUP($A27,debt!$A$1:$N$92,P$1,FALSE)</f>
        <v>#REF!</v>
      </c>
      <c r="Q27" s="11" t="e">
        <f>VLOOKUP($A27,debt!$A$1:$N$92,Q$1,FALSE)</f>
        <v>#REF!</v>
      </c>
      <c r="R27" s="11" t="e">
        <f>VLOOKUP($A27,debt!$A$1:$N$92,R$1,FALSE)</f>
        <v>#REF!</v>
      </c>
      <c r="S27" s="11" t="e">
        <f>VLOOKUP($A27,debt!$A$1:$N$92,S$1,FALSE)</f>
        <v>#REF!</v>
      </c>
      <c r="T27" s="11" t="e">
        <f>VLOOKUP($A27,debt!$A$1:$N$92,T$1,FALSE)</f>
        <v>#REF!</v>
      </c>
      <c r="U27" s="11" t="e">
        <f>VLOOKUP($A27,debt!$A$1:$N$92,U$1,FALSE)</f>
        <v>#REF!</v>
      </c>
      <c r="V27" s="11" t="e">
        <f>VLOOKUP($A27,debt!$A$1:$N$92,V$1,FALSE)</f>
        <v>#REF!</v>
      </c>
      <c r="W27" s="11" t="e">
        <f>VLOOKUP($A27,debt!$A$1:$N$92,W$1,FALSE)</f>
        <v>#REF!</v>
      </c>
      <c r="X27" s="11" t="e">
        <f>VLOOKUP($A27,debt!$A$1:$N$92,X$1,FALSE)</f>
        <v>#REF!</v>
      </c>
      <c r="Y27" s="11" t="e">
        <f>VLOOKUP($A27,debt!$A$1:$N$92,Y$1,FALSE)</f>
        <v>#REF!</v>
      </c>
      <c r="Z27" s="11" t="e">
        <f>VLOOKUP($A27,debt!$A$1:$N$92,Z$1,FALSE)</f>
        <v>#REF!</v>
      </c>
      <c r="AA27" s="11" t="e">
        <f>VLOOKUP($A27,debt!$A$1:$N$92,AA$1,FALSE)</f>
        <v>#REF!</v>
      </c>
      <c r="AB27" s="11" t="e">
        <f>VLOOKUP($A27,debt!$A$1:$N$92,AB$1,FALSE)</f>
        <v>#REF!</v>
      </c>
      <c r="AC27" s="11" t="e">
        <f>VLOOKUP($A27,debt!$A$1:$N$92,AC$1,FALSE)</f>
        <v>#REF!</v>
      </c>
      <c r="AD27" s="11" t="e">
        <f>VLOOKUP($A27,debt!$A$1:$N$92,AD$1,FALSE)</f>
        <v>#REF!</v>
      </c>
    </row>
    <row r="28" spans="1:30" x14ac:dyDescent="0.25">
      <c r="A28" s="3" t="s">
        <v>31</v>
      </c>
      <c r="B28" s="11">
        <f>VLOOKUP($A28,debt!$A$1:$N$92,B$1,FALSE)</f>
        <v>1360.1034990000001</v>
      </c>
      <c r="C28" s="11">
        <f>VLOOKUP($A28,debt!$A$1:$N$92,C$1,FALSE)</f>
        <v>1128.3856430000001</v>
      </c>
      <c r="D28" s="11">
        <f>VLOOKUP($A28,debt!$A$1:$N$92,D$1,FALSE)</f>
        <v>914.51522799999998</v>
      </c>
      <c r="E28" s="11">
        <f>VLOOKUP($A28,debt!$A$1:$N$92,E$1,FALSE)</f>
        <v>728.94137799999999</v>
      </c>
      <c r="F28" s="11">
        <f>VLOOKUP($A28,debt!$A$1:$N$92,F$1,FALSE)</f>
        <v>639.25978399999997</v>
      </c>
      <c r="G28" s="11">
        <f>VLOOKUP($A28,debt!$A$1:$N$92,G$1,FALSE)</f>
        <v>534.30402400000003</v>
      </c>
      <c r="H28" s="11">
        <f>VLOOKUP($A28,debt!$A$1:$N$92,H$1,FALSE)</f>
        <v>426.22216500000002</v>
      </c>
      <c r="I28" s="11">
        <f>VLOOKUP($A28,debt!$A$1:$N$92,I$1,FALSE)</f>
        <v>341.49654099999998</v>
      </c>
      <c r="J28" s="11">
        <f>VLOOKUP($A28,debt!$A$1:$N$92,J$1,FALSE)</f>
        <v>249.9118</v>
      </c>
      <c r="K28" s="11">
        <f>VLOOKUP($A28,debt!$A$1:$N$92,K$1,FALSE)</f>
        <v>183.987741</v>
      </c>
      <c r="L28" s="11">
        <f>VLOOKUP($A28,debt!$A$1:$N$92,L$1,FALSE)</f>
        <v>144.659828</v>
      </c>
      <c r="M28" s="11">
        <f>VLOOKUP($A28,debt!$A$1:$N$92,M$1,FALSE)</f>
        <v>112.445695</v>
      </c>
      <c r="N28" s="11">
        <f>VLOOKUP($A28,debt!$A$1:$N$92,N$1,FALSE)</f>
        <v>82.341058000000004</v>
      </c>
      <c r="O28" s="11" t="e">
        <f>VLOOKUP($A28,debt!$A$1:$N$92,O$1,FALSE)</f>
        <v>#REF!</v>
      </c>
      <c r="P28" s="11" t="e">
        <f>VLOOKUP($A28,debt!$A$1:$N$92,P$1,FALSE)</f>
        <v>#REF!</v>
      </c>
      <c r="Q28" s="11" t="e">
        <f>VLOOKUP($A28,debt!$A$1:$N$92,Q$1,FALSE)</f>
        <v>#REF!</v>
      </c>
      <c r="R28" s="11" t="e">
        <f>VLOOKUP($A28,debt!$A$1:$N$92,R$1,FALSE)</f>
        <v>#REF!</v>
      </c>
      <c r="S28" s="11" t="e">
        <f>VLOOKUP($A28,debt!$A$1:$N$92,S$1,FALSE)</f>
        <v>#REF!</v>
      </c>
      <c r="T28" s="11" t="e">
        <f>VLOOKUP($A28,debt!$A$1:$N$92,T$1,FALSE)</f>
        <v>#REF!</v>
      </c>
      <c r="U28" s="11" t="e">
        <f>VLOOKUP($A28,debt!$A$1:$N$92,U$1,FALSE)</f>
        <v>#REF!</v>
      </c>
      <c r="V28" s="11" t="e">
        <f>VLOOKUP($A28,debt!$A$1:$N$92,V$1,FALSE)</f>
        <v>#REF!</v>
      </c>
      <c r="W28" s="11" t="e">
        <f>VLOOKUP($A28,debt!$A$1:$N$92,W$1,FALSE)</f>
        <v>#REF!</v>
      </c>
      <c r="X28" s="11" t="e">
        <f>VLOOKUP($A28,debt!$A$1:$N$92,X$1,FALSE)</f>
        <v>#REF!</v>
      </c>
      <c r="Y28" s="11" t="e">
        <f>VLOOKUP($A28,debt!$A$1:$N$92,Y$1,FALSE)</f>
        <v>#REF!</v>
      </c>
      <c r="Z28" s="11" t="e">
        <f>VLOOKUP($A28,debt!$A$1:$N$92,Z$1,FALSE)</f>
        <v>#REF!</v>
      </c>
      <c r="AA28" s="11" t="e">
        <f>VLOOKUP($A28,debt!$A$1:$N$92,AA$1,FALSE)</f>
        <v>#REF!</v>
      </c>
      <c r="AB28" s="11" t="e">
        <f>VLOOKUP($A28,debt!$A$1:$N$92,AB$1,FALSE)</f>
        <v>#REF!</v>
      </c>
      <c r="AC28" s="11" t="e">
        <f>VLOOKUP($A28,debt!$A$1:$N$92,AC$1,FALSE)</f>
        <v>#REF!</v>
      </c>
      <c r="AD28" s="11" t="e">
        <f>VLOOKUP($A28,debt!$A$1:$N$92,AD$1,FALSE)</f>
        <v>#REF!</v>
      </c>
    </row>
    <row r="29" spans="1:30" x14ac:dyDescent="0.25">
      <c r="A29" s="3" t="s">
        <v>32</v>
      </c>
      <c r="B29" s="11">
        <f>VLOOKUP($A29,debt!$A$1:$N$92,B$1,FALSE)</f>
        <v>1418.7638019999999</v>
      </c>
      <c r="C29" s="11">
        <f>VLOOKUP($A29,debt!$A$1:$N$92,C$1,FALSE)</f>
        <v>1174.084879</v>
      </c>
      <c r="D29" s="11">
        <f>VLOOKUP($A29,debt!$A$1:$N$92,D$1,FALSE)</f>
        <v>960.19627500000001</v>
      </c>
      <c r="E29" s="11">
        <f>VLOOKUP($A29,debt!$A$1:$N$92,E$1,FALSE)</f>
        <v>758.98542899999995</v>
      </c>
      <c r="F29" s="11">
        <f>VLOOKUP($A29,debt!$A$1:$N$92,F$1,FALSE)</f>
        <v>662.34170400000005</v>
      </c>
      <c r="G29" s="11">
        <f>VLOOKUP($A29,debt!$A$1:$N$92,G$1,FALSE)</f>
        <v>553.11550799999998</v>
      </c>
      <c r="H29" s="11">
        <f>VLOOKUP($A29,debt!$A$1:$N$92,H$1,FALSE)</f>
        <v>441.29092300000002</v>
      </c>
      <c r="I29" s="11">
        <f>VLOOKUP($A29,debt!$A$1:$N$92,I$1,FALSE)</f>
        <v>354.54036400000001</v>
      </c>
      <c r="J29" s="11">
        <f>VLOOKUP($A29,debt!$A$1:$N$92,J$1,FALSE)</f>
        <v>254.033796</v>
      </c>
      <c r="K29" s="11">
        <f>VLOOKUP($A29,debt!$A$1:$N$92,K$1,FALSE)</f>
        <v>185.493897</v>
      </c>
      <c r="L29" s="11">
        <f>VLOOKUP($A29,debt!$A$1:$N$92,L$1,FALSE)</f>
        <v>146.51565400000001</v>
      </c>
      <c r="M29" s="11">
        <f>VLOOKUP($A29,debt!$A$1:$N$92,M$1,FALSE)</f>
        <v>115.034183</v>
      </c>
      <c r="N29" s="11">
        <f>VLOOKUP($A29,debt!$A$1:$N$92,N$1,FALSE)</f>
        <v>83.688558</v>
      </c>
      <c r="O29" s="11" t="e">
        <f>VLOOKUP($A29,debt!$A$1:$N$92,O$1,FALSE)</f>
        <v>#REF!</v>
      </c>
      <c r="P29" s="11" t="e">
        <f>VLOOKUP($A29,debt!$A$1:$N$92,P$1,FALSE)</f>
        <v>#REF!</v>
      </c>
      <c r="Q29" s="11" t="e">
        <f>VLOOKUP($A29,debt!$A$1:$N$92,Q$1,FALSE)</f>
        <v>#REF!</v>
      </c>
      <c r="R29" s="11" t="e">
        <f>VLOOKUP($A29,debt!$A$1:$N$92,R$1,FALSE)</f>
        <v>#REF!</v>
      </c>
      <c r="S29" s="11" t="e">
        <f>VLOOKUP($A29,debt!$A$1:$N$92,S$1,FALSE)</f>
        <v>#REF!</v>
      </c>
      <c r="T29" s="11" t="e">
        <f>VLOOKUP($A29,debt!$A$1:$N$92,T$1,FALSE)</f>
        <v>#REF!</v>
      </c>
      <c r="U29" s="11" t="e">
        <f>VLOOKUP($A29,debt!$A$1:$N$92,U$1,FALSE)</f>
        <v>#REF!</v>
      </c>
      <c r="V29" s="11" t="e">
        <f>VLOOKUP($A29,debt!$A$1:$N$92,V$1,FALSE)</f>
        <v>#REF!</v>
      </c>
      <c r="W29" s="11" t="e">
        <f>VLOOKUP($A29,debt!$A$1:$N$92,W$1,FALSE)</f>
        <v>#REF!</v>
      </c>
      <c r="X29" s="11" t="e">
        <f>VLOOKUP($A29,debt!$A$1:$N$92,X$1,FALSE)</f>
        <v>#REF!</v>
      </c>
      <c r="Y29" s="11" t="e">
        <f>VLOOKUP($A29,debt!$A$1:$N$92,Y$1,FALSE)</f>
        <v>#REF!</v>
      </c>
      <c r="Z29" s="11" t="e">
        <f>VLOOKUP($A29,debt!$A$1:$N$92,Z$1,FALSE)</f>
        <v>#REF!</v>
      </c>
      <c r="AA29" s="11" t="e">
        <f>VLOOKUP($A29,debt!$A$1:$N$92,AA$1,FALSE)</f>
        <v>#REF!</v>
      </c>
      <c r="AB29" s="11" t="e">
        <f>VLOOKUP($A29,debt!$A$1:$N$92,AB$1,FALSE)</f>
        <v>#REF!</v>
      </c>
      <c r="AC29" s="11" t="e">
        <f>VLOOKUP($A29,debt!$A$1:$N$92,AC$1,FALSE)</f>
        <v>#REF!</v>
      </c>
      <c r="AD29" s="11" t="e">
        <f>VLOOKUP($A29,debt!$A$1:$N$92,AD$1,FALSE)</f>
        <v>#REF!</v>
      </c>
    </row>
    <row r="31" spans="1:30" x14ac:dyDescent="0.25">
      <c r="A31" s="3" t="s">
        <v>37</v>
      </c>
      <c r="B31" s="12">
        <f>B5-B11</f>
        <v>218.61935784950001</v>
      </c>
      <c r="C31" s="12">
        <f t="shared" ref="C31:AD31" si="0">C5-C11</f>
        <v>186.1599614964</v>
      </c>
      <c r="D31" s="12">
        <f t="shared" si="0"/>
        <v>232.66048525939999</v>
      </c>
      <c r="E31" s="12">
        <f t="shared" si="0"/>
        <v>231.01541842060001</v>
      </c>
      <c r="F31" s="12">
        <f t="shared" si="0"/>
        <v>203.61720536759998</v>
      </c>
      <c r="G31" s="12">
        <f t="shared" si="0"/>
        <v>171.8797665525</v>
      </c>
      <c r="H31" s="12">
        <f t="shared" si="0"/>
        <v>207.73084554689999</v>
      </c>
      <c r="I31" s="12">
        <f t="shared" si="0"/>
        <v>203.442512588</v>
      </c>
      <c r="J31" s="12">
        <f t="shared" si="0"/>
        <v>181.05771368090001</v>
      </c>
      <c r="K31" s="12">
        <f t="shared" si="0"/>
        <v>153.49775737370001</v>
      </c>
      <c r="L31" s="12">
        <f t="shared" si="0"/>
        <v>168.76663945960001</v>
      </c>
      <c r="M31" s="12">
        <f t="shared" si="0"/>
        <v>149.0838419472</v>
      </c>
      <c r="N31" s="12">
        <f t="shared" si="0"/>
        <v>172.31267926410001</v>
      </c>
      <c r="O31" s="12">
        <f t="shared" si="0"/>
        <v>102.46254675729999</v>
      </c>
      <c r="P31" s="12">
        <f t="shared" si="0"/>
        <v>127.36413669299999</v>
      </c>
      <c r="Q31" s="12">
        <f t="shared" si="0"/>
        <v>114.3764386191</v>
      </c>
      <c r="R31" s="12">
        <f t="shared" si="0"/>
        <v>80.451270592000014</v>
      </c>
      <c r="S31" s="12">
        <f t="shared" si="0"/>
        <v>77.763438081300009</v>
      </c>
      <c r="T31" s="12">
        <f t="shared" si="0"/>
        <v>94.858655836900013</v>
      </c>
      <c r="U31" s="12">
        <f t="shared" si="0"/>
        <v>89.212499951000012</v>
      </c>
      <c r="V31" s="12">
        <f t="shared" si="0"/>
        <v>69.674979810100012</v>
      </c>
      <c r="W31" s="12">
        <f t="shared" si="0"/>
        <v>68.392025412500004</v>
      </c>
      <c r="X31" s="12">
        <f t="shared" si="0"/>
        <v>81.805710282199996</v>
      </c>
      <c r="Y31" s="12">
        <f t="shared" si="0"/>
        <v>92.987128187600007</v>
      </c>
      <c r="Z31" s="12">
        <f t="shared" si="0"/>
        <v>69.518544642099997</v>
      </c>
      <c r="AA31" s="12">
        <f t="shared" si="0"/>
        <v>65.532915239700003</v>
      </c>
      <c r="AB31" s="12">
        <f t="shared" si="0"/>
        <v>70.748044341400004</v>
      </c>
      <c r="AC31" s="12">
        <f t="shared" si="0"/>
        <v>83.151595510700005</v>
      </c>
      <c r="AD31" s="12">
        <f t="shared" si="0"/>
        <v>73.566513345700002</v>
      </c>
    </row>
    <row r="32" spans="1:30" x14ac:dyDescent="0.25">
      <c r="A32" s="3" t="s">
        <v>36</v>
      </c>
      <c r="B32" s="12">
        <f>B6-(B7-B8)</f>
        <v>118.39153400000001</v>
      </c>
      <c r="C32" s="12">
        <f t="shared" ref="C32:AD32" si="1">C6-(C7-C8)</f>
        <v>97.680495999999991</v>
      </c>
      <c r="D32" s="12">
        <f t="shared" si="1"/>
        <v>18.886469999999999</v>
      </c>
      <c r="E32" s="12">
        <f t="shared" si="1"/>
        <v>167.743854</v>
      </c>
      <c r="F32" s="12">
        <f t="shared" si="1"/>
        <v>23.252344000000001</v>
      </c>
      <c r="G32" s="12">
        <f t="shared" si="1"/>
        <v>223.824005</v>
      </c>
      <c r="H32" s="12">
        <f t="shared" si="1"/>
        <v>5.7972770000000002</v>
      </c>
      <c r="I32" s="12">
        <f t="shared" si="1"/>
        <v>125.73676200000001</v>
      </c>
      <c r="J32" s="12">
        <f t="shared" si="1"/>
        <v>101.864169</v>
      </c>
      <c r="K32" s="12">
        <f t="shared" si="1"/>
        <v>126.575293</v>
      </c>
      <c r="L32" s="12">
        <f t="shared" si="1"/>
        <v>43.608618</v>
      </c>
      <c r="M32" s="12">
        <f t="shared" si="1"/>
        <v>-10.017538</v>
      </c>
      <c r="N32" s="12">
        <f t="shared" si="1"/>
        <v>155.75411600000001</v>
      </c>
      <c r="O32" s="12">
        <f t="shared" si="1"/>
        <v>6.5275529999999993</v>
      </c>
      <c r="P32" s="12">
        <f t="shared" si="1"/>
        <v>58.016058000000001</v>
      </c>
      <c r="Q32" s="12">
        <f t="shared" si="1"/>
        <v>46.72025</v>
      </c>
      <c r="R32" s="12">
        <f t="shared" si="1"/>
        <v>186.527084</v>
      </c>
      <c r="S32" s="12">
        <f t="shared" si="1"/>
        <v>60.383548999999995</v>
      </c>
      <c r="T32" s="12">
        <f t="shared" si="1"/>
        <v>70.690750000000008</v>
      </c>
      <c r="U32" s="12">
        <f t="shared" si="1"/>
        <v>57.710582000000002</v>
      </c>
      <c r="V32" s="12">
        <f t="shared" si="1"/>
        <v>59.868022000000003</v>
      </c>
      <c r="W32" s="12">
        <f t="shared" si="1"/>
        <v>23.798777000000001</v>
      </c>
      <c r="X32" s="12">
        <f t="shared" si="1"/>
        <v>12.459033</v>
      </c>
      <c r="Y32" s="12">
        <f t="shared" si="1"/>
        <v>42.296452000000002</v>
      </c>
      <c r="Z32" s="12">
        <f t="shared" si="1"/>
        <v>25.383632000000002</v>
      </c>
      <c r="AA32" s="12">
        <f t="shared" si="1"/>
        <v>32.945547000000005</v>
      </c>
      <c r="AB32" s="12">
        <f t="shared" si="1"/>
        <v>-18.508788000000003</v>
      </c>
      <c r="AC32" s="12">
        <f t="shared" si="1"/>
        <v>19.488298</v>
      </c>
      <c r="AD32" s="12">
        <f t="shared" si="1"/>
        <v>26.126265000000004</v>
      </c>
    </row>
    <row r="34" spans="1:30" x14ac:dyDescent="0.25">
      <c r="A34" s="14" t="s">
        <v>48</v>
      </c>
    </row>
    <row r="35" spans="1:30" x14ac:dyDescent="0.25">
      <c r="A35" s="2" t="s">
        <v>49</v>
      </c>
      <c r="AD35" s="7" t="e">
        <f>VLOOKUP($A35,main!$A$1:$BW$40,AD$1,FALSE)</f>
        <v>#N/A</v>
      </c>
    </row>
    <row r="36" spans="1:30" x14ac:dyDescent="0.25">
      <c r="A36" s="2" t="s">
        <v>41</v>
      </c>
      <c r="B36" s="7">
        <f>VLOOKUP($A36,main!$A$1:$BW$40,B$1,FALSE)</f>
        <v>8.94</v>
      </c>
      <c r="C36" s="7">
        <f>VLOOKUP($A36,main!$A$1:$BW$40,C$1,FALSE)</f>
        <v>7.57</v>
      </c>
      <c r="D36" s="7">
        <f>VLOOKUP($A36,main!$A$1:$BW$40,D$1,FALSE)</f>
        <v>10.42</v>
      </c>
      <c r="E36" s="7">
        <f>VLOOKUP($A36,main!$A$1:$BW$40,E$1,FALSE)</f>
        <v>8.56</v>
      </c>
      <c r="F36" s="7">
        <f>VLOOKUP($A36,main!$A$1:$BW$40,F$1,FALSE)</f>
        <v>8.36</v>
      </c>
      <c r="G36" s="7">
        <f>VLOOKUP($A36,main!$A$1:$BW$40,G$1,FALSE)</f>
        <v>6.95</v>
      </c>
      <c r="H36" s="7">
        <f>VLOOKUP($A36,main!$A$1:$BW$40,H$1,FALSE)</f>
        <v>8.93</v>
      </c>
      <c r="I36" s="7">
        <f>VLOOKUP($A36,main!$A$1:$BW$40,I$1,FALSE)</f>
        <v>8.33</v>
      </c>
      <c r="J36" s="7">
        <f>VLOOKUP($A36,main!$A$1:$BW$40,J$1,FALSE)</f>
        <v>7.14</v>
      </c>
      <c r="K36" s="7">
        <f>VLOOKUP($A36,main!$A$1:$BW$40,K$1,FALSE)</f>
        <v>5.78</v>
      </c>
      <c r="L36" s="7">
        <f>VLOOKUP($A36,main!$A$1:$BW$40,L$1,FALSE)</f>
        <v>6.77</v>
      </c>
      <c r="M36" s="7">
        <f>VLOOKUP($A36,main!$A$1:$BW$40,M$1,FALSE)</f>
        <v>5.65</v>
      </c>
      <c r="N36" s="7">
        <f>VLOOKUP($A36,main!$A$1:$BW$40,N$1,FALSE)</f>
        <v>6.95</v>
      </c>
      <c r="O36" s="7">
        <f>VLOOKUP($A36,main!$A$1:$BW$40,O$1,FALSE)</f>
        <v>4.09</v>
      </c>
      <c r="P36" s="7">
        <f>VLOOKUP($A36,main!$A$1:$BW$40,P$1,FALSE)</f>
        <v>4.87</v>
      </c>
      <c r="Q36" s="7">
        <f>VLOOKUP($A36,main!$A$1:$BW$40,Q$1,FALSE)</f>
        <v>3.39</v>
      </c>
      <c r="R36" s="7">
        <f>VLOOKUP($A36,main!$A$1:$BW$40,R$1,FALSE)</f>
        <v>2.91</v>
      </c>
      <c r="S36" s="7">
        <f>VLOOKUP($A36,main!$A$1:$BW$40,S$1,FALSE)</f>
        <v>3.12</v>
      </c>
      <c r="T36" s="7">
        <f>VLOOKUP($A36,main!$A$1:$BW$40,T$1,FALSE)</f>
        <v>3.89</v>
      </c>
      <c r="U36" s="7">
        <f>VLOOKUP($A36,main!$A$1:$BW$40,U$1,FALSE)</f>
        <v>3.25</v>
      </c>
      <c r="V36" s="7">
        <f>VLOOKUP($A36,main!$A$1:$BW$40,V$1,FALSE)</f>
        <v>2.81</v>
      </c>
      <c r="W36" s="7">
        <f>VLOOKUP($A36,main!$A$1:$BW$40,W$1,FALSE)</f>
        <v>2.81</v>
      </c>
      <c r="X36" s="7">
        <f>VLOOKUP($A36,main!$A$1:$BW$40,X$1,FALSE)</f>
        <v>3.47</v>
      </c>
      <c r="Y36" s="7">
        <f>VLOOKUP($A36,main!$A$1:$BW$40,Y$1,FALSE)</f>
        <v>3.71</v>
      </c>
      <c r="Z36" s="7">
        <f>VLOOKUP($A36,main!$A$1:$BW$40,Z$1,FALSE)</f>
        <v>2.1800000000000002</v>
      </c>
      <c r="AA36" s="7">
        <f>VLOOKUP($A36,main!$A$1:$BW$40,AA$1,FALSE)</f>
        <v>3.09</v>
      </c>
      <c r="AB36" s="7">
        <f>VLOOKUP($A36,main!$A$1:$BW$40,AB$1,FALSE)</f>
        <v>3.24</v>
      </c>
      <c r="AC36" s="7">
        <f>VLOOKUP($A36,main!$A$1:$BW$40,AC$1,FALSE)</f>
        <v>3.56</v>
      </c>
      <c r="AD36" s="7">
        <f>VLOOKUP($A36,main!$A$1:$BW$40,AD$1,FALSE)</f>
        <v>3.34</v>
      </c>
    </row>
    <row r="37" spans="1:30" x14ac:dyDescent="0.25">
      <c r="A37" s="2" t="s">
        <v>45</v>
      </c>
      <c r="B37" s="7">
        <f>VLOOKUP($A37,main!$A$1:$BW$40,B$1,FALSE)</f>
        <v>5.18</v>
      </c>
      <c r="C37" s="7">
        <f>VLOOKUP($A37,main!$A$1:$BW$40,C$1,FALSE)</f>
        <v>4.8899999999999997</v>
      </c>
      <c r="D37" s="7">
        <f>VLOOKUP($A37,main!$A$1:$BW$40,D$1,FALSE)</f>
        <v>6.12</v>
      </c>
      <c r="E37" s="7">
        <f>VLOOKUP($A37,main!$A$1:$BW$40,E$1,FALSE)</f>
        <v>3.87</v>
      </c>
      <c r="F37" s="7">
        <f>VLOOKUP($A37,main!$A$1:$BW$40,F$1,FALSE)</f>
        <v>4.42</v>
      </c>
      <c r="G37" s="7">
        <f>VLOOKUP($A37,main!$A$1:$BW$40,G$1,FALSE)</f>
        <v>3.14</v>
      </c>
      <c r="H37" s="7">
        <f>VLOOKUP($A37,main!$A$1:$BW$40,H$1,FALSE)</f>
        <v>4.51</v>
      </c>
      <c r="I37" s="7">
        <f>VLOOKUP($A37,main!$A$1:$BW$40,I$1,FALSE)</f>
        <v>3.25</v>
      </c>
      <c r="J37" s="7">
        <f>VLOOKUP($A37,main!$A$1:$BW$40,J$1,FALSE)</f>
        <v>3.05</v>
      </c>
      <c r="K37" s="7">
        <f>VLOOKUP($A37,main!$A$1:$BW$40,K$1,FALSE)</f>
        <v>3.23</v>
      </c>
      <c r="L37" s="7">
        <f>VLOOKUP($A37,main!$A$1:$BW$40,L$1,FALSE)</f>
        <v>3.82</v>
      </c>
      <c r="M37" s="7">
        <f>VLOOKUP($A37,main!$A$1:$BW$40,M$1,FALSE)</f>
        <v>2.91</v>
      </c>
      <c r="N37" s="7">
        <f>VLOOKUP($A37,main!$A$1:$BW$40,N$1,FALSE)</f>
        <v>2.66</v>
      </c>
      <c r="O37" s="7">
        <f>VLOOKUP($A37,main!$A$1:$BW$40,O$1,FALSE)</f>
        <v>2.36</v>
      </c>
      <c r="P37" s="7">
        <f>VLOOKUP($A37,main!$A$1:$BW$40,P$1,FALSE)</f>
        <v>2.63</v>
      </c>
      <c r="Q37" s="7">
        <f>VLOOKUP($A37,main!$A$1:$BW$40,Q$1,FALSE)</f>
        <v>2.44</v>
      </c>
      <c r="R37" s="7">
        <f>VLOOKUP($A37,main!$A$1:$BW$40,R$1,FALSE)</f>
        <v>2.4700000000000002</v>
      </c>
      <c r="S37" s="7">
        <f>VLOOKUP($A37,main!$A$1:$BW$40,S$1,FALSE)</f>
        <v>2.62</v>
      </c>
      <c r="T37" s="7">
        <f>VLOOKUP($A37,main!$A$1:$BW$40,T$1,FALSE)</f>
        <v>3.5</v>
      </c>
      <c r="U37" s="7">
        <f>VLOOKUP($A37,main!$A$1:$BW$40,U$1,FALSE)</f>
        <v>3.24</v>
      </c>
      <c r="V37" s="7">
        <f>VLOOKUP($A37,main!$A$1:$BW$40,V$1,FALSE)</f>
        <v>3.67</v>
      </c>
      <c r="W37" s="7">
        <f>VLOOKUP($A37,main!$A$1:$BW$40,W$1,FALSE)</f>
        <v>6.15</v>
      </c>
      <c r="X37" s="7">
        <f>VLOOKUP($A37,main!$A$1:$BW$40,X$1,FALSE)</f>
        <v>5.72</v>
      </c>
      <c r="Y37" s="7">
        <f>VLOOKUP($A37,main!$A$1:$BW$40,Y$1,FALSE)</f>
        <v>4.51</v>
      </c>
      <c r="Z37" s="7">
        <f>VLOOKUP($A37,main!$A$1:$BW$40,Z$1,FALSE)</f>
        <v>5.0599999999999996</v>
      </c>
      <c r="AA37" s="7">
        <f>VLOOKUP($A37,main!$A$1:$BW$40,AA$1,FALSE)</f>
        <v>4.51</v>
      </c>
      <c r="AB37" s="7">
        <f>VLOOKUP($A37,main!$A$1:$BW$40,AB$1,FALSE)</f>
        <v>4.7300000000000004</v>
      </c>
      <c r="AC37" s="7">
        <f>VLOOKUP($A37,main!$A$1:$BW$40,AC$1,FALSE)</f>
        <v>3.71</v>
      </c>
      <c r="AD37" s="7">
        <f>VLOOKUP($A37,main!$A$1:$BW$40,AD$1,FALSE)</f>
        <v>4.22</v>
      </c>
    </row>
    <row r="38" spans="1:30" x14ac:dyDescent="0.25">
      <c r="A38" s="2" t="s">
        <v>46</v>
      </c>
      <c r="B38" s="7">
        <f>VLOOKUP($A38,main!$A$1:$BW$40,B$1,FALSE)</f>
        <v>4.25</v>
      </c>
      <c r="C38" s="7">
        <f>VLOOKUP($A38,main!$A$1:$BW$40,C$1,FALSE)</f>
        <v>3.97</v>
      </c>
      <c r="D38" s="7">
        <f>VLOOKUP($A38,main!$A$1:$BW$40,D$1,FALSE)</f>
        <v>5.08</v>
      </c>
      <c r="E38" s="7">
        <f>VLOOKUP($A38,main!$A$1:$BW$40,E$1,FALSE)</f>
        <v>3.22</v>
      </c>
      <c r="F38" s="7">
        <f>VLOOKUP($A38,main!$A$1:$BW$40,F$1,FALSE)</f>
        <v>3.6</v>
      </c>
      <c r="G38" s="7">
        <f>VLOOKUP($A38,main!$A$1:$BW$40,G$1,FALSE)</f>
        <v>2.58</v>
      </c>
      <c r="H38" s="7">
        <f>VLOOKUP($A38,main!$A$1:$BW$40,H$1,FALSE)</f>
        <v>3.69</v>
      </c>
      <c r="I38" s="7">
        <f>VLOOKUP($A38,main!$A$1:$BW$40,I$1,FALSE)</f>
        <v>2.66</v>
      </c>
      <c r="J38" s="7">
        <f>VLOOKUP($A38,main!$A$1:$BW$40,J$1,FALSE)</f>
        <v>2.4900000000000002</v>
      </c>
      <c r="K38" s="7">
        <f>VLOOKUP($A38,main!$A$1:$BW$40,K$1,FALSE)</f>
        <v>2.54</v>
      </c>
      <c r="L38" s="7">
        <f>VLOOKUP($A38,main!$A$1:$BW$40,L$1,FALSE)</f>
        <v>3.04</v>
      </c>
      <c r="M38" s="7">
        <f>VLOOKUP($A38,main!$A$1:$BW$40,M$1,FALSE)</f>
        <v>2.3199999999999998</v>
      </c>
      <c r="N38" s="7">
        <f>VLOOKUP($A38,main!$A$1:$BW$40,N$1,FALSE)</f>
        <v>2.11</v>
      </c>
      <c r="O38" s="7">
        <f>VLOOKUP($A38,main!$A$1:$BW$40,O$1,FALSE)</f>
        <v>1.83</v>
      </c>
      <c r="P38" s="7">
        <f>VLOOKUP($A38,main!$A$1:$BW$40,P$1,FALSE)</f>
        <v>2.0299999999999998</v>
      </c>
      <c r="Q38" s="7">
        <f>VLOOKUP($A38,main!$A$1:$BW$40,Q$1,FALSE)</f>
        <v>1.84</v>
      </c>
      <c r="R38" s="7">
        <f>VLOOKUP($A38,main!$A$1:$BW$40,R$1,FALSE)</f>
        <v>1.87</v>
      </c>
      <c r="S38" s="7">
        <f>VLOOKUP($A38,main!$A$1:$BW$40,S$1,FALSE)</f>
        <v>1.92</v>
      </c>
      <c r="T38" s="7">
        <f>VLOOKUP($A38,main!$A$1:$BW$40,T$1,FALSE)</f>
        <v>2.4900000000000002</v>
      </c>
      <c r="U38" s="7">
        <f>VLOOKUP($A38,main!$A$1:$BW$40,U$1,FALSE)</f>
        <v>2.27</v>
      </c>
      <c r="V38" s="7">
        <f>VLOOKUP($A38,main!$A$1:$BW$40,V$1,FALSE)</f>
        <v>2.5</v>
      </c>
      <c r="W38" s="7">
        <f>VLOOKUP($A38,main!$A$1:$BW$40,W$1,FALSE)</f>
        <v>3.97</v>
      </c>
      <c r="X38" s="7">
        <f>VLOOKUP($A38,main!$A$1:$BW$40,X$1,FALSE)</f>
        <v>3.56</v>
      </c>
      <c r="Y38" s="7">
        <f>VLOOKUP($A38,main!$A$1:$BW$40,Y$1,FALSE)</f>
        <v>2.82</v>
      </c>
      <c r="Z38" s="7">
        <f>VLOOKUP($A38,main!$A$1:$BW$40,Z$1,FALSE)</f>
        <v>2.91</v>
      </c>
      <c r="AA38" s="7">
        <f>VLOOKUP($A38,main!$A$1:$BW$40,AA$1,FALSE)</f>
        <v>2.5099999999999998</v>
      </c>
      <c r="AB38" s="7">
        <f>VLOOKUP($A38,main!$A$1:$BW$40,AB$1,FALSE)</f>
        <v>2.79</v>
      </c>
      <c r="AC38" s="7">
        <f>VLOOKUP($A38,main!$A$1:$BW$40,AC$1,FALSE)</f>
        <v>2.2799999999999998</v>
      </c>
      <c r="AD38" s="7">
        <f>VLOOKUP($A38,main!$A$1:$BW$40,AD$1,FALSE)</f>
        <v>2.4</v>
      </c>
    </row>
    <row r="39" spans="1:30" x14ac:dyDescent="0.25">
      <c r="A39" s="2" t="s">
        <v>47</v>
      </c>
      <c r="B39" s="7" t="str">
        <f>VLOOKUP($A39,main!$A$1:$BW$40,B$1,FALSE)</f>
        <v>16.47%</v>
      </c>
      <c r="C39" s="7" t="str">
        <f>VLOOKUP($A39,main!$A$1:$BW$40,C$1,FALSE)</f>
        <v>17.24%</v>
      </c>
      <c r="D39" s="7" t="str">
        <f>VLOOKUP($A39,main!$A$1:$BW$40,D$1,FALSE)</f>
        <v>14.25%</v>
      </c>
      <c r="E39" s="7" t="str">
        <f>VLOOKUP($A39,main!$A$1:$BW$40,E$1,FALSE)</f>
        <v>22.49%</v>
      </c>
      <c r="F39" s="7" t="str">
        <f>VLOOKUP($A39,main!$A$1:$BW$40,F$1,FALSE)</f>
        <v>19.52%</v>
      </c>
      <c r="G39" s="7" t="str">
        <f>VLOOKUP($A39,main!$A$1:$BW$40,G$1,FALSE)</f>
        <v>27.56%</v>
      </c>
      <c r="H39" s="7" t="str">
        <f>VLOOKUP($A39,main!$A$1:$BW$40,H$1,FALSE)</f>
        <v>19.12%</v>
      </c>
      <c r="I39" s="7" t="str">
        <f>VLOOKUP($A39,main!$A$1:$BW$40,I$1,FALSE)</f>
        <v>26.55%</v>
      </c>
      <c r="J39" s="7" t="str">
        <f>VLOOKUP($A39,main!$A$1:$BW$40,J$1,FALSE)</f>
        <v>27.86%</v>
      </c>
      <c r="K39" s="7" t="str">
        <f>VLOOKUP($A39,main!$A$1:$BW$40,K$1,FALSE)</f>
        <v>25.72%</v>
      </c>
      <c r="L39" s="7" t="str">
        <f>VLOOKUP($A39,main!$A$1:$BW$40,L$1,FALSE)</f>
        <v>21.77%</v>
      </c>
      <c r="M39" s="7" t="str">
        <f>VLOOKUP($A39,main!$A$1:$BW$40,M$1,FALSE)</f>
        <v>28.67%</v>
      </c>
      <c r="N39" s="7" t="str">
        <f>VLOOKUP($A39,main!$A$1:$BW$40,N$1,FALSE)</f>
        <v>30.83%</v>
      </c>
      <c r="O39" s="7" t="str">
        <f>VLOOKUP($A39,main!$A$1:$BW$40,O$1,FALSE)</f>
        <v>34.32%</v>
      </c>
      <c r="P39" s="7" t="str">
        <f>VLOOKUP($A39,main!$A$1:$BW$40,P$1,FALSE)</f>
        <v>30.70%</v>
      </c>
      <c r="Q39" s="7" t="str">
        <f>VLOOKUP($A39,main!$A$1:$BW$40,Q$1,FALSE)</f>
        <v>32.79%</v>
      </c>
      <c r="R39" s="7" t="str">
        <f>VLOOKUP($A39,main!$A$1:$BW$40,R$1,FALSE)</f>
        <v>32.21%</v>
      </c>
      <c r="S39" s="7" t="str">
        <f>VLOOKUP($A39,main!$A$1:$BW$40,S$1,FALSE)</f>
        <v>29.51%</v>
      </c>
      <c r="T39" s="7" t="str">
        <f>VLOOKUP($A39,main!$A$1:$BW$40,T$1,FALSE)</f>
        <v>21.78%</v>
      </c>
      <c r="U39" s="7" t="str">
        <f>VLOOKUP($A39,main!$A$1:$BW$40,U$1,FALSE)</f>
        <v>23.25%</v>
      </c>
      <c r="V39" s="7" t="str">
        <f>VLOOKUP($A39,main!$A$1:$BW$40,V$1,FALSE)</f>
        <v>20.17%</v>
      </c>
      <c r="W39" s="7" t="str">
        <f>VLOOKUP($A39,main!$A$1:$BW$40,W$1,FALSE)</f>
        <v>11.99%</v>
      </c>
      <c r="X39" s="7" t="str">
        <f>VLOOKUP($A39,main!$A$1:$BW$40,X$1,FALSE)</f>
        <v>12.85%</v>
      </c>
      <c r="Y39" s="7" t="str">
        <f>VLOOKUP($A39,main!$A$1:$BW$40,Y$1,FALSE)</f>
        <v>16.03%</v>
      </c>
      <c r="Z39" s="7" t="str">
        <f>VLOOKUP($A39,main!$A$1:$BW$40,Z$1,FALSE)</f>
        <v>14.17%</v>
      </c>
      <c r="AA39" s="7" t="str">
        <f>VLOOKUP($A39,main!$A$1:$BW$40,AA$1,FALSE)</f>
        <v>15.56%</v>
      </c>
      <c r="AB39" s="7" t="str">
        <f>VLOOKUP($A39,main!$A$1:$BW$40,AB$1,FALSE)</f>
        <v>15.31%</v>
      </c>
      <c r="AC39" s="7" t="str">
        <f>VLOOKUP($A39,main!$A$1:$BW$40,AC$1,FALSE)</f>
        <v>20.42%</v>
      </c>
      <c r="AD39" s="7" t="str">
        <f>VLOOKUP($A39,main!$A$1:$BW$40,AD$1,FALSE)</f>
        <v>19.19%</v>
      </c>
    </row>
    <row r="40" spans="1:30" x14ac:dyDescent="0.25">
      <c r="A40" t="s">
        <v>52</v>
      </c>
      <c r="B40" s="16">
        <f>SUM(keyData!E3:H3)/keyData!B24</f>
        <v>0.22511984820651254</v>
      </c>
      <c r="C40" s="16">
        <f>SUM(I3:L3)/keyData!C24</f>
        <v>0.22023370374185205</v>
      </c>
      <c r="D40" s="7" t="e">
        <f>VLOOKUP($A40,main!$A$1:$BW$40,D$1,FALSE)</f>
        <v>#N/A</v>
      </c>
      <c r="E40" s="7" t="e">
        <f>VLOOKUP($A40,main!$A$1:$BW$40,E$1,FALSE)</f>
        <v>#N/A</v>
      </c>
      <c r="F40" s="7" t="e">
        <f>VLOOKUP($A40,main!$A$1:$BW$40,F$1,FALSE)</f>
        <v>#N/A</v>
      </c>
      <c r="G40" s="7" t="e">
        <f>VLOOKUP($A40,main!$A$1:$BW$40,G$1,FALSE)</f>
        <v>#N/A</v>
      </c>
      <c r="H40" s="7" t="e">
        <f>VLOOKUP($A40,main!$A$1:$BW$40,H$1,FALSE)</f>
        <v>#N/A</v>
      </c>
      <c r="I40" s="7" t="e">
        <f>VLOOKUP($A40,main!$A$1:$BW$40,I$1,FALSE)</f>
        <v>#N/A</v>
      </c>
      <c r="J40" s="7" t="e">
        <f>VLOOKUP($A40,main!$A$1:$BW$40,J$1,FALSE)</f>
        <v>#N/A</v>
      </c>
      <c r="K40" s="7" t="e">
        <f>VLOOKUP($A40,main!$A$1:$BW$40,K$1,FALSE)</f>
        <v>#N/A</v>
      </c>
      <c r="L40" s="7" t="e">
        <f>VLOOKUP($A40,main!$A$1:$BW$40,L$1,FALSE)</f>
        <v>#N/A</v>
      </c>
      <c r="M40" s="7" t="e">
        <f>VLOOKUP($A40,main!$A$1:$BW$40,M$1,FALSE)</f>
        <v>#N/A</v>
      </c>
      <c r="N40" s="7" t="e">
        <f>VLOOKUP($A40,main!$A$1:$BW$40,N$1,FALSE)</f>
        <v>#N/A</v>
      </c>
      <c r="O40" s="7" t="e">
        <f>VLOOKUP($A40,main!$A$1:$BW$40,O$1,FALSE)</f>
        <v>#N/A</v>
      </c>
      <c r="P40" s="7" t="e">
        <f>VLOOKUP($A40,main!$A$1:$BW$40,P$1,FALSE)</f>
        <v>#N/A</v>
      </c>
      <c r="Q40" s="7" t="e">
        <f>VLOOKUP($A40,main!$A$1:$BW$40,Q$1,FALSE)</f>
        <v>#N/A</v>
      </c>
      <c r="R40" s="7" t="e">
        <f>VLOOKUP($A40,main!$A$1:$BW$40,R$1,FALSE)</f>
        <v>#N/A</v>
      </c>
      <c r="S40" s="7" t="e">
        <f>VLOOKUP($A40,main!$A$1:$BW$40,S$1,FALSE)</f>
        <v>#N/A</v>
      </c>
      <c r="T40" s="7" t="e">
        <f>VLOOKUP($A40,main!$A$1:$BW$40,T$1,FALSE)</f>
        <v>#N/A</v>
      </c>
      <c r="U40" s="7" t="e">
        <f>VLOOKUP($A40,main!$A$1:$BW$40,U$1,FALSE)</f>
        <v>#N/A</v>
      </c>
      <c r="V40" s="7" t="e">
        <f>VLOOKUP($A40,main!$A$1:$BW$40,V$1,FALSE)</f>
        <v>#N/A</v>
      </c>
      <c r="W40" s="7" t="e">
        <f>VLOOKUP($A40,main!$A$1:$BW$40,W$1,FALSE)</f>
        <v>#N/A</v>
      </c>
      <c r="X40" s="7" t="e">
        <f>VLOOKUP($A40,main!$A$1:$BW$40,X$1,FALSE)</f>
        <v>#N/A</v>
      </c>
      <c r="Y40" s="7" t="e">
        <f>VLOOKUP($A40,main!$A$1:$BW$40,Y$1,FALSE)</f>
        <v>#N/A</v>
      </c>
      <c r="Z40" s="7" t="e">
        <f>VLOOKUP($A40,main!$A$1:$BW$40,Z$1,FALSE)</f>
        <v>#N/A</v>
      </c>
      <c r="AA40" s="7" t="e">
        <f>VLOOKUP($A40,main!$A$1:$BW$40,AA$1,FALSE)</f>
        <v>#N/A</v>
      </c>
      <c r="AB40" s="7" t="e">
        <f>VLOOKUP($A40,main!$A$1:$BW$40,AB$1,FALSE)</f>
        <v>#N/A</v>
      </c>
      <c r="AC40" s="7" t="e">
        <f>VLOOKUP($A40,main!$A$1:$BW$40,AC$1,FALSE)</f>
        <v>#N/A</v>
      </c>
      <c r="AD40" s="7" t="e">
        <f>VLOOKUP($A40,main!$A$1:$BW$40,AD$1,FALSE)</f>
        <v>#N/A</v>
      </c>
    </row>
    <row r="41" spans="1:30" x14ac:dyDescent="0.25">
      <c r="A41" s="2" t="s">
        <v>44</v>
      </c>
      <c r="B41" s="7" t="str">
        <f>VLOOKUP($A41,main!$A$1:$BW$40,B$1,FALSE)</f>
        <v>7.86%</v>
      </c>
      <c r="C41" s="7" t="str">
        <f>VLOOKUP($A41,main!$A$1:$BW$40,C$1,FALSE)</f>
        <v>6.16%</v>
      </c>
      <c r="D41" s="7" t="str">
        <f>VLOOKUP($A41,main!$A$1:$BW$40,D$1,FALSE)</f>
        <v>9.18%</v>
      </c>
      <c r="E41" s="7" t="str">
        <f>VLOOKUP($A41,main!$A$1:$BW$40,E$1,FALSE)</f>
        <v>8.17%</v>
      </c>
      <c r="F41" s="7" t="str">
        <f>VLOOKUP($A41,main!$A$1:$BW$40,F$1,FALSE)</f>
        <v>8.71%</v>
      </c>
      <c r="G41" s="7" t="str">
        <f>VLOOKUP($A41,main!$A$1:$BW$40,G$1,FALSE)</f>
        <v>6.74%</v>
      </c>
      <c r="H41" s="7" t="str">
        <f>VLOOKUP($A41,main!$A$1:$BW$40,H$1,FALSE)</f>
        <v>9.47%</v>
      </c>
      <c r="I41" s="7" t="str">
        <f>VLOOKUP($A41,main!$A$1:$BW$40,I$1,FALSE)</f>
        <v>9.53%</v>
      </c>
      <c r="J41" s="7" t="str">
        <f>VLOOKUP($A41,main!$A$1:$BW$40,J$1,FALSE)</f>
        <v>9.06%</v>
      </c>
      <c r="K41" s="7" t="str">
        <f>VLOOKUP($A41,main!$A$1:$BW$40,K$1,FALSE)</f>
        <v>6.98%</v>
      </c>
      <c r="L41" s="7" t="str">
        <f>VLOOKUP($A41,main!$A$1:$BW$40,L$1,FALSE)</f>
        <v>8.89%</v>
      </c>
      <c r="M41" s="7" t="str">
        <f>VLOOKUP($A41,main!$A$1:$BW$40,M$1,FALSE)</f>
        <v>7.98%</v>
      </c>
      <c r="N41" s="7" t="str">
        <f>VLOOKUP($A41,main!$A$1:$BW$40,N$1,FALSE)</f>
        <v>10.64%</v>
      </c>
      <c r="O41" s="7" t="str">
        <f>VLOOKUP($A41,main!$A$1:$BW$40,O$1,FALSE)</f>
        <v>6.27%</v>
      </c>
      <c r="P41" s="7" t="str">
        <f>VLOOKUP($A41,main!$A$1:$BW$40,P$1,FALSE)</f>
        <v>8.06%</v>
      </c>
      <c r="Q41" s="7" t="str">
        <f>VLOOKUP($A41,main!$A$1:$BW$40,Q$1,FALSE)</f>
        <v>5.99%</v>
      </c>
      <c r="R41" s="7" t="str">
        <f>VLOOKUP($A41,main!$A$1:$BW$40,R$1,FALSE)</f>
        <v>5.57%</v>
      </c>
      <c r="S41" s="7" t="str">
        <f>VLOOKUP($A41,main!$A$1:$BW$40,S$1,FALSE)</f>
        <v>5.51%</v>
      </c>
      <c r="T41" s="7" t="str">
        <f>VLOOKUP($A41,main!$A$1:$BW$40,T$1,FALSE)</f>
        <v>7.37%</v>
      </c>
      <c r="U41" s="7" t="str">
        <f>VLOOKUP($A41,main!$A$1:$BW$40,U$1,FALSE)</f>
        <v>6.54%</v>
      </c>
      <c r="V41" s="7" t="str">
        <f>VLOOKUP($A41,main!$A$1:$BW$40,V$1,FALSE)</f>
        <v>5.94%</v>
      </c>
      <c r="W41" s="7" t="str">
        <f>VLOOKUP($A41,main!$A$1:$BW$40,W$1,FALSE)</f>
        <v>5.90%</v>
      </c>
      <c r="X41" s="7" t="str">
        <f>VLOOKUP($A41,main!$A$1:$BW$40,X$1,FALSE)</f>
        <v>7.85%</v>
      </c>
      <c r="Y41" s="7" t="str">
        <f>VLOOKUP($A41,main!$A$1:$BW$40,Y$1,FALSE)</f>
        <v>8.94%</v>
      </c>
      <c r="Z41" s="7" t="str">
        <f>VLOOKUP($A41,main!$A$1:$BW$40,Z$1,FALSE)</f>
        <v>7.38%</v>
      </c>
      <c r="AA41" s="7" t="str">
        <f>VLOOKUP($A41,main!$A$1:$BW$40,AA$1,FALSE)</f>
        <v>7.32%</v>
      </c>
      <c r="AB41" s="7" t="str">
        <f>VLOOKUP($A41,main!$A$1:$BW$40,AB$1,FALSE)</f>
        <v>8.32%</v>
      </c>
      <c r="AC41" s="7" t="str">
        <f>VLOOKUP($A41,main!$A$1:$BW$40,AC$1,FALSE)</f>
        <v>9.88%</v>
      </c>
      <c r="AD41" s="7" t="str">
        <f>VLOOKUP($A41,main!$A$1:$BW$40,AD$1,FALSE)</f>
        <v>10.36%</v>
      </c>
    </row>
    <row r="42" spans="1:30" x14ac:dyDescent="0.25">
      <c r="A42" s="2" t="s">
        <v>43</v>
      </c>
      <c r="B42" s="7" t="str">
        <f>VLOOKUP($A42,main!$A$1:$BW$40,B$1,FALSE)</f>
        <v>91.06%</v>
      </c>
      <c r="C42" s="7" t="str">
        <f>VLOOKUP($A42,main!$A$1:$BW$40,C$1,FALSE)</f>
        <v>91.20%</v>
      </c>
      <c r="D42" s="7" t="str">
        <f>VLOOKUP($A42,main!$A$1:$BW$40,D$1,FALSE)</f>
        <v>91.67%</v>
      </c>
      <c r="E42" s="7" t="str">
        <f>VLOOKUP($A42,main!$A$1:$BW$40,E$1,FALSE)</f>
        <v>90.84%</v>
      </c>
      <c r="F42" s="7" t="str">
        <f>VLOOKUP($A42,main!$A$1:$BW$40,F$1,FALSE)</f>
        <v>--</v>
      </c>
      <c r="G42" s="7" t="str">
        <f>VLOOKUP($A42,main!$A$1:$BW$40,G$1,FALSE)</f>
        <v>91.57%</v>
      </c>
      <c r="H42" s="7" t="str">
        <f>VLOOKUP($A42,main!$A$1:$BW$40,H$1,FALSE)</f>
        <v>92.11%</v>
      </c>
      <c r="I42" s="7" t="str">
        <f>VLOOKUP($A42,main!$A$1:$BW$40,I$1,FALSE)</f>
        <v>91.19%</v>
      </c>
      <c r="J42" s="7" t="str">
        <f>VLOOKUP($A42,main!$A$1:$BW$40,J$1,FALSE)</f>
        <v>91.45%</v>
      </c>
      <c r="K42" s="7" t="str">
        <f>VLOOKUP($A42,main!$A$1:$BW$40,K$1,FALSE)</f>
        <v>90.54%</v>
      </c>
      <c r="L42" s="7" t="str">
        <f>VLOOKUP($A42,main!$A$1:$BW$40,L$1,FALSE)</f>
        <v>91.31%</v>
      </c>
      <c r="M42" s="7" t="str">
        <f>VLOOKUP($A42,main!$A$1:$BW$40,M$1,FALSE)</f>
        <v>89.43%</v>
      </c>
      <c r="N42" s="7" t="str">
        <f>VLOOKUP($A42,main!$A$1:$BW$40,N$1,FALSE)</f>
        <v>90.35%</v>
      </c>
      <c r="O42" s="7" t="str">
        <f>VLOOKUP($A42,main!$A$1:$BW$40,O$1,FALSE)</f>
        <v>87.74%</v>
      </c>
      <c r="P42" s="7" t="str">
        <f>VLOOKUP($A42,main!$A$1:$BW$40,P$1,FALSE)</f>
        <v>91.16%</v>
      </c>
      <c r="Q42" s="7" t="str">
        <f>VLOOKUP($A42,main!$A$1:$BW$40,Q$1,FALSE)</f>
        <v>90.31%</v>
      </c>
      <c r="R42" s="7" t="str">
        <f>VLOOKUP($A42,main!$A$1:$BW$40,R$1,FALSE)</f>
        <v>91.13%</v>
      </c>
      <c r="S42" s="7" t="str">
        <f>VLOOKUP($A42,main!$A$1:$BW$40,S$1,FALSE)</f>
        <v>91.32%</v>
      </c>
      <c r="T42" s="7" t="str">
        <f>VLOOKUP($A42,main!$A$1:$BW$40,T$1,FALSE)</f>
        <v>92.34%</v>
      </c>
      <c r="U42" s="7" t="str">
        <f>VLOOKUP($A42,main!$A$1:$BW$40,U$1,FALSE)</f>
        <v>91.68%</v>
      </c>
      <c r="V42" s="7" t="str">
        <f>VLOOKUP($A42,main!$A$1:$BW$40,V$1,FALSE)</f>
        <v>92.11%</v>
      </c>
      <c r="W42" s="7" t="str">
        <f>VLOOKUP($A42,main!$A$1:$BW$40,W$1,FALSE)</f>
        <v>91.90%</v>
      </c>
      <c r="X42" s="7" t="str">
        <f>VLOOKUP($A42,main!$A$1:$BW$40,X$1,FALSE)</f>
        <v>93.21%</v>
      </c>
      <c r="Y42" s="7" t="str">
        <f>VLOOKUP($A42,main!$A$1:$BW$40,Y$1,FALSE)</f>
        <v>92.44%</v>
      </c>
      <c r="Z42" s="7" t="str">
        <f>VLOOKUP($A42,main!$A$1:$BW$40,Z$1,FALSE)</f>
        <v>91.81%</v>
      </c>
      <c r="AA42" s="7" t="str">
        <f>VLOOKUP($A42,main!$A$1:$BW$40,AA$1,FALSE)</f>
        <v>93.01%</v>
      </c>
      <c r="AB42" s="7" t="str">
        <f>VLOOKUP($A42,main!$A$1:$BW$40,AB$1,FALSE)</f>
        <v>93.20%</v>
      </c>
      <c r="AC42" s="7" t="str">
        <f>VLOOKUP($A42,main!$A$1:$BW$40,AC$1,FALSE)</f>
        <v>91.62%</v>
      </c>
      <c r="AD42" s="7" t="str">
        <f>VLOOKUP($A42,main!$A$1:$BW$40,AD$1,FALSE)</f>
        <v>93.49%</v>
      </c>
    </row>
    <row r="43" spans="1:30" x14ac:dyDescent="0.25">
      <c r="A43" t="s">
        <v>53</v>
      </c>
      <c r="B43" s="16">
        <f>B16/B5</f>
        <v>0.66435129810577132</v>
      </c>
      <c r="C43" s="16">
        <f t="shared" ref="C43:AD43" si="2">C16/C5</f>
        <v>0.66484924578165694</v>
      </c>
      <c r="D43" s="16">
        <f t="shared" si="2"/>
        <v>0.73366509776743738</v>
      </c>
      <c r="E43" s="16">
        <f t="shared" si="2"/>
        <v>0.62058644218352832</v>
      </c>
      <c r="F43" s="16">
        <f t="shared" si="2"/>
        <v>0.66772578857030496</v>
      </c>
      <c r="G43" s="16">
        <f t="shared" si="2"/>
        <v>0.66347477610892069</v>
      </c>
      <c r="H43" s="16">
        <f t="shared" si="2"/>
        <v>0.71155909818623075</v>
      </c>
      <c r="I43" s="16">
        <f t="shared" si="2"/>
        <v>0.69748026940568952</v>
      </c>
      <c r="J43" s="16">
        <f t="shared" si="2"/>
        <v>0.65717383840361965</v>
      </c>
      <c r="K43" s="16">
        <f t="shared" si="2"/>
        <v>0.63491251812415761</v>
      </c>
      <c r="L43" s="16">
        <f t="shared" si="2"/>
        <v>0.66200099813417301</v>
      </c>
      <c r="M43" s="16">
        <f t="shared" si="2"/>
        <v>0.62158832688775967</v>
      </c>
      <c r="N43" s="16">
        <f t="shared" si="2"/>
        <v>0.65881422999218797</v>
      </c>
      <c r="O43" s="16">
        <f t="shared" si="2"/>
        <v>0.63327372867112752</v>
      </c>
      <c r="P43" s="16">
        <f t="shared" si="2"/>
        <v>0.63177552429417194</v>
      </c>
      <c r="Q43" s="16">
        <f t="shared" si="2"/>
        <v>0.48454109762642761</v>
      </c>
      <c r="R43" s="16">
        <f t="shared" si="2"/>
        <v>0.61277798641172776</v>
      </c>
      <c r="S43" s="16">
        <f t="shared" si="2"/>
        <v>0.65485146655101067</v>
      </c>
      <c r="T43" s="16">
        <f t="shared" si="2"/>
        <v>0.70262961143600056</v>
      </c>
      <c r="U43" s="16">
        <f t="shared" si="2"/>
        <v>0.60375687915105458</v>
      </c>
      <c r="V43" s="16">
        <f t="shared" si="2"/>
        <v>0.68136068244056347</v>
      </c>
      <c r="W43" s="16">
        <f t="shared" si="2"/>
        <v>0.66627513563066476</v>
      </c>
      <c r="X43" s="16">
        <f t="shared" si="2"/>
        <v>0.70822733366527046</v>
      </c>
      <c r="Y43" s="16">
        <f t="shared" si="2"/>
        <v>0.67568281859500279</v>
      </c>
      <c r="Z43" s="16">
        <f t="shared" si="2"/>
        <v>0.67024655692638146</v>
      </c>
      <c r="AA43" s="16">
        <f t="shared" si="2"/>
        <v>0.70104176670733653</v>
      </c>
      <c r="AB43" s="16">
        <f t="shared" si="2"/>
        <v>0.70167531748449985</v>
      </c>
      <c r="AC43" s="16">
        <f t="shared" si="2"/>
        <v>0.63720759863537946</v>
      </c>
      <c r="AD43" s="16">
        <f t="shared" si="2"/>
        <v>0.7139858972951979</v>
      </c>
    </row>
    <row r="44" spans="1:30" x14ac:dyDescent="0.25">
      <c r="A44" s="2" t="s">
        <v>42</v>
      </c>
      <c r="B44" s="7" t="str">
        <f>VLOOKUP($A44,main!$A$1:$BW$40,B$1,FALSE)</f>
        <v>53.34%</v>
      </c>
      <c r="C44" s="7" t="str">
        <f>VLOOKUP($A44,main!$A$1:$BW$40,C$1,FALSE)</f>
        <v>54.44%</v>
      </c>
      <c r="D44" s="7" t="str">
        <f>VLOOKUP($A44,main!$A$1:$BW$40,D$1,FALSE)</f>
        <v>56.80%</v>
      </c>
      <c r="E44" s="7" t="str">
        <f>VLOOKUP($A44,main!$A$1:$BW$40,E$1,FALSE)</f>
        <v>51.47%</v>
      </c>
      <c r="F44" s="7" t="str">
        <f>VLOOKUP($A44,main!$A$1:$BW$40,F$1,FALSE)</f>
        <v>53.19%</v>
      </c>
      <c r="G44" s="7" t="str">
        <f>VLOOKUP($A44,main!$A$1:$BW$40,G$1,FALSE)</f>
        <v>53.68%</v>
      </c>
      <c r="H44" s="7" t="str">
        <f>VLOOKUP($A44,main!$A$1:$BW$40,H$1,FALSE)</f>
        <v>55.05%</v>
      </c>
      <c r="I44" s="7" t="str">
        <f>VLOOKUP($A44,main!$A$1:$BW$40,I$1,FALSE)</f>
        <v>51.37%</v>
      </c>
      <c r="J44" s="7" t="str">
        <f>VLOOKUP($A44,main!$A$1:$BW$40,J$1,FALSE)</f>
        <v>50.86%</v>
      </c>
      <c r="K44" s="7" t="str">
        <f>VLOOKUP($A44,main!$A$1:$BW$40,K$1,FALSE)</f>
        <v>50.67%</v>
      </c>
      <c r="L44" s="7" t="str">
        <f>VLOOKUP($A44,main!$A$1:$BW$40,L$1,FALSE)</f>
        <v>52.28%</v>
      </c>
      <c r="M44" s="7" t="str">
        <f>VLOOKUP($A44,main!$A$1:$BW$40,M$1,FALSE)</f>
        <v>49.82%</v>
      </c>
      <c r="N44" s="7" t="str">
        <f>VLOOKUP($A44,main!$A$1:$BW$40,N$1,FALSE)</f>
        <v>50.32%</v>
      </c>
      <c r="O44" s="7" t="str">
        <f>VLOOKUP($A44,main!$A$1:$BW$40,O$1,FALSE)</f>
        <v>49.79%</v>
      </c>
      <c r="P44" s="7" t="str">
        <f>VLOOKUP($A44,main!$A$1:$BW$40,P$1,FALSE)</f>
        <v>49.18%</v>
      </c>
      <c r="Q44" s="7" t="str">
        <f>VLOOKUP($A44,main!$A$1:$BW$40,Q$1,FALSE)</f>
        <v>46.14%</v>
      </c>
      <c r="R44" s="7" t="str">
        <f>VLOOKUP($A44,main!$A$1:$BW$40,R$1,FALSE)</f>
        <v>50.05%</v>
      </c>
      <c r="S44" s="7" t="str">
        <f>VLOOKUP($A44,main!$A$1:$BW$40,S$1,FALSE)</f>
        <v>51.60%</v>
      </c>
      <c r="T44" s="7" t="str">
        <f>VLOOKUP($A44,main!$A$1:$BW$40,T$1,FALSE)</f>
        <v>52.18%</v>
      </c>
      <c r="U44" s="7" t="str">
        <f>VLOOKUP($A44,main!$A$1:$BW$40,U$1,FALSE)</f>
        <v>50.38%</v>
      </c>
      <c r="V44" s="7" t="str">
        <f>VLOOKUP($A44,main!$A$1:$BW$40,V$1,FALSE)</f>
        <v>52.39%</v>
      </c>
      <c r="W44" s="7" t="str">
        <f>VLOOKUP($A44,main!$A$1:$BW$40,W$1,FALSE)</f>
        <v>53.01%</v>
      </c>
      <c r="X44" s="7" t="str">
        <f>VLOOKUP($A44,main!$A$1:$BW$40,X$1,FALSE)</f>
        <v>54.17%</v>
      </c>
      <c r="Y44" s="7" t="str">
        <f>VLOOKUP($A44,main!$A$1:$BW$40,Y$1,FALSE)</f>
        <v>51.53%</v>
      </c>
      <c r="Z44" s="7" t="str">
        <f>VLOOKUP($A44,main!$A$1:$BW$40,Z$1,FALSE)</f>
        <v>52.38%</v>
      </c>
      <c r="AA44" s="7" t="str">
        <f>VLOOKUP($A44,main!$A$1:$BW$40,AA$1,FALSE)</f>
        <v>53.52%</v>
      </c>
      <c r="AB44" s="7" t="str">
        <f>VLOOKUP($A44,main!$A$1:$BW$40,AB$1,FALSE)</f>
        <v>53.06%</v>
      </c>
      <c r="AC44" s="7" t="str">
        <f>VLOOKUP($A44,main!$A$1:$BW$40,AC$1,FALSE)</f>
        <v>51.63%</v>
      </c>
      <c r="AD44" s="7" t="str">
        <f>VLOOKUP($A44,main!$A$1:$BW$40,AD$1,FALSE)</f>
        <v>53.17%</v>
      </c>
    </row>
    <row r="45" spans="1:30" x14ac:dyDescent="0.25">
      <c r="A45" t="s">
        <v>54</v>
      </c>
      <c r="B45" s="16">
        <f>B6/B25</f>
        <v>0.30394345655264399</v>
      </c>
      <c r="C45" s="16">
        <f t="shared" ref="C45:AD45" si="3">C6/C25</f>
        <v>0.24312664790852939</v>
      </c>
      <c r="D45" s="16">
        <f t="shared" si="3"/>
        <v>5.9704840238758869E-2</v>
      </c>
      <c r="E45" s="16">
        <f t="shared" si="3"/>
        <v>0.48338749505563494</v>
      </c>
      <c r="F45" s="16">
        <f t="shared" si="3"/>
        <v>0.16100769993680841</v>
      </c>
      <c r="G45" s="16">
        <f t="shared" si="3"/>
        <v>2.1716661619171846</v>
      </c>
      <c r="H45" s="16">
        <f t="shared" si="3"/>
        <v>0.10517199685116371</v>
      </c>
      <c r="I45" s="16">
        <f t="shared" si="3"/>
        <v>1.3818383552255078</v>
      </c>
      <c r="J45" s="16">
        <f t="shared" si="3"/>
        <v>1.1060611075568803</v>
      </c>
      <c r="K45" s="16">
        <f t="shared" si="3"/>
        <v>1.8211701641199181</v>
      </c>
      <c r="L45" s="16">
        <f t="shared" si="3"/>
        <v>0.96621864772164479</v>
      </c>
      <c r="M45" s="16">
        <f t="shared" si="3"/>
        <v>-0.14908620662682368</v>
      </c>
      <c r="N45" s="16">
        <f t="shared" si="3"/>
        <v>7.50321215482548</v>
      </c>
      <c r="O45" s="16" t="e">
        <f t="shared" si="3"/>
        <v>#REF!</v>
      </c>
      <c r="P45" s="16" t="e">
        <f t="shared" si="3"/>
        <v>#REF!</v>
      </c>
      <c r="Q45" s="16" t="e">
        <f t="shared" si="3"/>
        <v>#REF!</v>
      </c>
      <c r="R45" s="16" t="e">
        <f t="shared" si="3"/>
        <v>#REF!</v>
      </c>
      <c r="S45" s="16" t="e">
        <f t="shared" si="3"/>
        <v>#REF!</v>
      </c>
      <c r="T45" s="16" t="e">
        <f t="shared" si="3"/>
        <v>#REF!</v>
      </c>
      <c r="U45" s="16" t="e">
        <f t="shared" si="3"/>
        <v>#REF!</v>
      </c>
      <c r="V45" s="16" t="e">
        <f t="shared" si="3"/>
        <v>#REF!</v>
      </c>
      <c r="W45" s="16" t="e">
        <f t="shared" si="3"/>
        <v>#REF!</v>
      </c>
      <c r="X45" s="16" t="e">
        <f t="shared" si="3"/>
        <v>#REF!</v>
      </c>
      <c r="Y45" s="16" t="e">
        <f t="shared" si="3"/>
        <v>#REF!</v>
      </c>
      <c r="Z45" s="16" t="e">
        <f t="shared" si="3"/>
        <v>#REF!</v>
      </c>
      <c r="AA45" s="16" t="e">
        <f t="shared" si="3"/>
        <v>#REF!</v>
      </c>
      <c r="AB45" s="16" t="e">
        <f t="shared" si="3"/>
        <v>#REF!</v>
      </c>
      <c r="AC45" s="16" t="e">
        <f t="shared" si="3"/>
        <v>#REF!</v>
      </c>
      <c r="AD45" s="16" t="e">
        <f t="shared" si="3"/>
        <v>#REF!</v>
      </c>
    </row>
    <row r="46" spans="1:30" x14ac:dyDescent="0.25">
      <c r="A46" s="2" t="s">
        <v>40</v>
      </c>
      <c r="B46" s="7" t="str">
        <f>VLOOKUP($A46,main!$A$1:$BW$40,B$1,FALSE)</f>
        <v>7.18%</v>
      </c>
      <c r="C46" s="7" t="str">
        <f>VLOOKUP($A46,main!$A$1:$BW$40,C$1,FALSE)</f>
        <v>8.79%</v>
      </c>
      <c r="D46" s="7" t="str">
        <f>VLOOKUP($A46,main!$A$1:$BW$40,D$1,FALSE)</f>
        <v>12.54%</v>
      </c>
      <c r="E46" s="7" t="str">
        <f>VLOOKUP($A46,main!$A$1:$BW$40,E$1,FALSE)</f>
        <v>14.02%</v>
      </c>
      <c r="F46" s="7" t="str">
        <f>VLOOKUP($A46,main!$A$1:$BW$40,F$1,FALSE)</f>
        <v>13.28%</v>
      </c>
      <c r="G46" s="7" t="str">
        <f>VLOOKUP($A46,main!$A$1:$BW$40,G$1,FALSE)</f>
        <v>10.89%</v>
      </c>
      <c r="H46" s="7" t="str">
        <f>VLOOKUP($A46,main!$A$1:$BW$40,H$1,FALSE)</f>
        <v>22.21%</v>
      </c>
      <c r="I46" s="7" t="str">
        <f>VLOOKUP($A46,main!$A$1:$BW$40,I$1,FALSE)</f>
        <v>34.12%</v>
      </c>
      <c r="J46" s="7" t="str">
        <f>VLOOKUP($A46,main!$A$1:$BW$40,J$1,FALSE)</f>
        <v>3.81%</v>
      </c>
      <c r="K46" s="7" t="str">
        <f>VLOOKUP($A46,main!$A$1:$BW$40,K$1,FALSE)</f>
        <v>45.56%</v>
      </c>
      <c r="L46" s="7" t="str">
        <f>VLOOKUP($A46,main!$A$1:$BW$40,L$1,FALSE)</f>
        <v>32.21%</v>
      </c>
      <c r="M46" s="7" t="str">
        <f>VLOOKUP($A46,main!$A$1:$BW$40,M$1,FALSE)</f>
        <v>31.32%</v>
      </c>
      <c r="N46" s="7" t="str">
        <f>VLOOKUP($A46,main!$A$1:$BW$40,N$1,FALSE)</f>
        <v>115.95%</v>
      </c>
      <c r="O46" s="7" t="str">
        <f>VLOOKUP($A46,main!$A$1:$BW$40,O$1,FALSE)</f>
        <v>36.45%</v>
      </c>
      <c r="P46" s="7" t="str">
        <f>VLOOKUP($A46,main!$A$1:$BW$40,P$1,FALSE)</f>
        <v>35.73%</v>
      </c>
      <c r="Q46" s="7" t="str">
        <f>VLOOKUP($A46,main!$A$1:$BW$40,Q$1,FALSE)</f>
        <v>29.96%</v>
      </c>
      <c r="R46" s="7" t="str">
        <f>VLOOKUP($A46,main!$A$1:$BW$40,R$1,FALSE)</f>
        <v>16.51%</v>
      </c>
      <c r="S46" s="7" t="str">
        <f>VLOOKUP($A46,main!$A$1:$BW$40,S$1,FALSE)</f>
        <v>14.30%</v>
      </c>
      <c r="T46" s="7" t="str">
        <f>VLOOKUP($A46,main!$A$1:$BW$40,T$1,FALSE)</f>
        <v>17.01%</v>
      </c>
      <c r="U46" s="7" t="str">
        <f>VLOOKUP($A46,main!$A$1:$BW$40,U$1,FALSE)</f>
        <v>-3.30%</v>
      </c>
      <c r="V46" s="7" t="str">
        <f>VLOOKUP($A46,main!$A$1:$BW$40,V$1,FALSE)</f>
        <v>-0.12%</v>
      </c>
      <c r="W46" s="7" t="str">
        <f>VLOOKUP($A46,main!$A$1:$BW$40,W$1,FALSE)</f>
        <v>5.56%</v>
      </c>
      <c r="X46" s="7" t="str">
        <f>VLOOKUP($A46,main!$A$1:$BW$40,X$1,FALSE)</f>
        <v>15.55%</v>
      </c>
      <c r="Y46" s="7" t="str">
        <f>VLOOKUP($A46,main!$A$1:$BW$40,Y$1,FALSE)</f>
        <v>10.76%</v>
      </c>
      <c r="Z46" s="7" t="str">
        <f>VLOOKUP($A46,main!$A$1:$BW$40,Z$1,FALSE)</f>
        <v>-3.91%</v>
      </c>
      <c r="AA46" s="7" t="str">
        <f>VLOOKUP($A46,main!$A$1:$BW$40,AA$1,FALSE)</f>
        <v>0.89%</v>
      </c>
      <c r="AB46" s="7" t="str">
        <f>VLOOKUP($A46,main!$A$1:$BW$40,AB$1,FALSE)</f>
        <v>5.80%</v>
      </c>
      <c r="AC46" s="7" t="str">
        <f>VLOOKUP($A46,main!$A$1:$BW$40,AC$1,FALSE)</f>
        <v>39.00%</v>
      </c>
      <c r="AD46" s="7" t="str">
        <f>VLOOKUP($A46,main!$A$1:$BW$40,AD$1,FALSE)</f>
        <v>17.97%</v>
      </c>
    </row>
    <row r="47" spans="1:30" x14ac:dyDescent="0.25">
      <c r="A47" s="2" t="s">
        <v>39</v>
      </c>
      <c r="B47" s="7" t="str">
        <f>VLOOKUP($A47,main!$A$1:$BW$40,B$1,FALSE)</f>
        <v>6.87%</v>
      </c>
      <c r="C47" s="7" t="str">
        <f>VLOOKUP($A47,main!$A$1:$BW$40,C$1,FALSE)</f>
        <v>8.92%</v>
      </c>
      <c r="D47" s="7" t="str">
        <f>VLOOKUP($A47,main!$A$1:$BW$40,D$1,FALSE)</f>
        <v>16.69%</v>
      </c>
      <c r="E47" s="7" t="str">
        <f>VLOOKUP($A47,main!$A$1:$BW$40,E$1,FALSE)</f>
        <v>2.69%</v>
      </c>
      <c r="F47" s="7" t="str">
        <f>VLOOKUP($A47,main!$A$1:$BW$40,F$1,FALSE)</f>
        <v>17.11%</v>
      </c>
      <c r="G47" s="7" t="str">
        <f>VLOOKUP($A47,main!$A$1:$BW$40,G$1,FALSE)</f>
        <v>20.29%</v>
      </c>
      <c r="H47" s="7" t="str">
        <f>VLOOKUP($A47,main!$A$1:$BW$40,H$1,FALSE)</f>
        <v>31.91%</v>
      </c>
      <c r="I47" s="7" t="str">
        <f>VLOOKUP($A47,main!$A$1:$BW$40,I$1,FALSE)</f>
        <v>47.56%</v>
      </c>
      <c r="J47" s="7" t="str">
        <f>VLOOKUP($A47,main!$A$1:$BW$40,J$1,FALSE)</f>
        <v>2.71%</v>
      </c>
      <c r="K47" s="7" t="str">
        <f>VLOOKUP($A47,main!$A$1:$BW$40,K$1,FALSE)</f>
        <v>41.53%</v>
      </c>
      <c r="L47" s="7" t="str">
        <f>VLOOKUP($A47,main!$A$1:$BW$40,L$1,FALSE)</f>
        <v>38.93%</v>
      </c>
      <c r="M47" s="7" t="str">
        <f>VLOOKUP($A47,main!$A$1:$BW$40,M$1,FALSE)</f>
        <v>66.84%</v>
      </c>
      <c r="N47" s="7" t="str">
        <f>VLOOKUP($A47,main!$A$1:$BW$40,N$1,FALSE)</f>
        <v>138.41%</v>
      </c>
      <c r="O47" s="7" t="str">
        <f>VLOOKUP($A47,main!$A$1:$BW$40,O$1,FALSE)</f>
        <v>31.03%</v>
      </c>
      <c r="P47" s="7" t="str">
        <f>VLOOKUP($A47,main!$A$1:$BW$40,P$1,FALSE)</f>
        <v>25.24%</v>
      </c>
      <c r="Q47" s="7" t="str">
        <f>VLOOKUP($A47,main!$A$1:$BW$40,Q$1,FALSE)</f>
        <v>4.27%</v>
      </c>
      <c r="R47" s="7" t="str">
        <f>VLOOKUP($A47,main!$A$1:$BW$40,R$1,FALSE)</f>
        <v>3.58%</v>
      </c>
      <c r="S47" s="7" t="str">
        <f>VLOOKUP($A47,main!$A$1:$BW$40,S$1,FALSE)</f>
        <v>11.07%</v>
      </c>
      <c r="T47" s="7" t="str">
        <f>VLOOKUP($A47,main!$A$1:$BW$40,T$1,FALSE)</f>
        <v>12.01%</v>
      </c>
      <c r="U47" s="7" t="str">
        <f>VLOOKUP($A47,main!$A$1:$BW$40,U$1,FALSE)</f>
        <v>-12.41%</v>
      </c>
      <c r="V47" s="7" t="str">
        <f>VLOOKUP($A47,main!$A$1:$BW$40,V$1,FALSE)</f>
        <v>2.11%</v>
      </c>
      <c r="W47" s="7" t="str">
        <f>VLOOKUP($A47,main!$A$1:$BW$40,W$1,FALSE)</f>
        <v>-0.20%</v>
      </c>
      <c r="X47" s="7" t="str">
        <f>VLOOKUP($A47,main!$A$1:$BW$40,X$1,FALSE)</f>
        <v>17.99%</v>
      </c>
      <c r="Y47" s="7" t="str">
        <f>VLOOKUP($A47,main!$A$1:$BW$40,Y$1,FALSE)</f>
        <v>14.51%</v>
      </c>
      <c r="Z47" s="7" t="str">
        <f>VLOOKUP($A47,main!$A$1:$BW$40,Z$1,FALSE)</f>
        <v>-9.39%</v>
      </c>
      <c r="AA47" s="7" t="str">
        <f>VLOOKUP($A47,main!$A$1:$BW$40,AA$1,FALSE)</f>
        <v>-3.40%</v>
      </c>
      <c r="AB47" s="7" t="str">
        <f>VLOOKUP($A47,main!$A$1:$BW$40,AB$1,FALSE)</f>
        <v>2.96%</v>
      </c>
      <c r="AC47" s="7" t="str">
        <f>VLOOKUP($A47,main!$A$1:$BW$40,AC$1,FALSE)</f>
        <v>40.80%</v>
      </c>
      <c r="AD47" s="7" t="str">
        <f>VLOOKUP($A47,main!$A$1:$BW$40,AD$1,FALSE)</f>
        <v>11.62%</v>
      </c>
    </row>
    <row r="48" spans="1:30" x14ac:dyDescent="0.25">
      <c r="A48" s="2" t="s">
        <v>50</v>
      </c>
      <c r="B48" s="15">
        <f>(B29-C29)/C29</f>
        <v>0.20839968845216678</v>
      </c>
      <c r="C48" s="15">
        <f t="shared" ref="C48:N48" si="4">(C29-D29)/D29</f>
        <v>0.22275508619318482</v>
      </c>
      <c r="D48" s="15">
        <f t="shared" si="4"/>
        <v>0.26510501824139771</v>
      </c>
      <c r="E48" s="15">
        <f t="shared" si="4"/>
        <v>0.14591218462668312</v>
      </c>
      <c r="F48" s="15">
        <f t="shared" si="4"/>
        <v>0.19747447760947623</v>
      </c>
      <c r="G48" s="15">
        <f t="shared" si="4"/>
        <v>0.25340332005877209</v>
      </c>
      <c r="H48" s="15">
        <f t="shared" si="4"/>
        <v>0.24468457701476271</v>
      </c>
      <c r="I48" s="15">
        <f t="shared" si="4"/>
        <v>0.39564250734575496</v>
      </c>
      <c r="J48" s="15">
        <f t="shared" si="4"/>
        <v>0.36949948277813144</v>
      </c>
      <c r="K48" s="15">
        <f t="shared" si="4"/>
        <v>0.26603466548359389</v>
      </c>
      <c r="L48" s="15">
        <f t="shared" si="4"/>
        <v>0.27367057494553609</v>
      </c>
      <c r="M48" s="15">
        <f t="shared" si="4"/>
        <v>0.37455090336244051</v>
      </c>
      <c r="N48" s="15" t="e">
        <f t="shared" si="4"/>
        <v>#REF!</v>
      </c>
      <c r="O48" s="7" t="e">
        <f>VLOOKUP($A48,main!$A$1:$BW$40,O$1,FALSE)</f>
        <v>#N/A</v>
      </c>
      <c r="P48" s="7" t="e">
        <f>VLOOKUP($A48,main!$A$1:$BW$40,P$1,FALSE)</f>
        <v>#N/A</v>
      </c>
      <c r="Q48" s="7" t="e">
        <f>VLOOKUP($A48,main!$A$1:$BW$40,Q$1,FALSE)</f>
        <v>#N/A</v>
      </c>
      <c r="R48" s="7" t="e">
        <f>VLOOKUP($A48,main!$A$1:$BW$40,R$1,FALSE)</f>
        <v>#N/A</v>
      </c>
      <c r="S48" s="7" t="e">
        <f>VLOOKUP($A48,main!$A$1:$BW$40,S$1,FALSE)</f>
        <v>#N/A</v>
      </c>
      <c r="T48" s="7" t="e">
        <f>VLOOKUP($A48,main!$A$1:$BW$40,T$1,FALSE)</f>
        <v>#N/A</v>
      </c>
      <c r="U48" s="7" t="e">
        <f>VLOOKUP($A48,main!$A$1:$BW$40,U$1,FALSE)</f>
        <v>#N/A</v>
      </c>
      <c r="V48" s="7" t="e">
        <f>VLOOKUP($A48,main!$A$1:$BW$40,V$1,FALSE)</f>
        <v>#N/A</v>
      </c>
      <c r="W48" s="7" t="e">
        <f>VLOOKUP($A48,main!$A$1:$BW$40,W$1,FALSE)</f>
        <v>#N/A</v>
      </c>
      <c r="X48" s="7" t="e">
        <f>VLOOKUP($A48,main!$A$1:$BW$40,X$1,FALSE)</f>
        <v>#N/A</v>
      </c>
      <c r="Y48" s="7" t="e">
        <f>VLOOKUP($A48,main!$A$1:$BW$40,Y$1,FALSE)</f>
        <v>#N/A</v>
      </c>
      <c r="Z48" s="7" t="e">
        <f>VLOOKUP($A48,main!$A$1:$BW$40,Z$1,FALSE)</f>
        <v>#N/A</v>
      </c>
      <c r="AA48" s="7" t="e">
        <f>VLOOKUP($A48,main!$A$1:$BW$40,AA$1,FALSE)</f>
        <v>#N/A</v>
      </c>
      <c r="AB48" s="7" t="e">
        <f>VLOOKUP($A48,main!$A$1:$BW$40,AB$1,FALSE)</f>
        <v>#N/A</v>
      </c>
      <c r="AC48" s="7" t="e">
        <f>VLOOKUP($A48,main!$A$1:$BW$40,AC$1,FALSE)</f>
        <v>#N/A</v>
      </c>
      <c r="AD48" s="7" t="e">
        <f>VLOOKUP($A48,main!$A$1:$BW$40,AD$1,FALSE)</f>
        <v>#N/A</v>
      </c>
    </row>
    <row r="49" spans="1:30" x14ac:dyDescent="0.25">
      <c r="A49" s="5"/>
    </row>
    <row r="50" spans="1:30" x14ac:dyDescent="0.25">
      <c r="A50" t="s">
        <v>51</v>
      </c>
      <c r="B50" s="16">
        <f>B27/B29</f>
        <v>0.29015394769706709</v>
      </c>
      <c r="C50" s="16">
        <f t="shared" ref="C50:N50" si="5">C27/C29</f>
        <v>0.36145757056462352</v>
      </c>
      <c r="D50" s="16">
        <f t="shared" si="5"/>
        <v>0.40190209444418018</v>
      </c>
      <c r="E50" s="16">
        <f t="shared" si="5"/>
        <v>0.48796714646810441</v>
      </c>
      <c r="F50" s="16">
        <f t="shared" si="5"/>
        <v>0.30297492787801261</v>
      </c>
      <c r="G50" s="16">
        <f t="shared" si="5"/>
        <v>0.19094771792223914</v>
      </c>
      <c r="H50" s="16">
        <f t="shared" si="5"/>
        <v>0.2566347461445519</v>
      </c>
      <c r="I50" s="16">
        <f t="shared" si="5"/>
        <v>0.26919847693279852</v>
      </c>
      <c r="J50" s="16">
        <f t="shared" si="5"/>
        <v>0.37386716057260355</v>
      </c>
      <c r="K50" s="16">
        <f t="shared" si="5"/>
        <v>0.37942974479640157</v>
      </c>
      <c r="L50" s="16">
        <f t="shared" si="5"/>
        <v>0.34931815545115741</v>
      </c>
      <c r="M50" s="16">
        <f t="shared" si="5"/>
        <v>0.36952229234331152</v>
      </c>
      <c r="N50" s="16">
        <f t="shared" si="5"/>
        <v>0.25243786611785091</v>
      </c>
      <c r="O50" s="7" t="e">
        <f>VLOOKUP($A50,main!$A$1:$BW$40,O$1,FALSE)</f>
        <v>#N/A</v>
      </c>
      <c r="P50" s="7" t="e">
        <f>VLOOKUP($A50,main!$A$1:$BW$40,P$1,FALSE)</f>
        <v>#N/A</v>
      </c>
      <c r="Q50" s="7" t="e">
        <f>VLOOKUP($A50,main!$A$1:$BW$40,Q$1,FALSE)</f>
        <v>#N/A</v>
      </c>
      <c r="R50" s="7" t="e">
        <f>VLOOKUP($A50,main!$A$1:$BW$40,R$1,FALSE)</f>
        <v>#N/A</v>
      </c>
      <c r="S50" s="7" t="e">
        <f>VLOOKUP($A50,main!$A$1:$BW$40,S$1,FALSE)</f>
        <v>#N/A</v>
      </c>
      <c r="T50" s="7" t="e">
        <f>VLOOKUP($A50,main!$A$1:$BW$40,T$1,FALSE)</f>
        <v>#N/A</v>
      </c>
      <c r="U50" s="7" t="e">
        <f>VLOOKUP($A50,main!$A$1:$BW$40,U$1,FALSE)</f>
        <v>#N/A</v>
      </c>
      <c r="V50" s="7" t="e">
        <f>VLOOKUP($A50,main!$A$1:$BW$40,V$1,FALSE)</f>
        <v>#N/A</v>
      </c>
      <c r="W50" s="7" t="e">
        <f>VLOOKUP($A50,main!$A$1:$BW$40,W$1,FALSE)</f>
        <v>#N/A</v>
      </c>
      <c r="X50" s="7" t="e">
        <f>VLOOKUP($A50,main!$A$1:$BW$40,X$1,FALSE)</f>
        <v>#N/A</v>
      </c>
      <c r="Y50" s="7" t="e">
        <f>VLOOKUP($A50,main!$A$1:$BW$40,Y$1,FALSE)</f>
        <v>#N/A</v>
      </c>
      <c r="Z50" s="7" t="e">
        <f>VLOOKUP($A50,main!$A$1:$BW$40,Z$1,FALSE)</f>
        <v>#N/A</v>
      </c>
      <c r="AA50" s="7" t="e">
        <f>VLOOKUP($A50,main!$A$1:$BW$40,AA$1,FALSE)</f>
        <v>#N/A</v>
      </c>
      <c r="AB50" s="7" t="e">
        <f>VLOOKUP($A50,main!$A$1:$BW$40,AB$1,FALSE)</f>
        <v>#N/A</v>
      </c>
      <c r="AC50" s="7" t="e">
        <f>VLOOKUP($A50,main!$A$1:$BW$40,AC$1,FALSE)</f>
        <v>#N/A</v>
      </c>
      <c r="AD50" s="7" t="e">
        <f>VLOOKUP($A50,main!$A$1:$BW$40,AD$1,FALSE)</f>
        <v>#N/A</v>
      </c>
    </row>
    <row r="52" spans="1:30" x14ac:dyDescent="0.25">
      <c r="A52" s="5"/>
    </row>
    <row r="53" spans="1:30" x14ac:dyDescent="0.25">
      <c r="A53" s="3"/>
    </row>
    <row r="54" spans="1:30" x14ac:dyDescent="0.25">
      <c r="A54" s="3"/>
    </row>
    <row r="55" spans="1:30" x14ac:dyDescent="0.25">
      <c r="A55" s="5"/>
    </row>
    <row r="56" spans="1:30" x14ac:dyDescent="0.25">
      <c r="A56" s="5"/>
    </row>
    <row r="57" spans="1:30" x14ac:dyDescent="0.25">
      <c r="A57" s="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A741A-99F4-4C85-983C-78DD9135E35A}">
  <sheetPr codeName="Sheet10"/>
  <dimension ref="A1"/>
  <sheetViews>
    <sheetView zoomScaleNormal="100" workbookViewId="0">
      <selection activeCell="Q33" sqref="Q33"/>
    </sheetView>
  </sheetViews>
  <sheetFormatPr defaultRowHeight="15" x14ac:dyDescent="0.25"/>
  <cols>
    <col min="1" max="7" width="9.140625" style="2"/>
    <col min="8" max="8" width="16.140625" style="2" customWidth="1"/>
    <col min="9" max="263" width="9.140625" style="2"/>
    <col min="264" max="264" width="16.140625" style="2" customWidth="1"/>
    <col min="265" max="519" width="9.140625" style="2"/>
    <col min="520" max="520" width="16.140625" style="2" customWidth="1"/>
    <col min="521" max="775" width="9.140625" style="2"/>
    <col min="776" max="776" width="16.140625" style="2" customWidth="1"/>
    <col min="777" max="1031" width="9.140625" style="2"/>
    <col min="1032" max="1032" width="16.140625" style="2" customWidth="1"/>
    <col min="1033" max="1287" width="9.140625" style="2"/>
    <col min="1288" max="1288" width="16.140625" style="2" customWidth="1"/>
    <col min="1289" max="1543" width="9.140625" style="2"/>
    <col min="1544" max="1544" width="16.140625" style="2" customWidth="1"/>
    <col min="1545" max="1799" width="9.140625" style="2"/>
    <col min="1800" max="1800" width="16.140625" style="2" customWidth="1"/>
    <col min="1801" max="2055" width="9.140625" style="2"/>
    <col min="2056" max="2056" width="16.140625" style="2" customWidth="1"/>
    <col min="2057" max="2311" width="9.140625" style="2"/>
    <col min="2312" max="2312" width="16.140625" style="2" customWidth="1"/>
    <col min="2313" max="2567" width="9.140625" style="2"/>
    <col min="2568" max="2568" width="16.140625" style="2" customWidth="1"/>
    <col min="2569" max="2823" width="9.140625" style="2"/>
    <col min="2824" max="2824" width="16.140625" style="2" customWidth="1"/>
    <col min="2825" max="3079" width="9.140625" style="2"/>
    <col min="3080" max="3080" width="16.140625" style="2" customWidth="1"/>
    <col min="3081" max="3335" width="9.140625" style="2"/>
    <col min="3336" max="3336" width="16.140625" style="2" customWidth="1"/>
    <col min="3337" max="3591" width="9.140625" style="2"/>
    <col min="3592" max="3592" width="16.140625" style="2" customWidth="1"/>
    <col min="3593" max="3847" width="9.140625" style="2"/>
    <col min="3848" max="3848" width="16.140625" style="2" customWidth="1"/>
    <col min="3849" max="4103" width="9.140625" style="2"/>
    <col min="4104" max="4104" width="16.140625" style="2" customWidth="1"/>
    <col min="4105" max="4359" width="9.140625" style="2"/>
    <col min="4360" max="4360" width="16.140625" style="2" customWidth="1"/>
    <col min="4361" max="4615" width="9.140625" style="2"/>
    <col min="4616" max="4616" width="16.140625" style="2" customWidth="1"/>
    <col min="4617" max="4871" width="9.140625" style="2"/>
    <col min="4872" max="4872" width="16.140625" style="2" customWidth="1"/>
    <col min="4873" max="5127" width="9.140625" style="2"/>
    <col min="5128" max="5128" width="16.140625" style="2" customWidth="1"/>
    <col min="5129" max="5383" width="9.140625" style="2"/>
    <col min="5384" max="5384" width="16.140625" style="2" customWidth="1"/>
    <col min="5385" max="5639" width="9.140625" style="2"/>
    <col min="5640" max="5640" width="16.140625" style="2" customWidth="1"/>
    <col min="5641" max="5895" width="9.140625" style="2"/>
    <col min="5896" max="5896" width="16.140625" style="2" customWidth="1"/>
    <col min="5897" max="6151" width="9.140625" style="2"/>
    <col min="6152" max="6152" width="16.140625" style="2" customWidth="1"/>
    <col min="6153" max="6407" width="9.140625" style="2"/>
    <col min="6408" max="6408" width="16.140625" style="2" customWidth="1"/>
    <col min="6409" max="6663" width="9.140625" style="2"/>
    <col min="6664" max="6664" width="16.140625" style="2" customWidth="1"/>
    <col min="6665" max="6919" width="9.140625" style="2"/>
    <col min="6920" max="6920" width="16.140625" style="2" customWidth="1"/>
    <col min="6921" max="7175" width="9.140625" style="2"/>
    <col min="7176" max="7176" width="16.140625" style="2" customWidth="1"/>
    <col min="7177" max="7431" width="9.140625" style="2"/>
    <col min="7432" max="7432" width="16.140625" style="2" customWidth="1"/>
    <col min="7433" max="7687" width="9.140625" style="2"/>
    <col min="7688" max="7688" width="16.140625" style="2" customWidth="1"/>
    <col min="7689" max="7943" width="9.140625" style="2"/>
    <col min="7944" max="7944" width="16.140625" style="2" customWidth="1"/>
    <col min="7945" max="8199" width="9.140625" style="2"/>
    <col min="8200" max="8200" width="16.140625" style="2" customWidth="1"/>
    <col min="8201" max="8455" width="9.140625" style="2"/>
    <col min="8456" max="8456" width="16.140625" style="2" customWidth="1"/>
    <col min="8457" max="8711" width="9.140625" style="2"/>
    <col min="8712" max="8712" width="16.140625" style="2" customWidth="1"/>
    <col min="8713" max="8967" width="9.140625" style="2"/>
    <col min="8968" max="8968" width="16.140625" style="2" customWidth="1"/>
    <col min="8969" max="9223" width="9.140625" style="2"/>
    <col min="9224" max="9224" width="16.140625" style="2" customWidth="1"/>
    <col min="9225" max="9479" width="9.140625" style="2"/>
    <col min="9480" max="9480" width="16.140625" style="2" customWidth="1"/>
    <col min="9481" max="9735" width="9.140625" style="2"/>
    <col min="9736" max="9736" width="16.140625" style="2" customWidth="1"/>
    <col min="9737" max="9991" width="9.140625" style="2"/>
    <col min="9992" max="9992" width="16.140625" style="2" customWidth="1"/>
    <col min="9993" max="10247" width="9.140625" style="2"/>
    <col min="10248" max="10248" width="16.140625" style="2" customWidth="1"/>
    <col min="10249" max="10503" width="9.140625" style="2"/>
    <col min="10504" max="10504" width="16.140625" style="2" customWidth="1"/>
    <col min="10505" max="10759" width="9.140625" style="2"/>
    <col min="10760" max="10760" width="16.140625" style="2" customWidth="1"/>
    <col min="10761" max="11015" width="9.140625" style="2"/>
    <col min="11016" max="11016" width="16.140625" style="2" customWidth="1"/>
    <col min="11017" max="11271" width="9.140625" style="2"/>
    <col min="11272" max="11272" width="16.140625" style="2" customWidth="1"/>
    <col min="11273" max="11527" width="9.140625" style="2"/>
    <col min="11528" max="11528" width="16.140625" style="2" customWidth="1"/>
    <col min="11529" max="11783" width="9.140625" style="2"/>
    <col min="11784" max="11784" width="16.140625" style="2" customWidth="1"/>
    <col min="11785" max="12039" width="9.140625" style="2"/>
    <col min="12040" max="12040" width="16.140625" style="2" customWidth="1"/>
    <col min="12041" max="12295" width="9.140625" style="2"/>
    <col min="12296" max="12296" width="16.140625" style="2" customWidth="1"/>
    <col min="12297" max="12551" width="9.140625" style="2"/>
    <col min="12552" max="12552" width="16.140625" style="2" customWidth="1"/>
    <col min="12553" max="12807" width="9.140625" style="2"/>
    <col min="12808" max="12808" width="16.140625" style="2" customWidth="1"/>
    <col min="12809" max="13063" width="9.140625" style="2"/>
    <col min="13064" max="13064" width="16.140625" style="2" customWidth="1"/>
    <col min="13065" max="13319" width="9.140625" style="2"/>
    <col min="13320" max="13320" width="16.140625" style="2" customWidth="1"/>
    <col min="13321" max="13575" width="9.140625" style="2"/>
    <col min="13576" max="13576" width="16.140625" style="2" customWidth="1"/>
    <col min="13577" max="13831" width="9.140625" style="2"/>
    <col min="13832" max="13832" width="16.140625" style="2" customWidth="1"/>
    <col min="13833" max="14087" width="9.140625" style="2"/>
    <col min="14088" max="14088" width="16.140625" style="2" customWidth="1"/>
    <col min="14089" max="14343" width="9.140625" style="2"/>
    <col min="14344" max="14344" width="16.140625" style="2" customWidth="1"/>
    <col min="14345" max="14599" width="9.140625" style="2"/>
    <col min="14600" max="14600" width="16.140625" style="2" customWidth="1"/>
    <col min="14601" max="14855" width="9.140625" style="2"/>
    <col min="14856" max="14856" width="16.140625" style="2" customWidth="1"/>
    <col min="14857" max="15111" width="9.140625" style="2"/>
    <col min="15112" max="15112" width="16.140625" style="2" customWidth="1"/>
    <col min="15113" max="15367" width="9.140625" style="2"/>
    <col min="15368" max="15368" width="16.140625" style="2" customWidth="1"/>
    <col min="15369" max="15623" width="9.140625" style="2"/>
    <col min="15624" max="15624" width="16.140625" style="2" customWidth="1"/>
    <col min="15625" max="15879" width="9.140625" style="2"/>
    <col min="15880" max="15880" width="16.140625" style="2" customWidth="1"/>
    <col min="15881" max="16135" width="9.140625" style="2"/>
    <col min="16136" max="16136" width="16.140625" style="2" customWidth="1"/>
    <col min="16137" max="16384" width="9.140625" style="2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B1DE-56F9-4ED0-842D-7E78F94EF7A8}">
  <sheetPr codeName="Sheet15"/>
  <dimension ref="A1:AD89"/>
  <sheetViews>
    <sheetView workbookViewId="0">
      <selection activeCell="B7" sqref="B7"/>
    </sheetView>
  </sheetViews>
  <sheetFormatPr defaultRowHeight="15" x14ac:dyDescent="0.25"/>
  <cols>
    <col min="1" max="1" width="59.85546875" bestFit="1" customWidth="1"/>
    <col min="2" max="30" width="12.140625" bestFit="1" customWidth="1"/>
  </cols>
  <sheetData>
    <row r="1" spans="1:30" x14ac:dyDescent="0.25">
      <c r="A1" s="8"/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  <c r="Y1" s="13">
        <v>25</v>
      </c>
      <c r="Z1" s="13">
        <v>26</v>
      </c>
      <c r="AA1" s="13">
        <v>27</v>
      </c>
      <c r="AB1" s="13">
        <v>28</v>
      </c>
      <c r="AC1" s="13">
        <v>29</v>
      </c>
      <c r="AD1" s="13">
        <v>30</v>
      </c>
    </row>
    <row r="2" spans="1:30" x14ac:dyDescent="0.25">
      <c r="A2" s="17" t="s">
        <v>10</v>
      </c>
      <c r="B2" s="21" t="str">
        <f>"'"&amp;AD36&amp;"',"</f>
        <v>'2013-09-30',</v>
      </c>
      <c r="C2" s="21" t="str">
        <f>"'"&amp;AC36&amp;"',"</f>
        <v>'2013-12-31',</v>
      </c>
      <c r="D2" s="21" t="str">
        <f>"'"&amp;AB36&amp;"',"</f>
        <v>'2014-03-31',</v>
      </c>
      <c r="E2" s="21" t="str">
        <f>"'"&amp;AA36&amp;"',"</f>
        <v>'2014-06-30',</v>
      </c>
      <c r="F2" s="21" t="str">
        <f>"'"&amp;Z36&amp;"',"</f>
        <v>'2014-09-30',</v>
      </c>
      <c r="G2" s="21" t="str">
        <f>"'"&amp;Y36&amp;"',"</f>
        <v>'2014-12-31',</v>
      </c>
      <c r="H2" s="21" t="str">
        <f>"'"&amp;X36&amp;"',"</f>
        <v>'2015-03-31',</v>
      </c>
      <c r="I2" s="21" t="str">
        <f>"'"&amp;W36&amp;"',"</f>
        <v>'2015-06-30',</v>
      </c>
      <c r="J2" s="21" t="str">
        <f>"'"&amp;V36&amp;"',"</f>
        <v>'2015-09-30',</v>
      </c>
      <c r="K2" s="21" t="str">
        <f>"'"&amp;U36&amp;"',"</f>
        <v>'2015-12-31',</v>
      </c>
      <c r="L2" s="21" t="str">
        <f>"'"&amp;T36&amp;"',"</f>
        <v>'2016-03-31',</v>
      </c>
      <c r="M2" s="21" t="str">
        <f>"'"&amp;S36&amp;"',"</f>
        <v>'2016-06-30',</v>
      </c>
      <c r="N2" s="21" t="str">
        <f>"'"&amp;R36&amp;"',"</f>
        <v>'2016-09-30',</v>
      </c>
      <c r="O2" s="21" t="str">
        <f>"'"&amp;Q36&amp;"',"</f>
        <v>'2016-12-31',</v>
      </c>
      <c r="P2" s="21" t="str">
        <f>"'"&amp;P36&amp;"',"</f>
        <v>'2017-03-31',</v>
      </c>
      <c r="Q2" s="21" t="str">
        <f>"'"&amp;O36&amp;"',"</f>
        <v>'2017-06-30',</v>
      </c>
      <c r="R2" s="21" t="str">
        <f>"'"&amp;N36&amp;"',"</f>
        <v>'2017-09-30',</v>
      </c>
      <c r="S2" s="21" t="str">
        <f>"'"&amp;M36&amp;"',"</f>
        <v>'2017-12-31',</v>
      </c>
      <c r="T2" s="21" t="str">
        <f>"'"&amp;L36&amp;"',"</f>
        <v>'2018-03-31',</v>
      </c>
      <c r="U2" s="21" t="str">
        <f>"'"&amp;K36&amp;"',"</f>
        <v>'2018-06-30',</v>
      </c>
      <c r="V2" s="21" t="str">
        <f>"'"&amp;J36&amp;"',"</f>
        <v>'2018-09-30',</v>
      </c>
      <c r="W2" s="21" t="str">
        <f>"'"&amp;I36&amp;"',"</f>
        <v>'2018-12-31',</v>
      </c>
      <c r="X2" s="21" t="str">
        <f>"'"&amp;H36&amp;"',"</f>
        <v>'2019-03-31',</v>
      </c>
      <c r="Y2" s="21" t="str">
        <f>"'"&amp;G36&amp;"',"</f>
        <v>'2019-06-30',</v>
      </c>
      <c r="Z2" s="21" t="str">
        <f>"'"&amp;F36&amp;"',"</f>
        <v>'2019-09-30',</v>
      </c>
      <c r="AA2" s="21" t="str">
        <f>"'"&amp;E36&amp;"',"</f>
        <v>'2019-12-31',</v>
      </c>
      <c r="AB2" s="21" t="str">
        <f>"'"&amp;D36&amp;"',"</f>
        <v>'2020-03-31',</v>
      </c>
      <c r="AC2" s="21" t="str">
        <f>"'"&amp;C36&amp;"',"</f>
        <v>'2020-06-30',</v>
      </c>
      <c r="AD2" s="21" t="str">
        <f>"'"&amp;B36&amp;"',"</f>
        <v>'2020-09-30',</v>
      </c>
    </row>
    <row r="3" spans="1:30" x14ac:dyDescent="0.25">
      <c r="A3" s="18" t="s">
        <v>22</v>
      </c>
      <c r="B3" s="21" t="str">
        <f t="shared" ref="B3:B16" si="0">TEXT(AD37,"0.00")&amp;","</f>
        <v>38.22,</v>
      </c>
      <c r="C3" s="21" t="str">
        <f t="shared" ref="C3:C16" si="1">TEXT(AC37,"0.00")&amp;","</f>
        <v>40.66,</v>
      </c>
      <c r="D3" s="21" t="str">
        <f t="shared" ref="D3:D16" si="2">TEXT(AB37,"0.00")&amp;","</f>
        <v>36.99,</v>
      </c>
      <c r="E3" s="21" t="str">
        <f t="shared" ref="E3:E16" si="3">TEXT(AA37,"0.00")&amp;","</f>
        <v>35.30,</v>
      </c>
      <c r="F3" s="21" t="str">
        <f t="shared" ref="F3:F16" si="4">TEXT(Z37,"0.00")&amp;","</f>
        <v>34.63,</v>
      </c>
      <c r="G3" s="21" t="str">
        <f t="shared" ref="G3:G16" si="5">TEXT(Y37,"0.00")&amp;","</f>
        <v>46.56,</v>
      </c>
      <c r="H3" s="21" t="str">
        <f t="shared" ref="H3:H16" si="6">TEXT(X37,"0.00")&amp;","</f>
        <v>43.65,</v>
      </c>
      <c r="I3" s="21" t="str">
        <f t="shared" ref="I3:I16" si="7">TEXT(W37,"0.00")&amp;","</f>
        <v>35.23,</v>
      </c>
      <c r="J3" s="21" t="str">
        <f t="shared" ref="J3:J16" si="8">TEXT(V37,"0.00")&amp;","</f>
        <v>35.36,</v>
      </c>
      <c r="K3" s="21" t="str">
        <f t="shared" ref="K3:K16" si="9">TEXT(U37,"0.00")&amp;","</f>
        <v>40.78,</v>
      </c>
      <c r="L3" s="21" t="str">
        <f t="shared" ref="L3:L16" si="10">TEXT(T37,"0.00")&amp;","</f>
        <v>48.89,</v>
      </c>
      <c r="M3" s="21" t="str">
        <f t="shared" ref="M3:M16" si="11">TEXT(S37,"0.00")&amp;","</f>
        <v>39.13,</v>
      </c>
      <c r="N3" s="21" t="str">
        <f t="shared" ref="N3:N16" si="12">TEXT(R37,"0.00")&amp;","</f>
        <v>36.63,</v>
      </c>
      <c r="O3" s="21" t="str">
        <f t="shared" ref="O3:O16" si="13">TEXT(Q37,"0.00")&amp;","</f>
        <v>42.53,</v>
      </c>
      <c r="P3" s="21" t="str">
        <f t="shared" ref="P3:P16" si="14">TEXT(P37,"0.00")&amp;","</f>
        <v>61.23,</v>
      </c>
      <c r="Q3" s="21" t="str">
        <f t="shared" ref="Q3:Q16" si="15">TEXT(O37,"0.00")&amp;","</f>
        <v>51.28,</v>
      </c>
      <c r="R3" s="21" t="str">
        <f t="shared" ref="R3:R16" si="16">TEXT(N37,"0.00")&amp;","</f>
        <v>87.33,</v>
      </c>
      <c r="S3" s="21" t="str">
        <f t="shared" ref="S3:S16" si="17">TEXT(M37,"0.00")&amp;","</f>
        <v>70.96,</v>
      </c>
      <c r="T3" s="21" t="str">
        <f t="shared" ref="T3:T16" si="18">TEXT(L37,"0.00")&amp;","</f>
        <v>85.07,</v>
      </c>
      <c r="U3" s="21" t="str">
        <f t="shared" ref="U3:U16" si="19">TEXT(K37,"0.00")&amp;","</f>
        <v>72.57,</v>
      </c>
      <c r="V3" s="21" t="str">
        <f t="shared" ref="V3:V16" si="20">TEXT(J37,"0.00")&amp;","</f>
        <v>89.69,</v>
      </c>
      <c r="W3" s="21" t="str">
        <f t="shared" ref="W3:W16" si="21">TEXT(I37,"0.00")&amp;","</f>
        <v>104.70,</v>
      </c>
      <c r="X3" s="21" t="str">
        <f t="shared" ref="X3:X16" si="22">TEXT(H37,"0.00")&amp;","</f>
        <v>112.21,</v>
      </c>
      <c r="Y3" s="21" t="str">
        <f t="shared" ref="Y3:Y16" si="23">TEXT(G37,"0.00")&amp;","</f>
        <v>87.30,</v>
      </c>
      <c r="Z3" s="21" t="str">
        <f t="shared" ref="Z3:Z16" si="24">TEXT(F37,"0.00")&amp;","</f>
        <v>105.04,</v>
      </c>
      <c r="AA3" s="21" t="str">
        <f t="shared" ref="AA3:AA16" si="25">TEXT(E37,"0.00")&amp;","</f>
        <v>107.52,</v>
      </c>
      <c r="AB3" s="21" t="str">
        <f t="shared" ref="AB3:AB16" si="26">TEXT(D37,"0.00")&amp;","</f>
        <v>130.94,</v>
      </c>
      <c r="AC3" s="21" t="str">
        <f t="shared" ref="AC3:AC16" si="27">TEXT(C37,"0.00")&amp;","</f>
        <v>95.08,</v>
      </c>
      <c r="AD3" s="21" t="str">
        <f t="shared" ref="AD3:AD16" si="28">TEXT(B37,"0.00")&amp;","</f>
        <v>112.25,</v>
      </c>
    </row>
    <row r="4" spans="1:30" x14ac:dyDescent="0.25">
      <c r="A4" s="18" t="s">
        <v>33</v>
      </c>
      <c r="B4" s="21" t="str">
        <f t="shared" si="0"/>
        <v>38.74,</v>
      </c>
      <c r="C4" s="21" t="str">
        <f t="shared" si="1"/>
        <v>41.35,</v>
      </c>
      <c r="D4" s="21" t="str">
        <f t="shared" si="2"/>
        <v>37.05,</v>
      </c>
      <c r="E4" s="21" t="str">
        <f t="shared" si="3"/>
        <v>35.45,</v>
      </c>
      <c r="F4" s="21" t="str">
        <f t="shared" si="4"/>
        <v>35.41,</v>
      </c>
      <c r="G4" s="21" t="str">
        <f t="shared" si="5"/>
        <v>47.29,</v>
      </c>
      <c r="H4" s="21" t="str">
        <f t="shared" si="6"/>
        <v>43.67,</v>
      </c>
      <c r="I4" s="21" t="str">
        <f t="shared" si="7"/>
        <v>35.23,</v>
      </c>
      <c r="J4" s="21" t="str">
        <f t="shared" si="8"/>
        <v>36.31,</v>
      </c>
      <c r="K4" s="21" t="str">
        <f t="shared" si="9"/>
        <v>40.96,</v>
      </c>
      <c r="L4" s="21" t="str">
        <f t="shared" si="10"/>
        <v>48.86,</v>
      </c>
      <c r="M4" s="21" t="str">
        <f t="shared" si="11"/>
        <v>39.13,</v>
      </c>
      <c r="N4" s="21" t="str">
        <f t="shared" si="12"/>
        <v>37.46,</v>
      </c>
      <c r="O4" s="21" t="str">
        <f t="shared" si="13"/>
        <v>44.09,</v>
      </c>
      <c r="P4" s="21" t="str">
        <f t="shared" si="14"/>
        <v>61.48,</v>
      </c>
      <c r="Q4" s="21" t="str">
        <f t="shared" si="15"/>
        <v>51.32,</v>
      </c>
      <c r="R4" s="21" t="str">
        <f t="shared" si="16"/>
        <v>88.07,</v>
      </c>
      <c r="S4" s="21" t="str">
        <f t="shared" si="17"/>
        <v>71.37,</v>
      </c>
      <c r="T4" s="21" t="str">
        <f t="shared" si="18"/>
        <v>85.11,</v>
      </c>
      <c r="U4" s="21" t="str">
        <f t="shared" si="19"/>
        <v>73.73,</v>
      </c>
      <c r="V4" s="21" t="str">
        <f t="shared" si="20"/>
        <v>90.45,</v>
      </c>
      <c r="W4" s="21" t="str">
        <f t="shared" si="21"/>
        <v>106.56,</v>
      </c>
      <c r="X4" s="21" t="str">
        <f t="shared" si="22"/>
        <v>113.02,</v>
      </c>
      <c r="Y4" s="21" t="str">
        <f t="shared" si="23"/>
        <v>87.30,</v>
      </c>
      <c r="Z4" s="21" t="str">
        <f t="shared" si="24"/>
        <v>105.03,</v>
      </c>
      <c r="AA4" s="21" t="str">
        <f t="shared" si="25"/>
        <v>108.73,</v>
      </c>
      <c r="AB4" s="21" t="str">
        <f t="shared" si="26"/>
        <v>131.55,</v>
      </c>
      <c r="AC4" s="21" t="str">
        <f t="shared" si="27"/>
        <v>95.18,</v>
      </c>
      <c r="AD4" s="21" t="str">
        <f t="shared" si="28"/>
        <v>112.29,</v>
      </c>
    </row>
    <row r="5" spans="1:30" x14ac:dyDescent="0.25">
      <c r="A5" s="18" t="s">
        <v>34</v>
      </c>
      <c r="B5" s="21" t="str">
        <f t="shared" si="0"/>
        <v>78.65,</v>
      </c>
      <c r="C5" s="21" t="str">
        <f t="shared" si="1"/>
        <v>90.68,</v>
      </c>
      <c r="D5" s="21" t="str">
        <f t="shared" si="2"/>
        <v>75.82,</v>
      </c>
      <c r="E5" s="21" t="str">
        <f t="shared" si="3"/>
        <v>70.34,</v>
      </c>
      <c r="F5" s="21" t="str">
        <f t="shared" si="4"/>
        <v>75.58,</v>
      </c>
      <c r="G5" s="21" t="str">
        <f t="shared" si="5"/>
        <v>100.44,</v>
      </c>
      <c r="H5" s="21" t="str">
        <f t="shared" si="6"/>
        <v>87.60,</v>
      </c>
      <c r="I5" s="21" t="str">
        <f t="shared" si="7"/>
        <v>74.25,</v>
      </c>
      <c r="J5" s="21" t="str">
        <f t="shared" si="8"/>
        <v>75.49,</v>
      </c>
      <c r="K5" s="21" t="str">
        <f t="shared" si="9"/>
        <v>97.13,</v>
      </c>
      <c r="L5" s="21" t="str">
        <f t="shared" si="10"/>
        <v>102.51,</v>
      </c>
      <c r="M5" s="21" t="str">
        <f t="shared" si="11"/>
        <v>84.87,</v>
      </c>
      <c r="N5" s="21" t="str">
        <f t="shared" si="12"/>
        <v>87.95,</v>
      </c>
      <c r="O5" s="21" t="str">
        <f t="shared" si="13"/>
        <v>126.22,</v>
      </c>
      <c r="P5" s="21" t="str">
        <f t="shared" si="14"/>
        <v>139.13,</v>
      </c>
      <c r="Q5" s="21" t="str">
        <f t="shared" si="15"/>
        <v>115.80,</v>
      </c>
      <c r="R5" s="21" t="str">
        <f t="shared" si="16"/>
        <v>189.93,</v>
      </c>
      <c r="S5" s="21" t="str">
        <f t="shared" si="17"/>
        <v>165.75,</v>
      </c>
      <c r="T5" s="21" t="str">
        <f t="shared" si="18"/>
        <v>183.95,</v>
      </c>
      <c r="U5" s="21" t="str">
        <f t="shared" si="19"/>
        <v>168.56,</v>
      </c>
      <c r="V5" s="21" t="str">
        <f t="shared" si="20"/>
        <v>197.18,</v>
      </c>
      <c r="W5" s="21" t="str">
        <f t="shared" si="21"/>
        <v>222.30,</v>
      </c>
      <c r="X5" s="21" t="str">
        <f t="shared" si="22"/>
        <v>224.81,</v>
      </c>
      <c r="Y5" s="21" t="str">
        <f t="shared" si="23"/>
        <v>186.92,</v>
      </c>
      <c r="Z5" s="21" t="str">
        <f t="shared" si="24"/>
        <v>223.36,</v>
      </c>
      <c r="AA5" s="21" t="str">
        <f t="shared" si="25"/>
        <v>253.46,</v>
      </c>
      <c r="AB5" s="21" t="str">
        <f t="shared" si="26"/>
        <v>252.98,</v>
      </c>
      <c r="AC5" s="21" t="str">
        <f t="shared" si="27"/>
        <v>203.36,</v>
      </c>
      <c r="AD5" s="21" t="str">
        <f t="shared" si="28"/>
        <v>239.41,</v>
      </c>
    </row>
    <row r="6" spans="1:30" x14ac:dyDescent="0.25">
      <c r="A6" s="19" t="s">
        <v>17</v>
      </c>
      <c r="B6" s="21" t="str">
        <f t="shared" si="0"/>
        <v>40.30,</v>
      </c>
      <c r="C6" s="21" t="str">
        <f t="shared" si="1"/>
        <v>34.10,</v>
      </c>
      <c r="D6" s="21" t="str">
        <f t="shared" si="2"/>
        <v>1.74,</v>
      </c>
      <c r="E6" s="21" t="str">
        <f t="shared" si="3"/>
        <v>41.15,</v>
      </c>
      <c r="F6" s="21" t="str">
        <f t="shared" si="4"/>
        <v>33.91,</v>
      </c>
      <c r="G6" s="21" t="str">
        <f t="shared" si="5"/>
        <v>49.53,</v>
      </c>
      <c r="H6" s="21" t="str">
        <f t="shared" si="6"/>
        <v>21.12,</v>
      </c>
      <c r="I6" s="21" t="str">
        <f t="shared" si="7"/>
        <v>27.90,</v>
      </c>
      <c r="J6" s="21" t="str">
        <f t="shared" si="8"/>
        <v>65.22,</v>
      </c>
      <c r="K6" s="21" t="str">
        <f t="shared" si="9"/>
        <v>60.13,</v>
      </c>
      <c r="L6" s="21" t="str">
        <f t="shared" si="10"/>
        <v>74.36,</v>
      </c>
      <c r="M6" s="21" t="str">
        <f t="shared" si="11"/>
        <v>61.68,</v>
      </c>
      <c r="N6" s="21" t="str">
        <f t="shared" si="12"/>
        <v>189.31,</v>
      </c>
      <c r="O6" s="21" t="str">
        <f t="shared" si="13"/>
        <v>49.16,</v>
      </c>
      <c r="P6" s="21" t="str">
        <f t="shared" si="14"/>
        <v>61.09,</v>
      </c>
      <c r="Q6" s="21" t="str">
        <f t="shared" si="15"/>
        <v>8.26,</v>
      </c>
      <c r="R6" s="21" t="str">
        <f t="shared" si="16"/>
        <v>158.51,</v>
      </c>
      <c r="S6" s="21" t="str">
        <f t="shared" si="17"/>
        <v>-6.34,</v>
      </c>
      <c r="T6" s="21" t="str">
        <f t="shared" si="18"/>
        <v>49.36,</v>
      </c>
      <c r="U6" s="21" t="str">
        <f t="shared" si="19"/>
        <v>128.00,</v>
      </c>
      <c r="V6" s="21" t="str">
        <f t="shared" si="20"/>
        <v>104.86,</v>
      </c>
      <c r="W6" s="21" t="str">
        <f t="shared" si="21"/>
        <v>131.64,</v>
      </c>
      <c r="X6" s="21" t="str">
        <f t="shared" si="22"/>
        <v>11.89,</v>
      </c>
      <c r="Y6" s="21" t="str">
        <f t="shared" si="23"/>
        <v>228.98,</v>
      </c>
      <c r="Z6" s="21" t="str">
        <f t="shared" si="24"/>
        <v>32.28,</v>
      </c>
      <c r="AA6" s="21" t="str">
        <f t="shared" si="25"/>
        <v>178.95,</v>
      </c>
      <c r="AB6" s="21" t="str">
        <f t="shared" si="26"/>
        <v>23.03,</v>
      </c>
      <c r="AC6" s="21" t="str">
        <f t="shared" si="27"/>
        <v>103.18,</v>
      </c>
      <c r="AD6" s="21" t="str">
        <f t="shared" si="28"/>
        <v>124.90,</v>
      </c>
    </row>
    <row r="7" spans="1:30" x14ac:dyDescent="0.25">
      <c r="A7" s="19" t="s">
        <v>19</v>
      </c>
      <c r="B7" s="21" t="str">
        <f t="shared" si="0"/>
        <v>14.17,</v>
      </c>
      <c r="C7" s="21" t="str">
        <f t="shared" si="1"/>
        <v>14.61,</v>
      </c>
      <c r="D7" s="21" t="str">
        <f t="shared" si="2"/>
        <v>20.25,</v>
      </c>
      <c r="E7" s="21" t="str">
        <f t="shared" si="3"/>
        <v>8.21,</v>
      </c>
      <c r="F7" s="21" t="str">
        <f t="shared" si="4"/>
        <v>8.52,</v>
      </c>
      <c r="G7" s="21" t="str">
        <f t="shared" si="5"/>
        <v>7.33,</v>
      </c>
      <c r="H7" s="21" t="str">
        <f t="shared" si="6"/>
        <v>8.66,</v>
      </c>
      <c r="I7" s="21" t="str">
        <f t="shared" si="7"/>
        <v>4.10,</v>
      </c>
      <c r="J7" s="21" t="str">
        <f t="shared" si="8"/>
        <v>5.35,</v>
      </c>
      <c r="K7" s="21" t="str">
        <f t="shared" si="9"/>
        <v>2.51,</v>
      </c>
      <c r="L7" s="21" t="str">
        <f t="shared" si="10"/>
        <v>3.67,</v>
      </c>
      <c r="M7" s="21" t="str">
        <f t="shared" si="11"/>
        <v>1.30,</v>
      </c>
      <c r="N7" s="21" t="str">
        <f t="shared" si="12"/>
        <v>2.79,</v>
      </c>
      <c r="O7" s="21" t="str">
        <f t="shared" si="13"/>
        <v>2.44,</v>
      </c>
      <c r="P7" s="21" t="str">
        <f t="shared" si="14"/>
        <v>3.07,</v>
      </c>
      <c r="Q7" s="21" t="str">
        <f t="shared" si="15"/>
        <v>1.74,</v>
      </c>
      <c r="R7" s="21" t="str">
        <f t="shared" si="16"/>
        <v>2.76,</v>
      </c>
      <c r="S7" s="21" t="str">
        <f t="shared" si="17"/>
        <v>3.68,</v>
      </c>
      <c r="T7" s="21" t="str">
        <f t="shared" si="18"/>
        <v>5.75,</v>
      </c>
      <c r="U7" s="21" t="str">
        <f t="shared" si="19"/>
        <v>1.42,</v>
      </c>
      <c r="V7" s="21" t="str">
        <f t="shared" si="20"/>
        <v>3.00,</v>
      </c>
      <c r="W7" s="21" t="str">
        <f t="shared" si="21"/>
        <v>5.90,</v>
      </c>
      <c r="X7" s="21" t="str">
        <f t="shared" si="22"/>
        <v>6.09,</v>
      </c>
      <c r="Y7" s="21" t="str">
        <f t="shared" si="23"/>
        <v>5.15,</v>
      </c>
      <c r="Z7" s="21" t="str">
        <f t="shared" si="24"/>
        <v>9.03,</v>
      </c>
      <c r="AA7" s="21" t="str">
        <f t="shared" si="25"/>
        <v>11.21,</v>
      </c>
      <c r="AB7" s="21" t="str">
        <f t="shared" si="26"/>
        <v>4.14,</v>
      </c>
      <c r="AC7" s="21" t="str">
        <f t="shared" si="27"/>
        <v>5.50,</v>
      </c>
      <c r="AD7" s="21" t="str">
        <f t="shared" si="28"/>
        <v>6.51,</v>
      </c>
    </row>
    <row r="8" spans="1:30" x14ac:dyDescent="0.25">
      <c r="A8" s="19" t="s">
        <v>18</v>
      </c>
      <c r="B8" s="21" t="str">
        <f t="shared" si="0"/>
        <v>0.00,</v>
      </c>
      <c r="C8" s="21" t="str">
        <f t="shared" si="1"/>
        <v>0.00,</v>
      </c>
      <c r="D8" s="21" t="str">
        <f t="shared" si="2"/>
        <v>0.00,</v>
      </c>
      <c r="E8" s="21" t="str">
        <f t="shared" si="3"/>
        <v>0.01,</v>
      </c>
      <c r="F8" s="21" t="str">
        <f t="shared" si="4"/>
        <v>0.00,</v>
      </c>
      <c r="G8" s="21" t="str">
        <f t="shared" si="5"/>
        <v>0.09,</v>
      </c>
      <c r="H8" s="21" t="str">
        <f t="shared" si="6"/>
        <v>0.00,</v>
      </c>
      <c r="I8" s="21" t="str">
        <f t="shared" si="7"/>
        <v>0.00,</v>
      </c>
      <c r="J8" s="21" t="str">
        <f t="shared" si="8"/>
        <v>0.00,</v>
      </c>
      <c r="K8" s="21" t="str">
        <f t="shared" si="9"/>
        <v>0.09,</v>
      </c>
      <c r="L8" s="21" t="str">
        <f t="shared" si="10"/>
        <v>0.00,</v>
      </c>
      <c r="M8" s="21" t="str">
        <f t="shared" si="11"/>
        <v>0.00,</v>
      </c>
      <c r="N8" s="21" t="str">
        <f t="shared" si="12"/>
        <v>0.00,</v>
      </c>
      <c r="O8" s="21" t="str">
        <f t="shared" si="13"/>
        <v>0.00,</v>
      </c>
      <c r="P8" s="21" t="str">
        <f t="shared" si="14"/>
        <v>0.00,</v>
      </c>
      <c r="Q8" s="21" t="str">
        <f t="shared" si="15"/>
        <v>0.00,</v>
      </c>
      <c r="R8" s="21" t="str">
        <f t="shared" si="16"/>
        <v>0.00,</v>
      </c>
      <c r="S8" s="21" t="str">
        <f t="shared" si="17"/>
        <v>0.00,</v>
      </c>
      <c r="T8" s="21" t="str">
        <f t="shared" si="18"/>
        <v>0.00,</v>
      </c>
      <c r="U8" s="21" t="str">
        <f t="shared" si="19"/>
        <v>0.00,</v>
      </c>
      <c r="V8" s="21" t="str">
        <f t="shared" si="20"/>
        <v>0.00,</v>
      </c>
      <c r="W8" s="21" t="str">
        <f t="shared" si="21"/>
        <v>0.00,</v>
      </c>
      <c r="X8" s="21" t="str">
        <f t="shared" si="22"/>
        <v>0.00,</v>
      </c>
      <c r="Y8" s="21" t="str">
        <f t="shared" si="23"/>
        <v>0.00,</v>
      </c>
      <c r="Z8" s="21" t="str">
        <f t="shared" si="24"/>
        <v>0.00,</v>
      </c>
      <c r="AA8" s="21" t="str">
        <f t="shared" si="25"/>
        <v>0.00,</v>
      </c>
      <c r="AB8" s="21" t="str">
        <f t="shared" si="26"/>
        <v>0.00,</v>
      </c>
      <c r="AC8" s="21" t="str">
        <f t="shared" si="27"/>
        <v>0.00,</v>
      </c>
      <c r="AD8" s="21" t="str">
        <f t="shared" si="28"/>
        <v>0.00,</v>
      </c>
    </row>
    <row r="9" spans="1:30" x14ac:dyDescent="0.25">
      <c r="A9" s="19" t="s">
        <v>20</v>
      </c>
      <c r="B9" s="21" t="str">
        <f t="shared" si="0"/>
        <v>-14.56,</v>
      </c>
      <c r="C9" s="21" t="str">
        <f t="shared" si="1"/>
        <v>-15.02,</v>
      </c>
      <c r="D9" s="21" t="str">
        <f t="shared" si="2"/>
        <v>-20.85,</v>
      </c>
      <c r="E9" s="21" t="str">
        <f t="shared" si="3"/>
        <v>-9.14,</v>
      </c>
      <c r="F9" s="21" t="str">
        <f t="shared" si="4"/>
        <v>-8.76,</v>
      </c>
      <c r="G9" s="21" t="str">
        <f t="shared" si="5"/>
        <v>-7.05,</v>
      </c>
      <c r="H9" s="21" t="str">
        <f t="shared" si="6"/>
        <v>-8.54,</v>
      </c>
      <c r="I9" s="21" t="str">
        <f t="shared" si="7"/>
        <v>-4.37,</v>
      </c>
      <c r="J9" s="21" t="str">
        <f t="shared" si="8"/>
        <v>-4.92,</v>
      </c>
      <c r="K9" s="21" t="str">
        <f t="shared" si="9"/>
        <v>-2.66,</v>
      </c>
      <c r="L9" s="21" t="str">
        <f t="shared" si="10"/>
        <v>-4.21,</v>
      </c>
      <c r="M9" s="21" t="str">
        <f t="shared" si="11"/>
        <v>-1.34,</v>
      </c>
      <c r="N9" s="21" t="str">
        <f t="shared" si="12"/>
        <v>-2.18,</v>
      </c>
      <c r="O9" s="21" t="str">
        <f t="shared" si="13"/>
        <v>-3.29,</v>
      </c>
      <c r="P9" s="21" t="str">
        <f t="shared" si="14"/>
        <v>-3.00,</v>
      </c>
      <c r="Q9" s="21" t="str">
        <f t="shared" si="15"/>
        <v>-1.70,</v>
      </c>
      <c r="R9" s="21" t="str">
        <f t="shared" si="16"/>
        <v>-2.77,</v>
      </c>
      <c r="S9" s="21" t="str">
        <f t="shared" si="17"/>
        <v>-3.73,</v>
      </c>
      <c r="T9" s="21" t="str">
        <f t="shared" si="18"/>
        <v>-5.92,</v>
      </c>
      <c r="U9" s="21" t="str">
        <f t="shared" si="19"/>
        <v>-1.48,</v>
      </c>
      <c r="V9" s="21" t="str">
        <f t="shared" si="20"/>
        <v>-2.83,</v>
      </c>
      <c r="W9" s="21" t="str">
        <f t="shared" si="21"/>
        <v>-6.06,</v>
      </c>
      <c r="X9" s="21" t="str">
        <f t="shared" si="22"/>
        <v>-6.18,</v>
      </c>
      <c r="Y9" s="21" t="str">
        <f t="shared" si="23"/>
        <v>-5.18,</v>
      </c>
      <c r="Z9" s="21" t="str">
        <f t="shared" si="24"/>
        <v>-9.04,</v>
      </c>
      <c r="AA9" s="21" t="str">
        <f t="shared" si="25"/>
        <v>-11.25,</v>
      </c>
      <c r="AB9" s="21" t="str">
        <f t="shared" si="26"/>
        <v>-4.20,</v>
      </c>
      <c r="AC9" s="21" t="str">
        <f t="shared" si="27"/>
        <v>-5.53,</v>
      </c>
      <c r="AD9" s="21" t="str">
        <f t="shared" si="28"/>
        <v>-3.41,</v>
      </c>
    </row>
    <row r="10" spans="1:30" x14ac:dyDescent="0.25">
      <c r="A10" s="19" t="s">
        <v>21</v>
      </c>
      <c r="B10" s="21" t="str">
        <f t="shared" si="0"/>
        <v>-5.54,</v>
      </c>
      <c r="C10" s="21" t="str">
        <f t="shared" si="1"/>
        <v>-0.42,</v>
      </c>
      <c r="D10" s="21" t="str">
        <f t="shared" si="2"/>
        <v>0.00,</v>
      </c>
      <c r="E10" s="21" t="str">
        <f t="shared" si="3"/>
        <v>0.00,</v>
      </c>
      <c r="F10" s="21" t="str">
        <f t="shared" si="4"/>
        <v>0.06,</v>
      </c>
      <c r="G10" s="21" t="str">
        <f t="shared" si="5"/>
        <v>0.58,</v>
      </c>
      <c r="H10" s="21" t="str">
        <f t="shared" si="6"/>
        <v>-0.35,</v>
      </c>
      <c r="I10" s="21" t="str">
        <f t="shared" si="7"/>
        <v>0.00,</v>
      </c>
      <c r="J10" s="21" t="str">
        <f t="shared" si="8"/>
        <v>-55.53,</v>
      </c>
      <c r="K10" s="21" t="str">
        <f t="shared" si="9"/>
        <v>0.00,</v>
      </c>
      <c r="L10" s="21" t="str">
        <f t="shared" si="10"/>
        <v>-5.09,</v>
      </c>
      <c r="M10" s="21" t="str">
        <f t="shared" si="11"/>
        <v>-27.75,</v>
      </c>
      <c r="N10" s="21" t="str">
        <f t="shared" si="12"/>
        <v>-50.01,</v>
      </c>
      <c r="O10" s="21" t="str">
        <f t="shared" si="13"/>
        <v>-0.50,</v>
      </c>
      <c r="P10" s="21" t="str">
        <f t="shared" si="14"/>
        <v>0.00,</v>
      </c>
      <c r="Q10" s="21" t="str">
        <f t="shared" si="15"/>
        <v>0.00,</v>
      </c>
      <c r="R10" s="21" t="str">
        <f t="shared" si="16"/>
        <v>-85.29,</v>
      </c>
      <c r="S10" s="21" t="str">
        <f t="shared" si="17"/>
        <v>-0.06,</v>
      </c>
      <c r="T10" s="21" t="str">
        <f t="shared" si="18"/>
        <v>0.00,</v>
      </c>
      <c r="U10" s="21" t="str">
        <f t="shared" si="19"/>
        <v>0.00,</v>
      </c>
      <c r="V10" s="21" t="str">
        <f t="shared" si="20"/>
        <v>-25.80,</v>
      </c>
      <c r="W10" s="21" t="str">
        <f t="shared" si="21"/>
        <v>-0.06,</v>
      </c>
      <c r="X10" s="21" t="str">
        <f t="shared" si="22"/>
        <v>0.00,</v>
      </c>
      <c r="Y10" s="21" t="str">
        <f t="shared" si="23"/>
        <v>0.00,</v>
      </c>
      <c r="Z10" s="21" t="str">
        <f t="shared" si="24"/>
        <v>-2.56,</v>
      </c>
      <c r="AA10" s="21" t="str">
        <f t="shared" si="25"/>
        <v>0.04,</v>
      </c>
      <c r="AB10" s="21" t="str">
        <f t="shared" si="26"/>
        <v>-4.51,</v>
      </c>
      <c r="AC10" s="21" t="str">
        <f t="shared" si="27"/>
        <v>-232.83,</v>
      </c>
      <c r="AD10" s="21" t="str">
        <f t="shared" si="28"/>
        <v>-1.44,</v>
      </c>
    </row>
    <row r="11" spans="1:30" x14ac:dyDescent="0.25">
      <c r="A11" s="19" t="s">
        <v>11</v>
      </c>
      <c r="B11" s="21" t="str">
        <f t="shared" si="0"/>
        <v>5.08,</v>
      </c>
      <c r="C11" s="21" t="str">
        <f t="shared" si="1"/>
        <v>7.53,</v>
      </c>
      <c r="D11" s="21" t="str">
        <f t="shared" si="2"/>
        <v>5.07,</v>
      </c>
      <c r="E11" s="21" t="str">
        <f t="shared" si="3"/>
        <v>4.81,</v>
      </c>
      <c r="F11" s="21" t="str">
        <f t="shared" si="4"/>
        <v>6.06,</v>
      </c>
      <c r="G11" s="21" t="str">
        <f t="shared" si="5"/>
        <v>7.45,</v>
      </c>
      <c r="H11" s="21" t="str">
        <f t="shared" si="6"/>
        <v>5.80,</v>
      </c>
      <c r="I11" s="21" t="str">
        <f t="shared" si="7"/>
        <v>5.86,</v>
      </c>
      <c r="J11" s="21" t="str">
        <f t="shared" si="8"/>
        <v>5.81,</v>
      </c>
      <c r="K11" s="21" t="str">
        <f t="shared" si="9"/>
        <v>7.91,</v>
      </c>
      <c r="L11" s="21" t="str">
        <f t="shared" si="10"/>
        <v>7.65,</v>
      </c>
      <c r="M11" s="21" t="str">
        <f t="shared" si="11"/>
        <v>7.10,</v>
      </c>
      <c r="N11" s="21" t="str">
        <f t="shared" si="12"/>
        <v>7.50,</v>
      </c>
      <c r="O11" s="21" t="str">
        <f t="shared" si="13"/>
        <v>11.85,</v>
      </c>
      <c r="P11" s="21" t="str">
        <f t="shared" si="14"/>
        <v>11.77,</v>
      </c>
      <c r="Q11" s="21" t="str">
        <f t="shared" si="15"/>
        <v>13.34,</v>
      </c>
      <c r="R11" s="21" t="str">
        <f t="shared" si="16"/>
        <v>17.62,</v>
      </c>
      <c r="S11" s="21" t="str">
        <f t="shared" si="17"/>
        <v>16.67,</v>
      </c>
      <c r="T11" s="21" t="str">
        <f t="shared" si="18"/>
        <v>15.19,</v>
      </c>
      <c r="U11" s="21" t="str">
        <f t="shared" si="19"/>
        <v>15.06,</v>
      </c>
      <c r="V11" s="21" t="str">
        <f t="shared" si="20"/>
        <v>16.12,</v>
      </c>
      <c r="W11" s="21" t="str">
        <f t="shared" si="21"/>
        <v>18.86,</v>
      </c>
      <c r="X11" s="21" t="str">
        <f t="shared" si="22"/>
        <v>17.07,</v>
      </c>
      <c r="Y11" s="21" t="str">
        <f t="shared" si="23"/>
        <v>15.04,</v>
      </c>
      <c r="Z11" s="21" t="str">
        <f t="shared" si="24"/>
        <v>19.74,</v>
      </c>
      <c r="AA11" s="21" t="str">
        <f t="shared" si="25"/>
        <v>22.44,</v>
      </c>
      <c r="AB11" s="21" t="str">
        <f t="shared" si="26"/>
        <v>20.32,</v>
      </c>
      <c r="AC11" s="21" t="str">
        <f t="shared" si="27"/>
        <v>17.20,</v>
      </c>
      <c r="AD11" s="21" t="str">
        <f t="shared" si="28"/>
        <v>20.79,</v>
      </c>
    </row>
    <row r="12" spans="1:30" x14ac:dyDescent="0.25">
      <c r="A12" s="19" t="s">
        <v>12</v>
      </c>
      <c r="B12" s="21" t="str">
        <f t="shared" si="0"/>
        <v>3.66,</v>
      </c>
      <c r="C12" s="21" t="str">
        <f t="shared" si="1"/>
        <v>6.93,</v>
      </c>
      <c r="D12" s="21" t="str">
        <f t="shared" si="2"/>
        <v>3.29,</v>
      </c>
      <c r="E12" s="21" t="str">
        <f t="shared" si="3"/>
        <v>3.18,</v>
      </c>
      <c r="F12" s="21" t="str">
        <f t="shared" si="4"/>
        <v>3.30,</v>
      </c>
      <c r="G12" s="21" t="str">
        <f t="shared" si="5"/>
        <v>6.98,</v>
      </c>
      <c r="H12" s="21" t="str">
        <f t="shared" si="6"/>
        <v>2.43,</v>
      </c>
      <c r="I12" s="21" t="str">
        <f t="shared" si="7"/>
        <v>3.49,</v>
      </c>
      <c r="J12" s="21" t="str">
        <f t="shared" si="8"/>
        <v>3.43,</v>
      </c>
      <c r="K12" s="21" t="str">
        <f t="shared" si="9"/>
        <v>5.50,</v>
      </c>
      <c r="L12" s="21" t="str">
        <f t="shared" si="10"/>
        <v>1.70,</v>
      </c>
      <c r="M12" s="21" t="str">
        <f t="shared" si="11"/>
        <v>2.17,</v>
      </c>
      <c r="N12" s="21" t="str">
        <f t="shared" si="12"/>
        <v>2.68,</v>
      </c>
      <c r="O12" s="21" t="str">
        <f t="shared" si="13"/>
        <v>10.26,</v>
      </c>
      <c r="P12" s="21" t="str">
        <f t="shared" si="14"/>
        <v>8.52,</v>
      </c>
      <c r="Q12" s="21" t="str">
        <f t="shared" si="15"/>
        <v>5.26,</v>
      </c>
      <c r="R12" s="21" t="str">
        <f t="shared" si="16"/>
        <v>5.99,</v>
      </c>
      <c r="S12" s="21" t="str">
        <f t="shared" si="17"/>
        <v>10.08,</v>
      </c>
      <c r="T12" s="21" t="str">
        <f t="shared" si="18"/>
        <v>9.45,</v>
      </c>
      <c r="U12" s="21" t="str">
        <f t="shared" si="19"/>
        <v>12.54,</v>
      </c>
      <c r="V12" s="21" t="str">
        <f t="shared" si="20"/>
        <v>6.46,</v>
      </c>
      <c r="W12" s="21" t="str">
        <f t="shared" si="21"/>
        <v>-2.73,</v>
      </c>
      <c r="X12" s="21" t="str">
        <f t="shared" si="22"/>
        <v>8.72,</v>
      </c>
      <c r="Y12" s="21" t="str">
        <f t="shared" si="23"/>
        <v>11.15,</v>
      </c>
      <c r="Z12" s="21" t="str">
        <f t="shared" si="24"/>
        <v>6.27,</v>
      </c>
      <c r="AA12" s="21" t="str">
        <f t="shared" si="25"/>
        <v>6.65,</v>
      </c>
      <c r="AB12" s="21" t="str">
        <f t="shared" si="26"/>
        <v>6.61,</v>
      </c>
      <c r="AC12" s="21" t="str">
        <f t="shared" si="27"/>
        <v>5.02,</v>
      </c>
      <c r="AD12" s="21" t="str">
        <f t="shared" si="28"/>
        <v>6.13,</v>
      </c>
    </row>
    <row r="13" spans="1:30" x14ac:dyDescent="0.25">
      <c r="A13" s="19" t="s">
        <v>13</v>
      </c>
      <c r="B13" s="21" t="str">
        <f t="shared" si="0"/>
        <v>5.92,</v>
      </c>
      <c r="C13" s="21" t="str">
        <f t="shared" si="1"/>
        <v>10.91,</v>
      </c>
      <c r="D13" s="21" t="str">
        <f t="shared" si="2"/>
        <v>7.31,</v>
      </c>
      <c r="E13" s="21" t="str">
        <f t="shared" si="3"/>
        <v>7.62,</v>
      </c>
      <c r="F13" s="21" t="str">
        <f t="shared" si="4"/>
        <v>8.44,</v>
      </c>
      <c r="G13" s="21" t="str">
        <f t="shared" si="5"/>
        <v>10.42,</v>
      </c>
      <c r="H13" s="21" t="str">
        <f t="shared" si="6"/>
        <v>9.20,</v>
      </c>
      <c r="I13" s="21" t="str">
        <f t="shared" si="7"/>
        <v>9.07,</v>
      </c>
      <c r="J13" s="21" t="str">
        <f t="shared" si="8"/>
        <v>7.65,</v>
      </c>
      <c r="K13" s="21" t="str">
        <f t="shared" si="9"/>
        <v>12.20,</v>
      </c>
      <c r="L13" s="21" t="str">
        <f t="shared" si="10"/>
        <v>9.05,</v>
      </c>
      <c r="M13" s="21" t="str">
        <f t="shared" si="11"/>
        <v>9.55,</v>
      </c>
      <c r="N13" s="21" t="str">
        <f t="shared" si="12"/>
        <v>9.27,</v>
      </c>
      <c r="O13" s="21" t="str">
        <f t="shared" si="13"/>
        <v>14.01,</v>
      </c>
      <c r="P13" s="21" t="str">
        <f t="shared" si="14"/>
        <v>11.22,</v>
      </c>
      <c r="Q13" s="21" t="str">
        <f t="shared" si="15"/>
        <v>9.10,</v>
      </c>
      <c r="R13" s="21" t="str">
        <f t="shared" si="16"/>
        <v>10.72,</v>
      </c>
      <c r="S13" s="21" t="str">
        <f t="shared" si="17"/>
        <v>15.98,</v>
      </c>
      <c r="T13" s="21" t="str">
        <f t="shared" si="18"/>
        <v>12.01,</v>
      </c>
      <c r="U13" s="21" t="str">
        <f t="shared" si="19"/>
        <v>12.52,</v>
      </c>
      <c r="V13" s="21" t="str">
        <f t="shared" si="20"/>
        <v>12.31,</v>
      </c>
      <c r="W13" s="21" t="str">
        <f t="shared" si="21"/>
        <v>16.42,</v>
      </c>
      <c r="X13" s="21" t="str">
        <f t="shared" si="22"/>
        <v>14.57,</v>
      </c>
      <c r="Y13" s="21" t="str">
        <f t="shared" si="23"/>
        <v>12.59,</v>
      </c>
      <c r="Z13" s="21" t="str">
        <f t="shared" si="24"/>
        <v>14.24,</v>
      </c>
      <c r="AA13" s="21" t="str">
        <f t="shared" si="25"/>
        <v>20.29,</v>
      </c>
      <c r="AB13" s="21" t="str">
        <f t="shared" si="26"/>
        <v>15.60,</v>
      </c>
      <c r="AC13" s="21" t="str">
        <f t="shared" si="27"/>
        <v>14.13,</v>
      </c>
      <c r="AD13" s="21" t="str">
        <f t="shared" si="28"/>
        <v>15.77,</v>
      </c>
    </row>
    <row r="14" spans="1:30" x14ac:dyDescent="0.25">
      <c r="A14" s="19" t="s">
        <v>14</v>
      </c>
      <c r="B14" s="21" t="str">
        <f t="shared" si="0"/>
        <v>0.00,</v>
      </c>
      <c r="C14" s="21" t="str">
        <f t="shared" si="1"/>
        <v>0.00,</v>
      </c>
      <c r="D14" s="21" t="str">
        <f t="shared" si="2"/>
        <v>0.00,</v>
      </c>
      <c r="E14" s="21" t="str">
        <f t="shared" si="3"/>
        <v>0.00,</v>
      </c>
      <c r="F14" s="21" t="str">
        <f t="shared" si="4"/>
        <v>0.00,</v>
      </c>
      <c r="G14" s="21" t="str">
        <f t="shared" si="5"/>
        <v>0.00,</v>
      </c>
      <c r="H14" s="21" t="str">
        <f t="shared" si="6"/>
        <v>0.00,</v>
      </c>
      <c r="I14" s="21" t="str">
        <f t="shared" si="7"/>
        <v>0.00,</v>
      </c>
      <c r="J14" s="21" t="str">
        <f t="shared" si="8"/>
        <v>0.00,</v>
      </c>
      <c r="K14" s="21" t="str">
        <f t="shared" si="9"/>
        <v>0.00,</v>
      </c>
      <c r="L14" s="21" t="str">
        <f t="shared" si="10"/>
        <v>0.00,</v>
      </c>
      <c r="M14" s="21" t="str">
        <f t="shared" si="11"/>
        <v>0.00,</v>
      </c>
      <c r="N14" s="21" t="str">
        <f t="shared" si="12"/>
        <v>0.00,</v>
      </c>
      <c r="O14" s="21" t="str">
        <f t="shared" si="13"/>
        <v>0.00,</v>
      </c>
      <c r="P14" s="21" t="str">
        <f t="shared" si="14"/>
        <v>0.00,</v>
      </c>
      <c r="Q14" s="21" t="str">
        <f t="shared" si="15"/>
        <v>0.00,</v>
      </c>
      <c r="R14" s="21" t="str">
        <f t="shared" si="16"/>
        <v>0.00,</v>
      </c>
      <c r="S14" s="21" t="str">
        <f t="shared" si="17"/>
        <v>0.07,</v>
      </c>
      <c r="T14" s="21" t="str">
        <f t="shared" si="18"/>
        <v>0.03,</v>
      </c>
      <c r="U14" s="21" t="str">
        <f t="shared" si="19"/>
        <v>0.05,</v>
      </c>
      <c r="V14" s="21" t="str">
        <f t="shared" si="20"/>
        <v>0.08,</v>
      </c>
      <c r="W14" s="21" t="str">
        <f t="shared" si="21"/>
        <v>0.07,</v>
      </c>
      <c r="X14" s="21" t="str">
        <f t="shared" si="22"/>
        <v>0.09,</v>
      </c>
      <c r="Y14" s="21" t="str">
        <f t="shared" si="23"/>
        <v>0.44,</v>
      </c>
      <c r="Z14" s="21" t="str">
        <f t="shared" si="24"/>
        <v>0.13,</v>
      </c>
      <c r="AA14" s="21" t="str">
        <f t="shared" si="25"/>
        <v>-0.16,</v>
      </c>
      <c r="AB14" s="21" t="str">
        <f t="shared" si="26"/>
        <v>0.10,</v>
      </c>
      <c r="AC14" s="21" t="str">
        <f t="shared" si="27"/>
        <v>0.13,</v>
      </c>
      <c r="AD14" s="21" t="str">
        <f t="shared" si="28"/>
        <v>0.14,</v>
      </c>
    </row>
    <row r="15" spans="1:30" x14ac:dyDescent="0.25">
      <c r="A15" s="19" t="s">
        <v>15</v>
      </c>
      <c r="B15" s="21" t="str">
        <f t="shared" si="0"/>
        <v>-1.05,</v>
      </c>
      <c r="C15" s="21" t="str">
        <f t="shared" si="1"/>
        <v>-0.85,</v>
      </c>
      <c r="D15" s="21" t="str">
        <f t="shared" si="2"/>
        <v>-0.24,</v>
      </c>
      <c r="E15" s="21" t="str">
        <f t="shared" si="3"/>
        <v>-0.30,</v>
      </c>
      <c r="F15" s="21" t="str">
        <f t="shared" si="4"/>
        <v>-0.42,</v>
      </c>
      <c r="G15" s="21" t="str">
        <f t="shared" si="5"/>
        <v>-0.27,</v>
      </c>
      <c r="H15" s="21" t="str">
        <f t="shared" si="6"/>
        <v>-0.06,</v>
      </c>
      <c r="I15" s="21" t="str">
        <f t="shared" si="7"/>
        <v>-0.13,</v>
      </c>
      <c r="J15" s="21" t="str">
        <f t="shared" si="8"/>
        <v>-0.33,</v>
      </c>
      <c r="K15" s="21" t="str">
        <f t="shared" si="9"/>
        <v>-0.15,</v>
      </c>
      <c r="L15" s="21" t="str">
        <f t="shared" si="10"/>
        <v>-0.03,</v>
      </c>
      <c r="M15" s="21" t="str">
        <f t="shared" si="11"/>
        <v>-0.09,</v>
      </c>
      <c r="N15" s="21" t="str">
        <f t="shared" si="12"/>
        <v>0.11,</v>
      </c>
      <c r="O15" s="21" t="str">
        <f t="shared" si="13"/>
        <v>-0.32,</v>
      </c>
      <c r="P15" s="21" t="str">
        <f t="shared" si="14"/>
        <v>-0.29,</v>
      </c>
      <c r="Q15" s="21" t="str">
        <f t="shared" si="15"/>
        <v>-0.08,</v>
      </c>
      <c r="R15" s="21" t="str">
        <f t="shared" si="16"/>
        <v>-0.02,</v>
      </c>
      <c r="S15" s="21" t="str">
        <f t="shared" si="17"/>
        <v>-0.16,</v>
      </c>
      <c r="T15" s="21" t="str">
        <f t="shared" si="18"/>
        <v>-0.03,</v>
      </c>
      <c r="U15" s="21" t="str">
        <f t="shared" si="19"/>
        <v>-0.01,</v>
      </c>
      <c r="V15" s="21" t="str">
        <f t="shared" si="20"/>
        <v>0.00,</v>
      </c>
      <c r="W15" s="21" t="str">
        <f t="shared" si="21"/>
        <v>0.01,</v>
      </c>
      <c r="X15" s="21" t="str">
        <f t="shared" si="22"/>
        <v>0.00,</v>
      </c>
      <c r="Y15" s="21" t="str">
        <f t="shared" si="23"/>
        <v>-0.02,</v>
      </c>
      <c r="Z15" s="21" t="str">
        <f t="shared" si="24"/>
        <v>0.01,</v>
      </c>
      <c r="AA15" s="21" t="str">
        <f t="shared" si="25"/>
        <v>0.08,</v>
      </c>
      <c r="AB15" s="21" t="str">
        <f t="shared" si="26"/>
        <v>-0.05,</v>
      </c>
      <c r="AC15" s="21" t="str">
        <f t="shared" si="27"/>
        <v>-0.68,</v>
      </c>
      <c r="AD15" s="21" t="str">
        <f t="shared" si="28"/>
        <v>-0.82,</v>
      </c>
    </row>
    <row r="16" spans="1:30" x14ac:dyDescent="0.25">
      <c r="A16" s="19" t="s">
        <v>16</v>
      </c>
      <c r="B16" s="21" t="str">
        <f t="shared" si="0"/>
        <v>56.15,</v>
      </c>
      <c r="C16" s="21" t="str">
        <f t="shared" si="1"/>
        <v>57.78,</v>
      </c>
      <c r="D16" s="21" t="str">
        <f t="shared" si="2"/>
        <v>53.20,</v>
      </c>
      <c r="E16" s="21" t="str">
        <f t="shared" si="3"/>
        <v>49.31,</v>
      </c>
      <c r="F16" s="21" t="str">
        <f t="shared" si="4"/>
        <v>50.65,</v>
      </c>
      <c r="G16" s="21" t="str">
        <f t="shared" si="5"/>
        <v>67.87,</v>
      </c>
      <c r="H16" s="21" t="str">
        <f t="shared" si="6"/>
        <v>62.04,</v>
      </c>
      <c r="I16" s="21" t="str">
        <f t="shared" si="7"/>
        <v>49.47,</v>
      </c>
      <c r="J16" s="21" t="str">
        <f t="shared" si="8"/>
        <v>51.43,</v>
      </c>
      <c r="K16" s="21" t="str">
        <f t="shared" si="9"/>
        <v>58.64,</v>
      </c>
      <c r="L16" s="21" t="str">
        <f t="shared" si="10"/>
        <v>72.03,</v>
      </c>
      <c r="M16" s="21" t="str">
        <f t="shared" si="11"/>
        <v>55.58,</v>
      </c>
      <c r="N16" s="21" t="str">
        <f t="shared" si="12"/>
        <v>53.89,</v>
      </c>
      <c r="O16" s="21" t="str">
        <f t="shared" si="13"/>
        <v>61.16,</v>
      </c>
      <c r="P16" s="21" t="str">
        <f t="shared" si="14"/>
        <v>87.90,</v>
      </c>
      <c r="Q16" s="21" t="str">
        <f t="shared" si="15"/>
        <v>73.34,</v>
      </c>
      <c r="R16" s="21" t="str">
        <f t="shared" si="16"/>
        <v>125.13,</v>
      </c>
      <c r="S16" s="21" t="str">
        <f t="shared" si="17"/>
        <v>103.03,</v>
      </c>
      <c r="T16" s="21" t="str">
        <f t="shared" si="18"/>
        <v>121.78,</v>
      </c>
      <c r="U16" s="21" t="str">
        <f t="shared" si="19"/>
        <v>107.02,</v>
      </c>
      <c r="V16" s="21" t="str">
        <f t="shared" si="20"/>
        <v>129.58,</v>
      </c>
      <c r="W16" s="21" t="str">
        <f t="shared" si="21"/>
        <v>155.05,</v>
      </c>
      <c r="X16" s="21" t="str">
        <f t="shared" si="22"/>
        <v>159.96,</v>
      </c>
      <c r="Y16" s="21" t="str">
        <f t="shared" si="23"/>
        <v>124.02,</v>
      </c>
      <c r="Z16" s="21" t="str">
        <f t="shared" si="24"/>
        <v>149.14,</v>
      </c>
      <c r="AA16" s="21" t="str">
        <f t="shared" si="25"/>
        <v>157.29,</v>
      </c>
      <c r="AB16" s="21" t="str">
        <f t="shared" si="26"/>
        <v>185.61,</v>
      </c>
      <c r="AC16" s="21" t="str">
        <f t="shared" si="27"/>
        <v>135.20,</v>
      </c>
      <c r="AD16" s="21" t="str">
        <f t="shared" si="28"/>
        <v>159.05,</v>
      </c>
    </row>
    <row r="17" spans="1:30" x14ac:dyDescent="0.25">
      <c r="A17" s="19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</row>
    <row r="18" spans="1:30" x14ac:dyDescent="0.25">
      <c r="A18" s="20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</row>
    <row r="19" spans="1:30" x14ac:dyDescent="0.25">
      <c r="A19" s="17" t="s">
        <v>10</v>
      </c>
      <c r="B19" s="24" t="str">
        <f>"'"&amp;M53&amp;"',"</f>
        <v>'2008',</v>
      </c>
      <c r="C19" s="24" t="str">
        <f>"'"&amp;L53&amp;"',"</f>
        <v>'2009',</v>
      </c>
      <c r="D19" s="24" t="str">
        <f>"'"&amp;K53&amp;"',"</f>
        <v>'2010',</v>
      </c>
      <c r="E19" s="24" t="str">
        <f>"'"&amp;J53&amp;"',"</f>
        <v>'2011',</v>
      </c>
      <c r="F19" s="24" t="str">
        <f>"'"&amp;I53&amp;"',"</f>
        <v>'2012',</v>
      </c>
      <c r="G19" s="24" t="str">
        <f>"'"&amp;H53&amp;"',"</f>
        <v>'2013',</v>
      </c>
      <c r="H19" s="24" t="str">
        <f>"'"&amp;G53&amp;"',"</f>
        <v>'2014',</v>
      </c>
      <c r="I19" s="24" t="str">
        <f>"'"&amp;F53&amp;"',"</f>
        <v>'2015',</v>
      </c>
      <c r="J19" s="24" t="str">
        <f>"'"&amp;E53&amp;"',"</f>
        <v>'2016',</v>
      </c>
      <c r="K19" s="24" t="str">
        <f>"'"&amp;D53&amp;"',"</f>
        <v>'2017',</v>
      </c>
      <c r="L19" s="24" t="str">
        <f>"'"&amp;C53&amp;"',"</f>
        <v>'2018',</v>
      </c>
      <c r="M19" s="24" t="str">
        <f>"'"&amp;B53&amp;"',"</f>
        <v>'2019',</v>
      </c>
      <c r="N19" s="24"/>
      <c r="O19" s="24"/>
      <c r="P19" s="24"/>
      <c r="Q19" s="24"/>
      <c r="R19" s="24"/>
    </row>
    <row r="20" spans="1:30" x14ac:dyDescent="0.25">
      <c r="A20" s="19" t="s">
        <v>23</v>
      </c>
      <c r="B20" s="21" t="str">
        <f t="shared" ref="B20:B29" si="29">TEXT(M54,"0.00")&amp;","</f>
        <v>80.94,</v>
      </c>
      <c r="C20" s="21" t="str">
        <f t="shared" ref="C20:C29" si="30">TEXT(L54,"0.00")&amp;","</f>
        <v>97.43,</v>
      </c>
      <c r="D20" s="21" t="str">
        <f t="shared" ref="D20:D29" si="31">TEXT(K54,"0.00")&amp;","</f>
        <v>128.88,</v>
      </c>
      <c r="E20" s="21" t="str">
        <f t="shared" ref="E20:E29" si="32">TEXT(J54,"0.00")&amp;","</f>
        <v>182.55,</v>
      </c>
      <c r="F20" s="21" t="str">
        <f t="shared" ref="F20:F29" si="33">TEXT(I54,"0.00")&amp;","</f>
        <v>220.62,</v>
      </c>
      <c r="G20" s="21" t="str">
        <f t="shared" ref="G20:G29" si="34">TEXT(H54,"0.00")&amp;","</f>
        <v>251.85,</v>
      </c>
      <c r="H20" s="21" t="str">
        <f t="shared" ref="H20:H29" si="35">TEXT(G54,"0.00")&amp;","</f>
        <v>277.11,</v>
      </c>
      <c r="I20" s="21" t="str">
        <f t="shared" ref="I20:I29" si="36">TEXT(F54,"0.00")&amp;","</f>
        <v>368.01,</v>
      </c>
      <c r="J20" s="21" t="str">
        <f t="shared" ref="J20:J29" si="37">TEXT(E54,"0.00")&amp;","</f>
        <v>668.55,</v>
      </c>
      <c r="K20" s="21" t="str">
        <f t="shared" ref="K20:K29" si="38">TEXT(D54,"0.00")&amp;","</f>
        <v>878.69,</v>
      </c>
      <c r="L20" s="21" t="str">
        <f t="shared" ref="L20:L29" si="39">TEXT(C54,"0.00")&amp;","</f>
        <v>1120.75,</v>
      </c>
      <c r="M20" s="21" t="str">
        <f t="shared" ref="M20:M29" si="40">TEXT(B54,"0.00")&amp;","</f>
        <v>132.52,</v>
      </c>
      <c r="N20" s="21"/>
      <c r="O20" s="21"/>
      <c r="P20" s="21"/>
      <c r="Q20" s="21"/>
      <c r="R20" s="21"/>
    </row>
    <row r="21" spans="1:30" x14ac:dyDescent="0.25">
      <c r="A21" s="19" t="s">
        <v>24</v>
      </c>
      <c r="B21" s="21" t="str">
        <f t="shared" si="29"/>
        <v>122.41,</v>
      </c>
      <c r="C21" s="21" t="str">
        <f t="shared" si="30"/>
        <v>156.56,</v>
      </c>
      <c r="D21" s="21" t="str">
        <f t="shared" si="31"/>
        <v>203.00,</v>
      </c>
      <c r="E21" s="21" t="str">
        <f t="shared" si="32"/>
        <v>278.30,</v>
      </c>
      <c r="F21" s="21" t="str">
        <f t="shared" si="33"/>
        <v>362.25,</v>
      </c>
      <c r="G21" s="21" t="str">
        <f t="shared" si="34"/>
        <v>419.32,</v>
      </c>
      <c r="H21" s="21" t="str">
        <f t="shared" si="35"/>
        <v>475.71,</v>
      </c>
      <c r="I21" s="21" t="str">
        <f t="shared" si="36"/>
        <v>650.05,</v>
      </c>
      <c r="J21" s="21" t="str">
        <f t="shared" si="37"/>
        <v>901.81,</v>
      </c>
      <c r="K21" s="21" t="str">
        <f t="shared" si="38"/>
        <v>1122.49,</v>
      </c>
      <c r="L21" s="21" t="str">
        <f t="shared" si="39"/>
        <v>1378.62,</v>
      </c>
      <c r="M21" s="21" t="str">
        <f t="shared" si="40"/>
        <v>1590.24,</v>
      </c>
      <c r="N21" s="21"/>
      <c r="O21" s="21"/>
      <c r="P21" s="21"/>
      <c r="Q21" s="21"/>
      <c r="R21" s="21"/>
    </row>
    <row r="22" spans="1:30" x14ac:dyDescent="0.25">
      <c r="A22" s="19" t="s">
        <v>25</v>
      </c>
      <c r="B22" s="21" t="str">
        <f t="shared" si="29"/>
        <v>21.90,</v>
      </c>
      <c r="C22" s="21" t="str">
        <f t="shared" si="30"/>
        <v>31.69,</v>
      </c>
      <c r="D22" s="21" t="str">
        <f t="shared" si="31"/>
        <v>41.92,</v>
      </c>
      <c r="E22" s="21" t="str">
        <f t="shared" si="32"/>
        <v>54.26,</v>
      </c>
      <c r="F22" s="21" t="str">
        <f t="shared" si="33"/>
        <v>68.07,</v>
      </c>
      <c r="G22" s="21" t="str">
        <f t="shared" si="34"/>
        <v>85.23,</v>
      </c>
      <c r="H22" s="21" t="str">
        <f t="shared" si="35"/>
        <v>103.76,</v>
      </c>
      <c r="I22" s="21" t="str">
        <f t="shared" si="36"/>
        <v>114.17,</v>
      </c>
      <c r="J22" s="21" t="str">
        <f t="shared" si="37"/>
        <v>144.53,</v>
      </c>
      <c r="K22" s="21" t="str">
        <f t="shared" si="38"/>
        <v>152.44,</v>
      </c>
      <c r="L22" s="21" t="str">
        <f t="shared" si="39"/>
        <v>152.49,</v>
      </c>
      <c r="M22" s="21" t="str">
        <f t="shared" si="40"/>
        <v>151.44,</v>
      </c>
      <c r="N22" s="21"/>
      <c r="O22" s="21"/>
      <c r="P22" s="21"/>
      <c r="Q22" s="21"/>
      <c r="R22" s="21"/>
    </row>
    <row r="23" spans="1:30" x14ac:dyDescent="0.25">
      <c r="A23" s="19" t="s">
        <v>26</v>
      </c>
      <c r="B23" s="21" t="str">
        <f t="shared" si="29"/>
        <v>35.13,</v>
      </c>
      <c r="C23" s="21" t="str">
        <f t="shared" si="30"/>
        <v>41.14,</v>
      </c>
      <c r="D23" s="21" t="str">
        <f t="shared" si="31"/>
        <v>52.87,</v>
      </c>
      <c r="E23" s="21" t="str">
        <f t="shared" si="32"/>
        <v>70.71,</v>
      </c>
      <c r="F23" s="21" t="str">
        <f t="shared" si="33"/>
        <v>87.73,</v>
      </c>
      <c r="G23" s="21" t="str">
        <f t="shared" si="34"/>
        <v>135.23,</v>
      </c>
      <c r="H23" s="21" t="str">
        <f t="shared" si="35"/>
        <v>183.02,</v>
      </c>
      <c r="I23" s="21" t="str">
        <f t="shared" si="36"/>
        <v>212.97,</v>
      </c>
      <c r="J23" s="21" t="str">
        <f t="shared" si="37"/>
        <v>227.54,</v>
      </c>
      <c r="K23" s="21" t="str">
        <f t="shared" si="38"/>
        <v>223.61,</v>
      </c>
      <c r="L23" s="21" t="str">
        <f t="shared" si="39"/>
        <v>219.85,</v>
      </c>
      <c r="M23" s="21" t="str">
        <f t="shared" si="40"/>
        <v>240.18,</v>
      </c>
      <c r="N23" s="21"/>
      <c r="O23" s="21"/>
      <c r="P23" s="21"/>
      <c r="Q23" s="21"/>
      <c r="R23" s="21"/>
    </row>
    <row r="24" spans="1:30" x14ac:dyDescent="0.25">
      <c r="A24" s="19" t="s">
        <v>27</v>
      </c>
      <c r="B24" s="21" t="str">
        <f t="shared" si="29"/>
        <v>157.54,</v>
      </c>
      <c r="C24" s="21" t="str">
        <f t="shared" si="30"/>
        <v>197.70,</v>
      </c>
      <c r="D24" s="21" t="str">
        <f t="shared" si="31"/>
        <v>255.88,</v>
      </c>
      <c r="E24" s="21" t="str">
        <f t="shared" si="32"/>
        <v>349.01,</v>
      </c>
      <c r="F24" s="21" t="str">
        <f t="shared" si="33"/>
        <v>449.98,</v>
      </c>
      <c r="G24" s="21" t="str">
        <f t="shared" si="34"/>
        <v>554.54,</v>
      </c>
      <c r="H24" s="21" t="str">
        <f t="shared" si="35"/>
        <v>658.73,</v>
      </c>
      <c r="I24" s="21" t="str">
        <f t="shared" si="36"/>
        <v>863.01,</v>
      </c>
      <c r="J24" s="21" t="str">
        <f t="shared" si="37"/>
        <v>1129.35,</v>
      </c>
      <c r="K24" s="21" t="str">
        <f t="shared" si="38"/>
        <v>1346.10,</v>
      </c>
      <c r="L24" s="21" t="str">
        <f t="shared" si="39"/>
        <v>1598.47,</v>
      </c>
      <c r="M24" s="21" t="str">
        <f t="shared" si="40"/>
        <v>1830.42,</v>
      </c>
      <c r="N24" s="21"/>
      <c r="O24" s="21"/>
      <c r="P24" s="21"/>
      <c r="Q24" s="21"/>
      <c r="R24" s="21"/>
    </row>
    <row r="25" spans="1:30" x14ac:dyDescent="0.25">
      <c r="A25" s="19" t="s">
        <v>28</v>
      </c>
      <c r="B25" s="21" t="str">
        <f t="shared" si="29"/>
        <v>42.51,</v>
      </c>
      <c r="C25" s="21" t="str">
        <f t="shared" si="30"/>
        <v>51.08,</v>
      </c>
      <c r="D25" s="21" t="str">
        <f t="shared" si="31"/>
        <v>70.28,</v>
      </c>
      <c r="E25" s="21" t="str">
        <f t="shared" si="32"/>
        <v>94.81,</v>
      </c>
      <c r="F25" s="21" t="str">
        <f t="shared" si="33"/>
        <v>95.26,</v>
      </c>
      <c r="G25" s="21" t="str">
        <f t="shared" si="34"/>
        <v>113.07,</v>
      </c>
      <c r="H25" s="21" t="str">
        <f t="shared" si="35"/>
        <v>105.44,</v>
      </c>
      <c r="I25" s="21" t="str">
        <f t="shared" si="36"/>
        <v>200.52,</v>
      </c>
      <c r="J25" s="21" t="str">
        <f t="shared" si="37"/>
        <v>370.20,</v>
      </c>
      <c r="K25" s="21" t="str">
        <f t="shared" si="38"/>
        <v>385.75,</v>
      </c>
      <c r="L25" s="21" t="str">
        <f t="shared" si="39"/>
        <v>424.38,</v>
      </c>
      <c r="M25" s="21" t="str">
        <f t="shared" si="40"/>
        <v>410.93,</v>
      </c>
      <c r="N25" s="21"/>
      <c r="O25" s="21"/>
      <c r="P25" s="21"/>
      <c r="Q25" s="21"/>
      <c r="R25" s="21"/>
    </row>
    <row r="26" spans="1:30" x14ac:dyDescent="0.25">
      <c r="A26" s="19" t="s">
        <v>29</v>
      </c>
      <c r="B26" s="21" t="str">
        <f t="shared" si="29"/>
        <v>--,</v>
      </c>
      <c r="C26" s="21" t="str">
        <f t="shared" si="30"/>
        <v>0.10,</v>
      </c>
      <c r="D26" s="21" t="str">
        <f t="shared" si="31"/>
        <v>0.10,</v>
      </c>
      <c r="E26" s="21" t="str">
        <f t="shared" si="32"/>
        <v>0.17,</v>
      </c>
      <c r="F26" s="21" t="str">
        <f t="shared" si="33"/>
        <v>0.18,</v>
      </c>
      <c r="G26" s="21" t="str">
        <f t="shared" si="34"/>
        <v>0.18,</v>
      </c>
      <c r="H26" s="21" t="str">
        <f t="shared" si="35"/>
        <v>0.18,</v>
      </c>
      <c r="I26" s="21" t="str">
        <f t="shared" si="36"/>
        <v>0.16,</v>
      </c>
      <c r="J26" s="21" t="str">
        <f t="shared" si="37"/>
        <v>0.16,</v>
      </c>
      <c r="K26" s="21" t="str">
        <f t="shared" si="38"/>
        <v>0.16,</v>
      </c>
      <c r="L26" s="21" t="str">
        <f t="shared" si="39"/>
        <v>--,</v>
      </c>
      <c r="M26" s="21" t="str">
        <f t="shared" si="40"/>
        <v>0.73,</v>
      </c>
      <c r="N26" s="21"/>
      <c r="O26" s="21"/>
      <c r="P26" s="21"/>
      <c r="Q26" s="21"/>
      <c r="R26" s="21"/>
    </row>
    <row r="27" spans="1:30" x14ac:dyDescent="0.25">
      <c r="A27" s="19" t="s">
        <v>30</v>
      </c>
      <c r="B27" s="21" t="str">
        <f t="shared" si="29"/>
        <v>42.51,</v>
      </c>
      <c r="C27" s="21" t="str">
        <f t="shared" si="30"/>
        <v>51.18,</v>
      </c>
      <c r="D27" s="21" t="str">
        <f t="shared" si="31"/>
        <v>70.38,</v>
      </c>
      <c r="E27" s="21" t="str">
        <f t="shared" si="32"/>
        <v>94.97,</v>
      </c>
      <c r="F27" s="21" t="str">
        <f t="shared" si="33"/>
        <v>95.44,</v>
      </c>
      <c r="G27" s="21" t="str">
        <f t="shared" si="34"/>
        <v>113.25,</v>
      </c>
      <c r="H27" s="21" t="str">
        <f t="shared" si="35"/>
        <v>105.62,</v>
      </c>
      <c r="I27" s="21" t="str">
        <f t="shared" si="36"/>
        <v>200.67,</v>
      </c>
      <c r="J27" s="21" t="str">
        <f t="shared" si="37"/>
        <v>370.36,</v>
      </c>
      <c r="K27" s="21" t="str">
        <f t="shared" si="38"/>
        <v>385.90,</v>
      </c>
      <c r="L27" s="21" t="str">
        <f t="shared" si="39"/>
        <v>424.38,</v>
      </c>
      <c r="M27" s="21" t="str">
        <f t="shared" si="40"/>
        <v>411.66,</v>
      </c>
      <c r="N27" s="21"/>
      <c r="O27" s="21"/>
      <c r="P27" s="21"/>
      <c r="Q27" s="21"/>
      <c r="R27" s="21"/>
    </row>
    <row r="28" spans="1:30" x14ac:dyDescent="0.25">
      <c r="A28" s="19" t="s">
        <v>31</v>
      </c>
      <c r="B28" s="21" t="str">
        <f t="shared" si="29"/>
        <v>112.45,</v>
      </c>
      <c r="C28" s="21" t="str">
        <f t="shared" si="30"/>
        <v>144.66,</v>
      </c>
      <c r="D28" s="21" t="str">
        <f t="shared" si="31"/>
        <v>183.99,</v>
      </c>
      <c r="E28" s="21" t="str">
        <f t="shared" si="32"/>
        <v>249.91,</v>
      </c>
      <c r="F28" s="21" t="str">
        <f t="shared" si="33"/>
        <v>341.50,</v>
      </c>
      <c r="G28" s="21" t="str">
        <f t="shared" si="34"/>
        <v>426.22,</v>
      </c>
      <c r="H28" s="21" t="str">
        <f t="shared" si="35"/>
        <v>534.30,</v>
      </c>
      <c r="I28" s="21" t="str">
        <f t="shared" si="36"/>
        <v>639.26,</v>
      </c>
      <c r="J28" s="21" t="str">
        <f t="shared" si="37"/>
        <v>728.94,</v>
      </c>
      <c r="K28" s="21" t="str">
        <f t="shared" si="38"/>
        <v>914.52,</v>
      </c>
      <c r="L28" s="21" t="str">
        <f t="shared" si="39"/>
        <v>1128.39,</v>
      </c>
      <c r="M28" s="21" t="str">
        <f t="shared" si="40"/>
        <v>1360.10,</v>
      </c>
      <c r="N28" s="21"/>
      <c r="O28" s="21"/>
      <c r="P28" s="21"/>
      <c r="Q28" s="21"/>
      <c r="R28" s="21"/>
    </row>
    <row r="29" spans="1:30" x14ac:dyDescent="0.25">
      <c r="A29" s="19" t="s">
        <v>32</v>
      </c>
      <c r="B29" s="21" t="str">
        <f t="shared" si="29"/>
        <v>115.03,</v>
      </c>
      <c r="C29" s="21" t="str">
        <f t="shared" si="30"/>
        <v>146.52,</v>
      </c>
      <c r="D29" s="21" t="str">
        <f t="shared" si="31"/>
        <v>185.49,</v>
      </c>
      <c r="E29" s="21" t="str">
        <f t="shared" si="32"/>
        <v>254.03,</v>
      </c>
      <c r="F29" s="21" t="str">
        <f t="shared" si="33"/>
        <v>354.54,</v>
      </c>
      <c r="G29" s="21" t="str">
        <f t="shared" si="34"/>
        <v>441.29,</v>
      </c>
      <c r="H29" s="21" t="str">
        <f t="shared" si="35"/>
        <v>553.12,</v>
      </c>
      <c r="I29" s="21" t="str">
        <f t="shared" si="36"/>
        <v>662.34,</v>
      </c>
      <c r="J29" s="21" t="str">
        <f t="shared" si="37"/>
        <v>758.99,</v>
      </c>
      <c r="K29" s="21" t="str">
        <f t="shared" si="38"/>
        <v>960.20,</v>
      </c>
      <c r="L29" s="21" t="str">
        <f t="shared" si="39"/>
        <v>1174.08,</v>
      </c>
      <c r="M29" s="21" t="str">
        <f t="shared" si="40"/>
        <v>1418.76,</v>
      </c>
      <c r="N29" s="21"/>
      <c r="O29" s="21"/>
      <c r="P29" s="21"/>
      <c r="Q29" s="21"/>
      <c r="R29" s="21"/>
    </row>
    <row r="30" spans="1:30" x14ac:dyDescent="0.25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</row>
    <row r="31" spans="1:30" x14ac:dyDescent="0.25">
      <c r="A31" s="19" t="s">
        <v>37</v>
      </c>
      <c r="B31" s="21" t="str">
        <f>TEXT(AD65,"0.00")&amp;","</f>
        <v>73.57,</v>
      </c>
      <c r="C31" s="21" t="str">
        <f>TEXT(AC65,"0.00")&amp;","</f>
        <v>83.15,</v>
      </c>
      <c r="D31" s="21" t="str">
        <f>TEXT(AB65,"0.00")&amp;","</f>
        <v>70.75,</v>
      </c>
      <c r="E31" s="21" t="str">
        <f>TEXT(AA65,"0.00")&amp;","</f>
        <v>65.53,</v>
      </c>
      <c r="F31" s="21" t="str">
        <f>TEXT(Z65,"0.00")&amp;","</f>
        <v>69.52,</v>
      </c>
      <c r="G31" s="21" t="str">
        <f>TEXT(Y65,"0.00")&amp;","</f>
        <v>92.99,</v>
      </c>
      <c r="H31" s="21" t="str">
        <f>TEXT(X65,"0.00")&amp;","</f>
        <v>81.81,</v>
      </c>
      <c r="I31" s="21" t="str">
        <f>TEXT(W65,"0.00")&amp;","</f>
        <v>68.39,</v>
      </c>
      <c r="J31" s="21" t="str">
        <f>TEXT(V65,"0.00")&amp;","</f>
        <v>69.67,</v>
      </c>
      <c r="K31" s="21" t="str">
        <f>TEXT(U65,"0.00")&amp;","</f>
        <v>89.21,</v>
      </c>
      <c r="L31" s="21" t="str">
        <f>TEXT(T65,"0.00")&amp;","</f>
        <v>94.86,</v>
      </c>
      <c r="M31" s="21" t="str">
        <f>TEXT(S65,"0.00")&amp;","</f>
        <v>77.76,</v>
      </c>
      <c r="N31" s="21" t="str">
        <f>TEXT(R65,"0.00")&amp;","</f>
        <v>80.45,</v>
      </c>
      <c r="O31" s="21" t="str">
        <f>TEXT(Q65,"0.00")&amp;","</f>
        <v>114.38,</v>
      </c>
      <c r="P31" s="21" t="str">
        <f>TEXT(P65,"0.00")&amp;","</f>
        <v>127.36,</v>
      </c>
      <c r="Q31" s="21" t="str">
        <f>TEXT(O65,"0.00")&amp;","</f>
        <v>102.46,</v>
      </c>
      <c r="R31" s="21" t="str">
        <f>TEXT(N65,"0.00")&amp;","</f>
        <v>172.31,</v>
      </c>
      <c r="S31" s="21" t="str">
        <f>TEXT(M65,"0.00")&amp;","</f>
        <v>149.08,</v>
      </c>
      <c r="T31" s="21" t="str">
        <f>TEXT(L65,"0.00")&amp;","</f>
        <v>168.77,</v>
      </c>
      <c r="U31" s="21" t="str">
        <f>TEXT(K65,"0.00")&amp;","</f>
        <v>153.50,</v>
      </c>
      <c r="V31" s="21" t="str">
        <f>TEXT(J65,"0.00")&amp;","</f>
        <v>181.06,</v>
      </c>
      <c r="W31" s="21" t="str">
        <f>TEXT(I65,"0.00")&amp;","</f>
        <v>203.44,</v>
      </c>
      <c r="X31" s="21" t="str">
        <f>TEXT(H65,"0.00")&amp;","</f>
        <v>207.73,</v>
      </c>
      <c r="Y31" s="21" t="str">
        <f>TEXT(G65,"0.00")&amp;","</f>
        <v>171.88,</v>
      </c>
      <c r="Z31" s="21" t="str">
        <f>TEXT(F65,"0.00")&amp;","</f>
        <v>203.62,</v>
      </c>
      <c r="AA31" s="21" t="str">
        <f>TEXT(E65,"0.00")&amp;","</f>
        <v>231.02,</v>
      </c>
      <c r="AB31" s="21" t="str">
        <f>TEXT(D65,"0.00")&amp;","</f>
        <v>232.66,</v>
      </c>
      <c r="AC31" s="21" t="str">
        <f>TEXT(C65,"0.00")&amp;","</f>
        <v>186.16,</v>
      </c>
      <c r="AD31" s="21" t="str">
        <f>TEXT(B65,"0.00")&amp;","</f>
        <v>218.62,</v>
      </c>
    </row>
    <row r="32" spans="1:30" x14ac:dyDescent="0.25">
      <c r="A32" s="19" t="s">
        <v>36</v>
      </c>
      <c r="B32" s="21" t="str">
        <f>TEXT(AD66,"0.00")&amp;","</f>
        <v>26.13,</v>
      </c>
      <c r="C32" s="21" t="str">
        <f>TEXT(AC66,"0.00")&amp;","</f>
        <v>19.49,</v>
      </c>
      <c r="D32" s="21" t="str">
        <f>TEXT(AB66,"0.00")&amp;","</f>
        <v>-18.51,</v>
      </c>
      <c r="E32" s="21" t="str">
        <f>TEXT(AA66,"0.00")&amp;","</f>
        <v>32.95,</v>
      </c>
      <c r="F32" s="21" t="str">
        <f>TEXT(Z66,"0.00")&amp;","</f>
        <v>25.38,</v>
      </c>
      <c r="G32" s="21" t="str">
        <f>TEXT(Y66,"0.00")&amp;","</f>
        <v>42.30,</v>
      </c>
      <c r="H32" s="21" t="str">
        <f>TEXT(X66,"0.00")&amp;","</f>
        <v>12.46,</v>
      </c>
      <c r="I32" s="21" t="str">
        <f>TEXT(W66,"0.00")&amp;","</f>
        <v>23.80,</v>
      </c>
      <c r="J32" s="21" t="str">
        <f>TEXT(V66,"0.00")&amp;","</f>
        <v>59.87,</v>
      </c>
      <c r="K32" s="21" t="str">
        <f>TEXT(U66,"0.00")&amp;","</f>
        <v>57.71,</v>
      </c>
      <c r="L32" s="21" t="str">
        <f>TEXT(T66,"0.00")&amp;","</f>
        <v>70.69,</v>
      </c>
      <c r="M32" s="21" t="str">
        <f>TEXT(S66,"0.00")&amp;","</f>
        <v>60.38,</v>
      </c>
      <c r="N32" s="21" t="str">
        <f>TEXT(R66,"0.00")&amp;","</f>
        <v>186.53,</v>
      </c>
      <c r="O32" s="21" t="str">
        <f>TEXT(Q66,"0.00")&amp;","</f>
        <v>46.72,</v>
      </c>
      <c r="P32" s="21" t="str">
        <f>TEXT(P66,"0.00")&amp;","</f>
        <v>58.02,</v>
      </c>
      <c r="Q32" s="21" t="str">
        <f>TEXT(O66,"0.00")&amp;","</f>
        <v>6.53,</v>
      </c>
      <c r="R32" s="21" t="str">
        <f>TEXT(N66,"0.00")&amp;","</f>
        <v>155.75,</v>
      </c>
      <c r="S32" s="21" t="str">
        <f>TEXT(M66,"0.00")&amp;","</f>
        <v>-10.02,</v>
      </c>
      <c r="T32" s="21" t="str">
        <f>TEXT(L66,"0.00")&amp;","</f>
        <v>43.61,</v>
      </c>
      <c r="U32" s="21" t="str">
        <f>TEXT(K66,"0.00")&amp;","</f>
        <v>126.58,</v>
      </c>
      <c r="V32" s="21" t="str">
        <f>TEXT(J66,"0.00")&amp;","</f>
        <v>101.86,</v>
      </c>
      <c r="W32" s="21" t="str">
        <f>TEXT(I66,"0.00")&amp;","</f>
        <v>125.74,</v>
      </c>
      <c r="X32" s="21" t="str">
        <f>TEXT(H66,"0.00")&amp;","</f>
        <v>5.80,</v>
      </c>
      <c r="Y32" s="21" t="str">
        <f>TEXT(G66,"0.00")&amp;","</f>
        <v>223.82,</v>
      </c>
      <c r="Z32" s="21" t="str">
        <f>TEXT(F66,"0.00")&amp;","</f>
        <v>23.25,</v>
      </c>
      <c r="AA32" s="21" t="str">
        <f>TEXT(E66,"0.00")&amp;","</f>
        <v>167.74,</v>
      </c>
      <c r="AB32" s="21" t="str">
        <f>TEXT(D66,"0.00")&amp;","</f>
        <v>18.89,</v>
      </c>
      <c r="AC32" s="21" t="str">
        <f>TEXT(C66,"0.00")&amp;","</f>
        <v>97.68,</v>
      </c>
      <c r="AD32" s="21" t="str">
        <f>TEXT(B66,"0.00")&amp;","</f>
        <v>118.39,</v>
      </c>
    </row>
    <row r="33" spans="1:30" x14ac:dyDescent="0.25">
      <c r="A33" s="19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</row>
    <row r="34" spans="1:30" x14ac:dyDescent="0.25">
      <c r="A34" s="19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</row>
    <row r="35" spans="1:30" x14ac:dyDescent="0.25">
      <c r="A35" s="1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</row>
    <row r="36" spans="1:30" x14ac:dyDescent="0.25">
      <c r="A36" s="9" t="s">
        <v>10</v>
      </c>
      <c r="B36" s="10" t="str">
        <f>VLOOKUP($A36,main!$A$1:$AT$40,B$1,FALSE)</f>
        <v>2020-09-30</v>
      </c>
      <c r="C36" s="10" t="str">
        <f>VLOOKUP($A36,main!$A$1:$AT$40,C$1,FALSE)</f>
        <v>2020-06-30</v>
      </c>
      <c r="D36" s="10" t="str">
        <f>VLOOKUP($A36,main!$A$1:$AT$40,D$1,FALSE)</f>
        <v>2020-03-31</v>
      </c>
      <c r="E36" s="10" t="str">
        <f>VLOOKUP($A36,main!$A$1:$AT$40,E$1,FALSE)</f>
        <v>2019-12-31</v>
      </c>
      <c r="F36" s="10" t="str">
        <f>VLOOKUP($A36,main!$A$1:$AT$40,F$1,FALSE)</f>
        <v>2019-09-30</v>
      </c>
      <c r="G36" s="10" t="str">
        <f>VLOOKUP($A36,main!$A$1:$AT$40,G$1,FALSE)</f>
        <v>2019-06-30</v>
      </c>
      <c r="H36" s="10" t="str">
        <f>VLOOKUP($A36,main!$A$1:$AT$40,H$1,FALSE)</f>
        <v>2019-03-31</v>
      </c>
      <c r="I36" s="10" t="str">
        <f>VLOOKUP($A36,main!$A$1:$AT$40,I$1,FALSE)</f>
        <v>2018-12-31</v>
      </c>
      <c r="J36" s="10" t="str">
        <f>VLOOKUP($A36,main!$A$1:$AT$40,J$1,FALSE)</f>
        <v>2018-09-30</v>
      </c>
      <c r="K36" s="10" t="str">
        <f>VLOOKUP($A36,main!$A$1:$AT$40,K$1,FALSE)</f>
        <v>2018-06-30</v>
      </c>
      <c r="L36" s="10" t="str">
        <f>VLOOKUP($A36,main!$A$1:$AT$40,L$1,FALSE)</f>
        <v>2018-03-31</v>
      </c>
      <c r="M36" s="10" t="str">
        <f>VLOOKUP($A36,main!$A$1:$AT$40,M$1,FALSE)</f>
        <v>2017-12-31</v>
      </c>
      <c r="N36" s="10" t="str">
        <f>VLOOKUP($A36,main!$A$1:$AT$40,N$1,FALSE)</f>
        <v>2017-09-30</v>
      </c>
      <c r="O36" s="10" t="str">
        <f>VLOOKUP($A36,main!$A$1:$AT$40,O$1,FALSE)</f>
        <v>2017-06-30</v>
      </c>
      <c r="P36" s="10" t="str">
        <f>VLOOKUP($A36,main!$A$1:$AT$40,P$1,FALSE)</f>
        <v>2017-03-31</v>
      </c>
      <c r="Q36" s="10" t="str">
        <f>VLOOKUP($A36,main!$A$1:$AT$40,Q$1,FALSE)</f>
        <v>2016-12-31</v>
      </c>
      <c r="R36" s="10" t="str">
        <f>VLOOKUP($A36,main!$A$1:$AT$40,R$1,FALSE)</f>
        <v>2016-09-30</v>
      </c>
      <c r="S36" s="10" t="str">
        <f>VLOOKUP($A36,main!$A$1:$AT$40,S$1,FALSE)</f>
        <v>2016-06-30</v>
      </c>
      <c r="T36" s="10" t="str">
        <f>VLOOKUP($A36,main!$A$1:$AT$40,T$1,FALSE)</f>
        <v>2016-03-31</v>
      </c>
      <c r="U36" s="10" t="str">
        <f>VLOOKUP($A36,main!$A$1:$AT$40,U$1,FALSE)</f>
        <v>2015-12-31</v>
      </c>
      <c r="V36" s="10" t="str">
        <f>VLOOKUP($A36,main!$A$1:$AT$40,V$1,FALSE)</f>
        <v>2015-09-30</v>
      </c>
      <c r="W36" s="10" t="str">
        <f>VLOOKUP($A36,main!$A$1:$AT$40,W$1,FALSE)</f>
        <v>2015-06-30</v>
      </c>
      <c r="X36" s="10" t="str">
        <f>VLOOKUP($A36,main!$A$1:$AT$40,X$1,FALSE)</f>
        <v>2015-03-31</v>
      </c>
      <c r="Y36" s="10" t="str">
        <f>VLOOKUP($A36,main!$A$1:$AT$40,Y$1,FALSE)</f>
        <v>2014-12-31</v>
      </c>
      <c r="Z36" s="10" t="str">
        <f>VLOOKUP($A36,main!$A$1:$AT$40,Z$1,FALSE)</f>
        <v>2014-09-30</v>
      </c>
      <c r="AA36" s="10" t="str">
        <f>VLOOKUP($A36,main!$A$1:$AT$40,AA$1,FALSE)</f>
        <v>2014-06-30</v>
      </c>
      <c r="AB36" s="10" t="str">
        <f>VLOOKUP($A36,main!$A$1:$AT$40,AB$1,FALSE)</f>
        <v>2014-03-31</v>
      </c>
      <c r="AC36" s="10" t="str">
        <f>VLOOKUP($A36,main!$A$1:$AT$40,AC$1,FALSE)</f>
        <v>2013-12-31</v>
      </c>
      <c r="AD36" s="10" t="str">
        <f>VLOOKUP($A36,main!$A$1:$AT$40,AD$1,FALSE)</f>
        <v>2013-09-30</v>
      </c>
    </row>
    <row r="37" spans="1:30" x14ac:dyDescent="0.25">
      <c r="A37" s="4" t="s">
        <v>22</v>
      </c>
      <c r="B37" s="11">
        <f>IF(ISNUMBER(VLOOKUP($A37,main!$A$1:$AT$40,B$1,FALSE)),VLOOKUP($A37,main!$A$1:$AT$40,B$1,FALSE),0)</f>
        <v>112.25448900000001</v>
      </c>
      <c r="C37" s="11">
        <f>IF(ISNUMBER(VLOOKUP($A37,main!$A$1:$AT$40,C$1,FALSE)),VLOOKUP($A37,main!$A$1:$AT$40,C$1,FALSE),0)</f>
        <v>95.078849000000005</v>
      </c>
      <c r="D37" s="11">
        <f>IF(ISNUMBER(VLOOKUP($A37,main!$A$1:$AT$40,D$1,FALSE)),VLOOKUP($A37,main!$A$1:$AT$40,D$1,FALSE),0)</f>
        <v>130.937702</v>
      </c>
      <c r="E37" s="11">
        <f>IF(ISNUMBER(VLOOKUP($A37,main!$A$1:$AT$40,E$1,FALSE)),VLOOKUP($A37,main!$A$1:$AT$40,E$1,FALSE),0)</f>
        <v>107.516156</v>
      </c>
      <c r="F37" s="11">
        <f>IF(ISNUMBER(VLOOKUP($A37,main!$A$1:$AT$40,F$1,FALSE)),VLOOKUP($A37,main!$A$1:$AT$40,F$1,FALSE),0)</f>
        <v>105.038298</v>
      </c>
      <c r="G37" s="11">
        <f>IF(ISNUMBER(VLOOKUP($A37,main!$A$1:$AT$40,G$1,FALSE)),VLOOKUP($A37,main!$A$1:$AT$40,G$1,FALSE),0)</f>
        <v>87.295942999999994</v>
      </c>
      <c r="H37" s="11">
        <f>IF(ISNUMBER(VLOOKUP($A37,main!$A$1:$AT$40,H$1,FALSE)),VLOOKUP($A37,main!$A$1:$AT$40,H$1,FALSE),0)</f>
        <v>112.214313</v>
      </c>
      <c r="I37" s="11">
        <f>IF(ISNUMBER(VLOOKUP($A37,main!$A$1:$AT$40,I$1,FALSE)),VLOOKUP($A37,main!$A$1:$AT$40,I$1,FALSE),0)</f>
        <v>104.70072500000001</v>
      </c>
      <c r="J37" s="11">
        <f>IF(ISNUMBER(VLOOKUP($A37,main!$A$1:$AT$40,J$1,FALSE)),VLOOKUP($A37,main!$A$1:$AT$40,J$1,FALSE),0)</f>
        <v>89.693669</v>
      </c>
      <c r="K37" s="11">
        <f>IF(ISNUMBER(VLOOKUP($A37,main!$A$1:$AT$40,K$1,FALSE)),VLOOKUP($A37,main!$A$1:$AT$40,K$1,FALSE),0)</f>
        <v>72.572790999999995</v>
      </c>
      <c r="L37" s="11">
        <f>IF(ISNUMBER(VLOOKUP($A37,main!$A$1:$AT$40,L$1,FALSE)),VLOOKUP($A37,main!$A$1:$AT$40,L$1,FALSE),0)</f>
        <v>85.069067000000004</v>
      </c>
      <c r="M37" s="11">
        <f>IF(ISNUMBER(VLOOKUP($A37,main!$A$1:$AT$40,M$1,FALSE)),VLOOKUP($A37,main!$A$1:$AT$40,M$1,FALSE),0)</f>
        <v>70.955133000000004</v>
      </c>
      <c r="N37" s="11">
        <f>IF(ISNUMBER(VLOOKUP($A37,main!$A$1:$AT$40,N$1,FALSE)),VLOOKUP($A37,main!$A$1:$AT$40,N$1,FALSE),0)</f>
        <v>87.329860999999994</v>
      </c>
      <c r="O37" s="11">
        <f>IF(ISNUMBER(VLOOKUP($A37,main!$A$1:$AT$40,O$1,FALSE)),VLOOKUP($A37,main!$A$1:$AT$40,O$1,FALSE),0)</f>
        <v>51.277416000000002</v>
      </c>
      <c r="P37" s="11">
        <f>IF(ISNUMBER(VLOOKUP($A37,main!$A$1:$AT$40,P$1,FALSE)),VLOOKUP($A37,main!$A$1:$AT$40,P$1,FALSE),0)</f>
        <v>61.231192999999998</v>
      </c>
      <c r="Q37" s="11">
        <f>IF(ISNUMBER(VLOOKUP($A37,main!$A$1:$AT$40,Q$1,FALSE)),VLOOKUP($A37,main!$A$1:$AT$40,Q$1,FALSE),0)</f>
        <v>42.527850000000001</v>
      </c>
      <c r="R37" s="11">
        <f>IF(ISNUMBER(VLOOKUP($A37,main!$A$1:$AT$40,R$1,FALSE)),VLOOKUP($A37,main!$A$1:$AT$40,R$1,FALSE),0)</f>
        <v>36.629406000000003</v>
      </c>
      <c r="S37" s="11">
        <f>IF(ISNUMBER(VLOOKUP($A37,main!$A$1:$AT$40,S$1,FALSE)),VLOOKUP($A37,main!$A$1:$AT$40,S$1,FALSE),0)</f>
        <v>39.133654999999997</v>
      </c>
      <c r="T37" s="11">
        <f>IF(ISNUMBER(VLOOKUP($A37,main!$A$1:$AT$40,T$1,FALSE)),VLOOKUP($A37,main!$A$1:$AT$40,T$1,FALSE),0)</f>
        <v>48.892716</v>
      </c>
      <c r="U37" s="11">
        <f>IF(ISNUMBER(VLOOKUP($A37,main!$A$1:$AT$40,U$1,FALSE)),VLOOKUP($A37,main!$A$1:$AT$40,U$1,FALSE),0)</f>
        <v>40.784525000000002</v>
      </c>
      <c r="V37" s="11">
        <f>IF(ISNUMBER(VLOOKUP($A37,main!$A$1:$AT$40,V$1,FALSE)),VLOOKUP($A37,main!$A$1:$AT$40,V$1,FALSE),0)</f>
        <v>35.364055</v>
      </c>
      <c r="W37" s="11">
        <f>IF(ISNUMBER(VLOOKUP($A37,main!$A$1:$AT$40,W$1,FALSE)),VLOOKUP($A37,main!$A$1:$AT$40,W$1,FALSE),0)</f>
        <v>35.233305999999999</v>
      </c>
      <c r="X37" s="11">
        <f>IF(ISNUMBER(VLOOKUP($A37,main!$A$1:$AT$40,X$1,FALSE)),VLOOKUP($A37,main!$A$1:$AT$40,X$1,FALSE),0)</f>
        <v>43.649017000000001</v>
      </c>
      <c r="Y37" s="11">
        <f>IF(ISNUMBER(VLOOKUP($A37,main!$A$1:$AT$40,Y$1,FALSE)),VLOOKUP($A37,main!$A$1:$AT$40,Y$1,FALSE),0)</f>
        <v>46.564751000000001</v>
      </c>
      <c r="Z37" s="11">
        <f>IF(ISNUMBER(VLOOKUP($A37,main!$A$1:$AT$40,Z$1,FALSE)),VLOOKUP($A37,main!$A$1:$AT$40,Z$1,FALSE),0)</f>
        <v>34.634754000000001</v>
      </c>
      <c r="AA37" s="11">
        <f>IF(ISNUMBER(VLOOKUP($A37,main!$A$1:$AT$40,AA$1,FALSE)),VLOOKUP($A37,main!$A$1:$AT$40,AA$1,FALSE),0)</f>
        <v>35.304676000000001</v>
      </c>
      <c r="AB37" s="11">
        <f>IF(ISNUMBER(VLOOKUP($A37,main!$A$1:$AT$40,AB$1,FALSE)),VLOOKUP($A37,main!$A$1:$AT$40,AB$1,FALSE),0)</f>
        <v>36.993862999999997</v>
      </c>
      <c r="AC37" s="11">
        <f>IF(ISNUMBER(VLOOKUP($A37,main!$A$1:$AT$40,AC$1,FALSE)),VLOOKUP($A37,main!$A$1:$AT$40,AC$1,FALSE),0)</f>
        <v>40.664453000000002</v>
      </c>
      <c r="AD37" s="11">
        <f>IF(ISNUMBER(VLOOKUP($A37,main!$A$1:$AT$40,AD$1,FALSE)),VLOOKUP($A37,main!$A$1:$AT$40,AD$1,FALSE),0)</f>
        <v>38.222498000000002</v>
      </c>
    </row>
    <row r="38" spans="1:30" x14ac:dyDescent="0.25">
      <c r="A38" s="4" t="s">
        <v>33</v>
      </c>
      <c r="B38" s="11">
        <f>IF(ISNUMBER(VLOOKUP($A38,main!$A$1:$AT$40,B$1,FALSE)),VLOOKUP($A38,main!$A$1:$AT$40,B$1,FALSE),0)</f>
        <v>112.293745</v>
      </c>
      <c r="C38" s="11">
        <f>IF(ISNUMBER(VLOOKUP($A38,main!$A$1:$AT$40,C$1,FALSE)),VLOOKUP($A38,main!$A$1:$AT$40,C$1,FALSE),0)</f>
        <v>95.175095999999996</v>
      </c>
      <c r="D38" s="11">
        <f>IF(ISNUMBER(VLOOKUP($A38,main!$A$1:$AT$40,D$1,FALSE)),VLOOKUP($A38,main!$A$1:$AT$40,D$1,FALSE),0)</f>
        <v>131.552167</v>
      </c>
      <c r="E38" s="11">
        <f>IF(ISNUMBER(VLOOKUP($A38,main!$A$1:$AT$40,E$1,FALSE)),VLOOKUP($A38,main!$A$1:$AT$40,E$1,FALSE),0)</f>
        <v>108.72688100000001</v>
      </c>
      <c r="F38" s="11">
        <f>IF(ISNUMBER(VLOOKUP($A38,main!$A$1:$AT$40,F$1,FALSE)),VLOOKUP($A38,main!$A$1:$AT$40,F$1,FALSE),0)</f>
        <v>105.027817</v>
      </c>
      <c r="G38" s="11">
        <f>IF(ISNUMBER(VLOOKUP($A38,main!$A$1:$AT$40,G$1,FALSE)),VLOOKUP($A38,main!$A$1:$AT$40,G$1,FALSE),0)</f>
        <v>87.297173999999998</v>
      </c>
      <c r="H38" s="11">
        <f>IF(ISNUMBER(VLOOKUP($A38,main!$A$1:$AT$40,H$1,FALSE)),VLOOKUP($A38,main!$A$1:$AT$40,H$1,FALSE),0)</f>
        <v>113.017218</v>
      </c>
      <c r="I38" s="11">
        <f>IF(ISNUMBER(VLOOKUP($A38,main!$A$1:$AT$40,I$1,FALSE)),VLOOKUP($A38,main!$A$1:$AT$40,I$1,FALSE),0)</f>
        <v>106.564325</v>
      </c>
      <c r="J38" s="11">
        <f>IF(ISNUMBER(VLOOKUP($A38,main!$A$1:$AT$40,J$1,FALSE)),VLOOKUP($A38,main!$A$1:$AT$40,J$1,FALSE),0)</f>
        <v>90.448425999999998</v>
      </c>
      <c r="K38" s="11">
        <f>IF(ISNUMBER(VLOOKUP($A38,main!$A$1:$AT$40,K$1,FALSE)),VLOOKUP($A38,main!$A$1:$AT$40,K$1,FALSE),0)</f>
        <v>73.733896000000001</v>
      </c>
      <c r="L38" s="11">
        <f>IF(ISNUMBER(VLOOKUP($A38,main!$A$1:$AT$40,L$1,FALSE)),VLOOKUP($A38,main!$A$1:$AT$40,L$1,FALSE),0)</f>
        <v>85.107788999999997</v>
      </c>
      <c r="M38" s="11">
        <f>IF(ISNUMBER(VLOOKUP($A38,main!$A$1:$AT$40,M$1,FALSE)),VLOOKUP($A38,main!$A$1:$AT$40,M$1,FALSE),0)</f>
        <v>71.370748000000006</v>
      </c>
      <c r="N38" s="11">
        <f>IF(ISNUMBER(VLOOKUP($A38,main!$A$1:$AT$40,N$1,FALSE)),VLOOKUP($A38,main!$A$1:$AT$40,N$1,FALSE),0)</f>
        <v>88.071323000000007</v>
      </c>
      <c r="O38" s="11">
        <f>IF(ISNUMBER(VLOOKUP($A38,main!$A$1:$AT$40,O$1,FALSE)),VLOOKUP($A38,main!$A$1:$AT$40,O$1,FALSE),0)</f>
        <v>51.316918999999999</v>
      </c>
      <c r="P38" s="11">
        <f>IF(ISNUMBER(VLOOKUP($A38,main!$A$1:$AT$40,P$1,FALSE)),VLOOKUP($A38,main!$A$1:$AT$40,P$1,FALSE),0)</f>
        <v>61.481847000000002</v>
      </c>
      <c r="Q38" s="11">
        <f>IF(ISNUMBER(VLOOKUP($A38,main!$A$1:$AT$40,Q$1,FALSE)),VLOOKUP($A38,main!$A$1:$AT$40,Q$1,FALSE),0)</f>
        <v>44.094155999999998</v>
      </c>
      <c r="R38" s="11">
        <f>IF(ISNUMBER(VLOOKUP($A38,main!$A$1:$AT$40,R$1,FALSE)),VLOOKUP($A38,main!$A$1:$AT$40,R$1,FALSE),0)</f>
        <v>37.463251999999997</v>
      </c>
      <c r="S38" s="11">
        <f>IF(ISNUMBER(VLOOKUP($A38,main!$A$1:$AT$40,S$1,FALSE)),VLOOKUP($A38,main!$A$1:$AT$40,S$1,FALSE),0)</f>
        <v>39.126609999999999</v>
      </c>
      <c r="T38" s="11">
        <f>IF(ISNUMBER(VLOOKUP($A38,main!$A$1:$AT$40,T$1,FALSE)),VLOOKUP($A38,main!$A$1:$AT$40,T$1,FALSE),0)</f>
        <v>48.862872000000003</v>
      </c>
      <c r="U38" s="11">
        <f>IF(ISNUMBER(VLOOKUP($A38,main!$A$1:$AT$40,U$1,FALSE)),VLOOKUP($A38,main!$A$1:$AT$40,U$1,FALSE),0)</f>
        <v>40.963614999999997</v>
      </c>
      <c r="V38" s="11">
        <f>IF(ISNUMBER(VLOOKUP($A38,main!$A$1:$AT$40,V$1,FALSE)),VLOOKUP($A38,main!$A$1:$AT$40,V$1,FALSE),0)</f>
        <v>36.306091000000002</v>
      </c>
      <c r="W38" s="11">
        <f>IF(ISNUMBER(VLOOKUP($A38,main!$A$1:$AT$40,W$1,FALSE)),VLOOKUP($A38,main!$A$1:$AT$40,W$1,FALSE),0)</f>
        <v>35.232599</v>
      </c>
      <c r="X38" s="11">
        <f>IF(ISNUMBER(VLOOKUP($A38,main!$A$1:$AT$40,X$1,FALSE)),VLOOKUP($A38,main!$A$1:$AT$40,X$1,FALSE),0)</f>
        <v>43.666359999999997</v>
      </c>
      <c r="Y38" s="11">
        <f>IF(ISNUMBER(VLOOKUP($A38,main!$A$1:$AT$40,Y$1,FALSE)),VLOOKUP($A38,main!$A$1:$AT$40,Y$1,FALSE),0)</f>
        <v>47.294159999999998</v>
      </c>
      <c r="Z38" s="11">
        <f>IF(ISNUMBER(VLOOKUP($A38,main!$A$1:$AT$40,Z$1,FALSE)),VLOOKUP($A38,main!$A$1:$AT$40,Z$1,FALSE),0)</f>
        <v>35.414527</v>
      </c>
      <c r="AA38" s="11">
        <f>IF(ISNUMBER(VLOOKUP($A38,main!$A$1:$AT$40,AA$1,FALSE)),VLOOKUP($A38,main!$A$1:$AT$40,AA$1,FALSE),0)</f>
        <v>35.448602000000001</v>
      </c>
      <c r="AB38" s="11">
        <f>IF(ISNUMBER(VLOOKUP($A38,main!$A$1:$AT$40,AB$1,FALSE)),VLOOKUP($A38,main!$A$1:$AT$40,AB$1,FALSE),0)</f>
        <v>37.051045000000002</v>
      </c>
      <c r="AC38" s="11">
        <f>IF(ISNUMBER(VLOOKUP($A38,main!$A$1:$AT$40,AC$1,FALSE)),VLOOKUP($A38,main!$A$1:$AT$40,AC$1,FALSE),0)</f>
        <v>41.351757999999997</v>
      </c>
      <c r="AD38" s="11">
        <f>IF(ISNUMBER(VLOOKUP($A38,main!$A$1:$AT$40,AD$1,FALSE)),VLOOKUP($A38,main!$A$1:$AT$40,AD$1,FALSE),0)</f>
        <v>38.736178000000002</v>
      </c>
    </row>
    <row r="39" spans="1:30" x14ac:dyDescent="0.25">
      <c r="A39" s="4" t="s">
        <v>34</v>
      </c>
      <c r="B39" s="11">
        <f>IF(ISNUMBER(VLOOKUP($A39,main!$A$1:$AT$40,B$1,FALSE)),VLOOKUP($A39,main!$A$1:$AT$40,B$1,FALSE),0)</f>
        <v>239.4050558495</v>
      </c>
      <c r="C39" s="11">
        <f>IF(ISNUMBER(VLOOKUP($A39,main!$A$1:$AT$40,C$1,FALSE)),VLOOKUP($A39,main!$A$1:$AT$40,C$1,FALSE),0)</f>
        <v>203.35879249639999</v>
      </c>
      <c r="D39" s="11">
        <f>IF(ISNUMBER(VLOOKUP($A39,main!$A$1:$AT$40,D$1,FALSE)),VLOOKUP($A39,main!$A$1:$AT$40,D$1,FALSE),0)</f>
        <v>252.98492025939998</v>
      </c>
      <c r="E39" s="11">
        <f>IF(ISNUMBER(VLOOKUP($A39,main!$A$1:$AT$40,E$1,FALSE)),VLOOKUP($A39,main!$A$1:$AT$40,E$1,FALSE),0)</f>
        <v>253.45674442060002</v>
      </c>
      <c r="F39" s="11">
        <f>IF(ISNUMBER(VLOOKUP($A39,main!$A$1:$AT$40,F$1,FALSE)),VLOOKUP($A39,main!$A$1:$AT$40,F$1,FALSE),0)</f>
        <v>223.35981736759999</v>
      </c>
      <c r="G39" s="11">
        <f>IF(ISNUMBER(VLOOKUP($A39,main!$A$1:$AT$40,G$1,FALSE)),VLOOKUP($A39,main!$A$1:$AT$40,G$1,FALSE),0)</f>
        <v>186.92156055250001</v>
      </c>
      <c r="H39" s="11">
        <f>IF(ISNUMBER(VLOOKUP($A39,main!$A$1:$AT$40,H$1,FALSE)),VLOOKUP($A39,main!$A$1:$AT$40,H$1,FALSE),0)</f>
        <v>224.80525254689999</v>
      </c>
      <c r="I39" s="11">
        <f>IF(ISNUMBER(VLOOKUP($A39,main!$A$1:$AT$40,I$1,FALSE)),VLOOKUP($A39,main!$A$1:$AT$40,I$1,FALSE),0)</f>
        <v>222.301176588</v>
      </c>
      <c r="J39" s="11">
        <f>IF(ISNUMBER(VLOOKUP($A39,main!$A$1:$AT$40,J$1,FALSE)),VLOOKUP($A39,main!$A$1:$AT$40,J$1,FALSE),0)</f>
        <v>197.17801668090001</v>
      </c>
      <c r="K39" s="11">
        <f>IF(ISNUMBER(VLOOKUP($A39,main!$A$1:$AT$40,K$1,FALSE)),VLOOKUP($A39,main!$A$1:$AT$40,K$1,FALSE),0)</f>
        <v>168.56207937370002</v>
      </c>
      <c r="L39" s="11">
        <f>IF(ISNUMBER(VLOOKUP($A39,main!$A$1:$AT$40,L$1,FALSE)),VLOOKUP($A39,main!$A$1:$AT$40,L$1,FALSE),0)</f>
        <v>183.9525684596</v>
      </c>
      <c r="M39" s="11">
        <f>IF(ISNUMBER(VLOOKUP($A39,main!$A$1:$AT$40,M$1,FALSE)),VLOOKUP($A39,main!$A$1:$AT$40,M$1,FALSE),0)</f>
        <v>165.75382294720001</v>
      </c>
      <c r="N39" s="11">
        <f>IF(ISNUMBER(VLOOKUP($A39,main!$A$1:$AT$40,N$1,FALSE)),VLOOKUP($A39,main!$A$1:$AT$40,N$1,FALSE),0)</f>
        <v>189.9347782641</v>
      </c>
      <c r="O39" s="11">
        <f>IF(ISNUMBER(VLOOKUP($A39,main!$A$1:$AT$40,O$1,FALSE)),VLOOKUP($A39,main!$A$1:$AT$40,O$1,FALSE),0)</f>
        <v>115.80485375729999</v>
      </c>
      <c r="P39" s="11">
        <f>IF(ISNUMBER(VLOOKUP($A39,main!$A$1:$AT$40,P$1,FALSE)),VLOOKUP($A39,main!$A$1:$AT$40,P$1,FALSE),0)</f>
        <v>139.13411369299999</v>
      </c>
      <c r="Q39" s="11">
        <f>IF(ISNUMBER(VLOOKUP($A39,main!$A$1:$AT$40,Q$1,FALSE)),VLOOKUP($A39,main!$A$1:$AT$40,Q$1,FALSE),0)</f>
        <v>126.2234926191</v>
      </c>
      <c r="R39" s="11">
        <f>IF(ISNUMBER(VLOOKUP($A39,main!$A$1:$AT$40,R$1,FALSE)),VLOOKUP($A39,main!$A$1:$AT$40,R$1,FALSE),0)</f>
        <v>87.951180592000014</v>
      </c>
      <c r="S39" s="11">
        <f>IF(ISNUMBER(VLOOKUP($A39,main!$A$1:$AT$40,S$1,FALSE)),VLOOKUP($A39,main!$A$1:$AT$40,S$1,FALSE),0)</f>
        <v>84.867495081300007</v>
      </c>
      <c r="T39" s="11">
        <f>IF(ISNUMBER(VLOOKUP($A39,main!$A$1:$AT$40,T$1,FALSE)),VLOOKUP($A39,main!$A$1:$AT$40,T$1,FALSE),0)</f>
        <v>102.50867583690001</v>
      </c>
      <c r="U39" s="11">
        <f>IF(ISNUMBER(VLOOKUP($A39,main!$A$1:$AT$40,U$1,FALSE)),VLOOKUP($A39,main!$A$1:$AT$40,U$1,FALSE),0)</f>
        <v>97.125397951000011</v>
      </c>
      <c r="V39" s="11">
        <f>IF(ISNUMBER(VLOOKUP($A39,main!$A$1:$AT$40,V$1,FALSE)),VLOOKUP($A39,main!$A$1:$AT$40,V$1,FALSE),0)</f>
        <v>75.486676810100008</v>
      </c>
      <c r="W39" s="11">
        <f>IF(ISNUMBER(VLOOKUP($A39,main!$A$1:$AT$40,W$1,FALSE)),VLOOKUP($A39,main!$A$1:$AT$40,W$1,FALSE),0)</f>
        <v>74.252836412500002</v>
      </c>
      <c r="X39" s="11">
        <f>IF(ISNUMBER(VLOOKUP($A39,main!$A$1:$AT$40,X$1,FALSE)),VLOOKUP($A39,main!$A$1:$AT$40,X$1,FALSE),0)</f>
        <v>87.603679282199991</v>
      </c>
      <c r="Y39" s="11">
        <f>IF(ISNUMBER(VLOOKUP($A39,main!$A$1:$AT$40,Y$1,FALSE)),VLOOKUP($A39,main!$A$1:$AT$40,Y$1,FALSE),0)</f>
        <v>100.43956018760001</v>
      </c>
      <c r="Z39" s="11">
        <f>IF(ISNUMBER(VLOOKUP($A39,main!$A$1:$AT$40,Z$1,FALSE)),VLOOKUP($A39,main!$A$1:$AT$40,Z$1,FALSE),0)</f>
        <v>75.576184642100003</v>
      </c>
      <c r="AA39" s="11">
        <f>IF(ISNUMBER(VLOOKUP($A39,main!$A$1:$AT$40,AA$1,FALSE)),VLOOKUP($A39,main!$A$1:$AT$40,AA$1,FALSE),0)</f>
        <v>70.338996239700009</v>
      </c>
      <c r="AB39" s="11">
        <f>IF(ISNUMBER(VLOOKUP($A39,main!$A$1:$AT$40,AB$1,FALSE)),VLOOKUP($A39,main!$A$1:$AT$40,AB$1,FALSE),0)</f>
        <v>75.817396341399999</v>
      </c>
      <c r="AC39" s="11">
        <f>IF(ISNUMBER(VLOOKUP($A39,main!$A$1:$AT$40,AC$1,FALSE)),VLOOKUP($A39,main!$A$1:$AT$40,AC$1,FALSE),0)</f>
        <v>90.682148510700003</v>
      </c>
      <c r="AD39" s="11">
        <f>IF(ISNUMBER(VLOOKUP($A39,main!$A$1:$AT$40,AD$1,FALSE)),VLOOKUP($A39,main!$A$1:$AT$40,AD$1,FALSE),0)</f>
        <v>78.649496345700001</v>
      </c>
    </row>
    <row r="40" spans="1:30" x14ac:dyDescent="0.25">
      <c r="A40" s="3" t="s">
        <v>17</v>
      </c>
      <c r="B40" s="11">
        <f>IF(ISNUMBER(VLOOKUP($A40,cash!$A$1:$AU$95,B$1,FALSE)),VLOOKUP($A40,cash!$A$1:$AU$95,B$1,FALSE),0)</f>
        <v>124.90039400000001</v>
      </c>
      <c r="C40" s="11">
        <f>IF(ISNUMBER(VLOOKUP($A40,cash!$A$1:$AU$95,C$1,FALSE)),VLOOKUP($A40,cash!$A$1:$AU$95,C$1,FALSE),0)</f>
        <v>103.178541</v>
      </c>
      <c r="D40" s="11">
        <f>IF(ISNUMBER(VLOOKUP($A40,cash!$A$1:$AU$95,D$1,FALSE)),VLOOKUP($A40,cash!$A$1:$AU$95,D$1,FALSE),0)</f>
        <v>23.031094</v>
      </c>
      <c r="E40" s="11">
        <f>IF(ISNUMBER(VLOOKUP($A40,cash!$A$1:$AU$95,E$1,FALSE)),VLOOKUP($A40,cash!$A$1:$AU$95,E$1,FALSE),0)</f>
        <v>178.95210700000001</v>
      </c>
      <c r="F40" s="11">
        <f>IF(ISNUMBER(VLOOKUP($A40,cash!$A$1:$AU$95,F$1,FALSE)),VLOOKUP($A40,cash!$A$1:$AU$95,F$1,FALSE),0)</f>
        <v>32.284818000000001</v>
      </c>
      <c r="G40" s="11">
        <f>IF(ISNUMBER(VLOOKUP($A40,cash!$A$1:$AU$95,G$1,FALSE)),VLOOKUP($A40,cash!$A$1:$AU$95,G$1,FALSE),0)</f>
        <v>228.977101</v>
      </c>
      <c r="H40" s="11">
        <f>IF(ISNUMBER(VLOOKUP($A40,cash!$A$1:$AU$95,H$1,FALSE)),VLOOKUP($A40,cash!$A$1:$AU$95,H$1,FALSE),0)</f>
        <v>11.892101</v>
      </c>
      <c r="I40" s="11">
        <f>IF(ISNUMBER(VLOOKUP($A40,cash!$A$1:$AU$95,I$1,FALSE)),VLOOKUP($A40,cash!$A$1:$AU$95,I$1,FALSE),0)</f>
        <v>131.63948500000001</v>
      </c>
      <c r="J40" s="11">
        <f>IF(ISNUMBER(VLOOKUP($A40,cash!$A$1:$AU$95,J$1,FALSE)),VLOOKUP($A40,cash!$A$1:$AU$95,J$1,FALSE),0)</f>
        <v>104.86255</v>
      </c>
      <c r="K40" s="11">
        <f>IF(ISNUMBER(VLOOKUP($A40,cash!$A$1:$AU$95,K$1,FALSE)),VLOOKUP($A40,cash!$A$1:$AU$95,K$1,FALSE),0)</f>
        <v>127.99530300000001</v>
      </c>
      <c r="L40" s="11">
        <f>IF(ISNUMBER(VLOOKUP($A40,cash!$A$1:$AU$95,L$1,FALSE)),VLOOKUP($A40,cash!$A$1:$AU$95,L$1,FALSE),0)</f>
        <v>49.355007000000001</v>
      </c>
      <c r="M40" s="11">
        <f>IF(ISNUMBER(VLOOKUP($A40,cash!$A$1:$AU$95,M$1,FALSE)),VLOOKUP($A40,cash!$A$1:$AU$95,M$1,FALSE),0)</f>
        <v>-6.3373109999999997</v>
      </c>
      <c r="N40" s="11">
        <f>IF(ISNUMBER(VLOOKUP($A40,cash!$A$1:$AU$95,N$1,FALSE)),VLOOKUP($A40,cash!$A$1:$AU$95,N$1,FALSE),0)</f>
        <v>158.51406800000001</v>
      </c>
      <c r="O40" s="11">
        <f>IF(ISNUMBER(VLOOKUP($A40,cash!$A$1:$AU$95,O$1,FALSE)),VLOOKUP($A40,cash!$A$1:$AU$95,O$1,FALSE),0)</f>
        <v>8.2638529999999992</v>
      </c>
      <c r="P40" s="11">
        <f>IF(ISNUMBER(VLOOKUP($A40,cash!$A$1:$AU$95,P$1,FALSE)),VLOOKUP($A40,cash!$A$1:$AU$95,P$1,FALSE),0)</f>
        <v>61.089751</v>
      </c>
      <c r="Q40" s="11">
        <f>IF(ISNUMBER(VLOOKUP($A40,cash!$A$1:$AU$95,Q$1,FALSE)),VLOOKUP($A40,cash!$A$1:$AU$95,Q$1,FALSE),0)</f>
        <v>49.159170000000003</v>
      </c>
      <c r="R40" s="11">
        <f>IF(ISNUMBER(VLOOKUP($A40,cash!$A$1:$AU$95,R$1,FALSE)),VLOOKUP($A40,cash!$A$1:$AU$95,R$1,FALSE),0)</f>
        <v>189.313703</v>
      </c>
      <c r="S40" s="11">
        <f>IF(ISNUMBER(VLOOKUP($A40,cash!$A$1:$AU$95,S$1,FALSE)),VLOOKUP($A40,cash!$A$1:$AU$95,S$1,FALSE),0)</f>
        <v>61.679178999999998</v>
      </c>
      <c r="T40" s="11">
        <f>IF(ISNUMBER(VLOOKUP($A40,cash!$A$1:$AU$95,T$1,FALSE)),VLOOKUP($A40,cash!$A$1:$AU$95,T$1,FALSE),0)</f>
        <v>74.360443000000004</v>
      </c>
      <c r="U40" s="11">
        <f>IF(ISNUMBER(VLOOKUP($A40,cash!$A$1:$AU$95,U$1,FALSE)),VLOOKUP($A40,cash!$A$1:$AU$95,U$1,FALSE),0)</f>
        <v>60.129468000000003</v>
      </c>
      <c r="V40" s="11">
        <f>IF(ISNUMBER(VLOOKUP($A40,cash!$A$1:$AU$95,V$1,FALSE)),VLOOKUP($A40,cash!$A$1:$AU$95,V$1,FALSE),0)</f>
        <v>65.21705</v>
      </c>
      <c r="W40" s="11">
        <f>IF(ISNUMBER(VLOOKUP($A40,cash!$A$1:$AU$95,W$1,FALSE)),VLOOKUP($A40,cash!$A$1:$AU$95,W$1,FALSE),0)</f>
        <v>27.900547</v>
      </c>
      <c r="X40" s="11">
        <f>IF(ISNUMBER(VLOOKUP($A40,cash!$A$1:$AU$95,X$1,FALSE)),VLOOKUP($A40,cash!$A$1:$AU$95,X$1,FALSE),0)</f>
        <v>21.116336</v>
      </c>
      <c r="Y40" s="11">
        <f>IF(ISNUMBER(VLOOKUP($A40,cash!$A$1:$AU$95,Y$1,FALSE)),VLOOKUP($A40,cash!$A$1:$AU$95,Y$1,FALSE),0)</f>
        <v>49.531252000000002</v>
      </c>
      <c r="Z40" s="11">
        <f>IF(ISNUMBER(VLOOKUP($A40,cash!$A$1:$AU$95,Z$1,FALSE)),VLOOKUP($A40,cash!$A$1:$AU$95,Z$1,FALSE),0)</f>
        <v>33.906539000000002</v>
      </c>
      <c r="AA40" s="11">
        <f>IF(ISNUMBER(VLOOKUP($A40,cash!$A$1:$AU$95,AA$1,FALSE)),VLOOKUP($A40,cash!$A$1:$AU$95,AA$1,FALSE),0)</f>
        <v>41.148276000000003</v>
      </c>
      <c r="AB40" s="11">
        <f>IF(ISNUMBER(VLOOKUP($A40,cash!$A$1:$AU$95,AB$1,FALSE)),VLOOKUP($A40,cash!$A$1:$AU$95,AB$1,FALSE),0)</f>
        <v>1.7391570000000001</v>
      </c>
      <c r="AC40" s="11">
        <f>IF(ISNUMBER(VLOOKUP($A40,cash!$A$1:$AU$95,AC$1,FALSE)),VLOOKUP($A40,cash!$A$1:$AU$95,AC$1,FALSE),0)</f>
        <v>34.099069</v>
      </c>
      <c r="AD40" s="11">
        <f>IF(ISNUMBER(VLOOKUP($A40,cash!$A$1:$AU$95,AD$1,FALSE)),VLOOKUP($A40,cash!$A$1:$AU$95,AD$1,FALSE),0)</f>
        <v>40.300935000000003</v>
      </c>
    </row>
    <row r="41" spans="1:30" x14ac:dyDescent="0.25">
      <c r="A41" s="3" t="s">
        <v>19</v>
      </c>
      <c r="B41" s="11">
        <f>IF(ISNUMBER(VLOOKUP($A41,cash!$A$1:$AU$95,B$1,FALSE)),VLOOKUP($A41,cash!$A$1:$AU$95,B$1,FALSE),0)</f>
        <v>6.5088600000000003</v>
      </c>
      <c r="C41" s="11">
        <f>IF(ISNUMBER(VLOOKUP($A41,cash!$A$1:$AU$95,C$1,FALSE)),VLOOKUP($A41,cash!$A$1:$AU$95,C$1,FALSE),0)</f>
        <v>5.4980450000000003</v>
      </c>
      <c r="D41" s="11">
        <f>IF(ISNUMBER(VLOOKUP($A41,cash!$A$1:$AU$95,D$1,FALSE)),VLOOKUP($A41,cash!$A$1:$AU$95,D$1,FALSE),0)</f>
        <v>4.1446240000000003</v>
      </c>
      <c r="E41" s="11">
        <f>IF(ISNUMBER(VLOOKUP($A41,cash!$A$1:$AU$95,E$1,FALSE)),VLOOKUP($A41,cash!$A$1:$AU$95,E$1,FALSE),0)</f>
        <v>11.208252999999999</v>
      </c>
      <c r="F41" s="11">
        <f>IF(ISNUMBER(VLOOKUP($A41,cash!$A$1:$AU$95,F$1,FALSE)),VLOOKUP($A41,cash!$A$1:$AU$95,F$1,FALSE),0)</f>
        <v>9.0324740000000006</v>
      </c>
      <c r="G41" s="11">
        <f>IF(ISNUMBER(VLOOKUP($A41,cash!$A$1:$AU$95,G$1,FALSE)),VLOOKUP($A41,cash!$A$1:$AU$95,G$1,FALSE),0)</f>
        <v>5.1530959999999997</v>
      </c>
      <c r="H41" s="11">
        <f>IF(ISNUMBER(VLOOKUP($A41,cash!$A$1:$AU$95,H$1,FALSE)),VLOOKUP($A41,cash!$A$1:$AU$95,H$1,FALSE),0)</f>
        <v>6.094824</v>
      </c>
      <c r="I41" s="11">
        <f>IF(ISNUMBER(VLOOKUP($A41,cash!$A$1:$AU$95,I$1,FALSE)),VLOOKUP($A41,cash!$A$1:$AU$95,I$1,FALSE),0)</f>
        <v>5.9027229999999999</v>
      </c>
      <c r="J41" s="11">
        <f>IF(ISNUMBER(VLOOKUP($A41,cash!$A$1:$AU$95,J$1,FALSE)),VLOOKUP($A41,cash!$A$1:$AU$95,J$1,FALSE),0)</f>
        <v>2.9983810000000002</v>
      </c>
      <c r="K41" s="11">
        <f>IF(ISNUMBER(VLOOKUP($A41,cash!$A$1:$AU$95,K$1,FALSE)),VLOOKUP($A41,cash!$A$1:$AU$95,K$1,FALSE),0)</f>
        <v>1.42001</v>
      </c>
      <c r="L41" s="11">
        <f>IF(ISNUMBER(VLOOKUP($A41,cash!$A$1:$AU$95,L$1,FALSE)),VLOOKUP($A41,cash!$A$1:$AU$95,L$1,FALSE),0)</f>
        <v>5.7463889999999997</v>
      </c>
      <c r="M41" s="11">
        <f>IF(ISNUMBER(VLOOKUP($A41,cash!$A$1:$AU$95,M$1,FALSE)),VLOOKUP($A41,cash!$A$1:$AU$95,M$1,FALSE),0)</f>
        <v>3.6802269999999999</v>
      </c>
      <c r="N41" s="11">
        <f>IF(ISNUMBER(VLOOKUP($A41,cash!$A$1:$AU$95,N$1,FALSE)),VLOOKUP($A41,cash!$A$1:$AU$95,N$1,FALSE),0)</f>
        <v>2.7599520000000002</v>
      </c>
      <c r="O41" s="11">
        <f>IF(ISNUMBER(VLOOKUP($A41,cash!$A$1:$AU$95,O$1,FALSE)),VLOOKUP($A41,cash!$A$1:$AU$95,O$1,FALSE),0)</f>
        <v>1.7363</v>
      </c>
      <c r="P41" s="11">
        <f>IF(ISNUMBER(VLOOKUP($A41,cash!$A$1:$AU$95,P$1,FALSE)),VLOOKUP($A41,cash!$A$1:$AU$95,P$1,FALSE),0)</f>
        <v>3.073693</v>
      </c>
      <c r="Q41" s="11">
        <f>IF(ISNUMBER(VLOOKUP($A41,cash!$A$1:$AU$95,Q$1,FALSE)),VLOOKUP($A41,cash!$A$1:$AU$95,Q$1,FALSE),0)</f>
        <v>2.4390890000000001</v>
      </c>
      <c r="R41" s="11">
        <f>IF(ISNUMBER(VLOOKUP($A41,cash!$A$1:$AU$95,R$1,FALSE)),VLOOKUP($A41,cash!$A$1:$AU$95,R$1,FALSE),0)</f>
        <v>2.786632</v>
      </c>
      <c r="S41" s="11">
        <f>IF(ISNUMBER(VLOOKUP($A41,cash!$A$1:$AU$95,S$1,FALSE)),VLOOKUP($A41,cash!$A$1:$AU$95,S$1,FALSE),0)</f>
        <v>1.2951950000000001</v>
      </c>
      <c r="T41" s="11">
        <f>IF(ISNUMBER(VLOOKUP($A41,cash!$A$1:$AU$95,T$1,FALSE)),VLOOKUP($A41,cash!$A$1:$AU$95,T$1,FALSE),0)</f>
        <v>3.6708660000000002</v>
      </c>
      <c r="U41" s="11">
        <f>IF(ISNUMBER(VLOOKUP($A41,cash!$A$1:$AU$95,U$1,FALSE)),VLOOKUP($A41,cash!$A$1:$AU$95,U$1,FALSE),0)</f>
        <v>2.5066030000000001</v>
      </c>
      <c r="V41" s="11">
        <f>IF(ISNUMBER(VLOOKUP($A41,cash!$A$1:$AU$95,V$1,FALSE)),VLOOKUP($A41,cash!$A$1:$AU$95,V$1,FALSE),0)</f>
        <v>5.3490279999999997</v>
      </c>
      <c r="W41" s="11">
        <f>IF(ISNUMBER(VLOOKUP($A41,cash!$A$1:$AU$95,W$1,FALSE)),VLOOKUP($A41,cash!$A$1:$AU$95,W$1,FALSE),0)</f>
        <v>4.1017700000000001</v>
      </c>
      <c r="X41" s="11">
        <f>IF(ISNUMBER(VLOOKUP($A41,cash!$A$1:$AU$95,X$1,FALSE)),VLOOKUP($A41,cash!$A$1:$AU$95,X$1,FALSE),0)</f>
        <v>8.6573030000000006</v>
      </c>
      <c r="Y41" s="11">
        <f>IF(ISNUMBER(VLOOKUP($A41,cash!$A$1:$AU$95,Y$1,FALSE)),VLOOKUP($A41,cash!$A$1:$AU$95,Y$1,FALSE),0)</f>
        <v>7.3265929999999999</v>
      </c>
      <c r="Z41" s="11">
        <f>IF(ISNUMBER(VLOOKUP($A41,cash!$A$1:$AU$95,Z$1,FALSE)),VLOOKUP($A41,cash!$A$1:$AU$95,Z$1,FALSE),0)</f>
        <v>8.522907</v>
      </c>
      <c r="AA41" s="11">
        <f>IF(ISNUMBER(VLOOKUP($A41,cash!$A$1:$AU$95,AA$1,FALSE)),VLOOKUP($A41,cash!$A$1:$AU$95,AA$1,FALSE),0)</f>
        <v>8.2114720000000005</v>
      </c>
      <c r="AB41" s="11">
        <f>IF(ISNUMBER(VLOOKUP($A41,cash!$A$1:$AU$95,AB$1,FALSE)),VLOOKUP($A41,cash!$A$1:$AU$95,AB$1,FALSE),0)</f>
        <v>20.249679</v>
      </c>
      <c r="AC41" s="11">
        <f>IF(ISNUMBER(VLOOKUP($A41,cash!$A$1:$AU$95,AC$1,FALSE)),VLOOKUP($A41,cash!$A$1:$AU$95,AC$1,FALSE),0)</f>
        <v>14.610771</v>
      </c>
      <c r="AD41" s="11">
        <f>IF(ISNUMBER(VLOOKUP($A41,cash!$A$1:$AU$95,AD$1,FALSE)),VLOOKUP($A41,cash!$A$1:$AU$95,AD$1,FALSE),0)</f>
        <v>14.174670000000001</v>
      </c>
    </row>
    <row r="42" spans="1:30" x14ac:dyDescent="0.25">
      <c r="A42" s="3" t="s">
        <v>18</v>
      </c>
      <c r="B42" s="11">
        <f>IF(ISNUMBER(VLOOKUP($A42,cash!$A$1:$AU$95,B$1,FALSE)),VLOOKUP($A42,cash!$A$1:$AU$95,B$1,FALSE),0)</f>
        <v>0</v>
      </c>
      <c r="C42" s="11">
        <f>IF(ISNUMBER(VLOOKUP($A42,cash!$A$1:$AU$95,C$1,FALSE)),VLOOKUP($A42,cash!$A$1:$AU$95,C$1,FALSE),0)</f>
        <v>0</v>
      </c>
      <c r="D42" s="11">
        <f>IF(ISNUMBER(VLOOKUP($A42,cash!$A$1:$AU$95,D$1,FALSE)),VLOOKUP($A42,cash!$A$1:$AU$95,D$1,FALSE),0)</f>
        <v>0</v>
      </c>
      <c r="E42" s="11">
        <f>IF(ISNUMBER(VLOOKUP($A42,cash!$A$1:$AU$95,E$1,FALSE)),VLOOKUP($A42,cash!$A$1:$AU$95,E$1,FALSE),0)</f>
        <v>0</v>
      </c>
      <c r="F42" s="11">
        <f>IF(ISNUMBER(VLOOKUP($A42,cash!$A$1:$AU$95,F$1,FALSE)),VLOOKUP($A42,cash!$A$1:$AU$95,F$1,FALSE),0)</f>
        <v>0</v>
      </c>
      <c r="G42" s="11">
        <f>IF(ISNUMBER(VLOOKUP($A42,cash!$A$1:$AU$95,G$1,FALSE)),VLOOKUP($A42,cash!$A$1:$AU$95,G$1,FALSE),0)</f>
        <v>0</v>
      </c>
      <c r="H42" s="11">
        <f>IF(ISNUMBER(VLOOKUP($A42,cash!$A$1:$AU$95,H$1,FALSE)),VLOOKUP($A42,cash!$A$1:$AU$95,H$1,FALSE),0)</f>
        <v>0</v>
      </c>
      <c r="I42" s="11">
        <f>IF(ISNUMBER(VLOOKUP($A42,cash!$A$1:$AU$95,I$1,FALSE)),VLOOKUP($A42,cash!$A$1:$AU$95,I$1,FALSE),0)</f>
        <v>0</v>
      </c>
      <c r="J42" s="11">
        <f>IF(ISNUMBER(VLOOKUP($A42,cash!$A$1:$AU$95,J$1,FALSE)),VLOOKUP($A42,cash!$A$1:$AU$95,J$1,FALSE),0)</f>
        <v>0</v>
      </c>
      <c r="K42" s="11">
        <f>IF(ISNUMBER(VLOOKUP($A42,cash!$A$1:$AU$95,K$1,FALSE)),VLOOKUP($A42,cash!$A$1:$AU$95,K$1,FALSE),0)</f>
        <v>0</v>
      </c>
      <c r="L42" s="11">
        <f>IF(ISNUMBER(VLOOKUP($A42,cash!$A$1:$AU$95,L$1,FALSE)),VLOOKUP($A42,cash!$A$1:$AU$95,L$1,FALSE),0)</f>
        <v>0</v>
      </c>
      <c r="M42" s="11">
        <f>IF(ISNUMBER(VLOOKUP($A42,cash!$A$1:$AU$95,M$1,FALSE)),VLOOKUP($A42,cash!$A$1:$AU$95,M$1,FALSE),0)</f>
        <v>0</v>
      </c>
      <c r="N42" s="11">
        <f>IF(ISNUMBER(VLOOKUP($A42,cash!$A$1:$AU$95,N$1,FALSE)),VLOOKUP($A42,cash!$A$1:$AU$95,N$1,FALSE),0)</f>
        <v>0</v>
      </c>
      <c r="O42" s="11">
        <f>IF(ISNUMBER(VLOOKUP($A42,cash!$A$1:$AU$95,O$1,FALSE)),VLOOKUP($A42,cash!$A$1:$AU$95,O$1,FALSE),0)</f>
        <v>0</v>
      </c>
      <c r="P42" s="11">
        <f>IF(ISNUMBER(VLOOKUP($A42,cash!$A$1:$AU$95,P$1,FALSE)),VLOOKUP($A42,cash!$A$1:$AU$95,P$1,FALSE),0)</f>
        <v>0</v>
      </c>
      <c r="Q42" s="11">
        <f>IF(ISNUMBER(VLOOKUP($A42,cash!$A$1:$AU$95,Q$1,FALSE)),VLOOKUP($A42,cash!$A$1:$AU$95,Q$1,FALSE),0)</f>
        <v>1.6899999999999999E-4</v>
      </c>
      <c r="R42" s="11">
        <f>IF(ISNUMBER(VLOOKUP($A42,cash!$A$1:$AU$95,R$1,FALSE)),VLOOKUP($A42,cash!$A$1:$AU$95,R$1,FALSE),0)</f>
        <v>1.2999999999999999E-5</v>
      </c>
      <c r="S42" s="11">
        <f>IF(ISNUMBER(VLOOKUP($A42,cash!$A$1:$AU$95,S$1,FALSE)),VLOOKUP($A42,cash!$A$1:$AU$95,S$1,FALSE),0)</f>
        <v>-4.35E-4</v>
      </c>
      <c r="T42" s="11">
        <f>IF(ISNUMBER(VLOOKUP($A42,cash!$A$1:$AU$95,T$1,FALSE)),VLOOKUP($A42,cash!$A$1:$AU$95,T$1,FALSE),0)</f>
        <v>1.173E-3</v>
      </c>
      <c r="U42" s="11">
        <f>IF(ISNUMBER(VLOOKUP($A42,cash!$A$1:$AU$95,U$1,FALSE)),VLOOKUP($A42,cash!$A$1:$AU$95,U$1,FALSE),0)</f>
        <v>8.7717000000000003E-2</v>
      </c>
      <c r="V42" s="11">
        <f>IF(ISNUMBER(VLOOKUP($A42,cash!$A$1:$AU$95,V$1,FALSE)),VLOOKUP($A42,cash!$A$1:$AU$95,V$1,FALSE),0)</f>
        <v>0</v>
      </c>
      <c r="W42" s="11">
        <f>IF(ISNUMBER(VLOOKUP($A42,cash!$A$1:$AU$95,W$1,FALSE)),VLOOKUP($A42,cash!$A$1:$AU$95,W$1,FALSE),0)</f>
        <v>0</v>
      </c>
      <c r="X42" s="11">
        <f>IF(ISNUMBER(VLOOKUP($A42,cash!$A$1:$AU$95,X$1,FALSE)),VLOOKUP($A42,cash!$A$1:$AU$95,X$1,FALSE),0)</f>
        <v>0</v>
      </c>
      <c r="Y42" s="11">
        <f>IF(ISNUMBER(VLOOKUP($A42,cash!$A$1:$AU$95,Y$1,FALSE)),VLOOKUP($A42,cash!$A$1:$AU$95,Y$1,FALSE),0)</f>
        <v>9.1793E-2</v>
      </c>
      <c r="Z42" s="11">
        <f>IF(ISNUMBER(VLOOKUP($A42,cash!$A$1:$AU$95,Z$1,FALSE)),VLOOKUP($A42,cash!$A$1:$AU$95,Z$1,FALSE),0)</f>
        <v>0</v>
      </c>
      <c r="AA42" s="11">
        <f>IF(ISNUMBER(VLOOKUP($A42,cash!$A$1:$AU$95,AA$1,FALSE)),VLOOKUP($A42,cash!$A$1:$AU$95,AA$1,FALSE),0)</f>
        <v>8.7430000000000008E-3</v>
      </c>
      <c r="AB42" s="11">
        <f>IF(ISNUMBER(VLOOKUP($A42,cash!$A$1:$AU$95,AB$1,FALSE)),VLOOKUP($A42,cash!$A$1:$AU$95,AB$1,FALSE),0)</f>
        <v>1.7340000000000001E-3</v>
      </c>
      <c r="AC42" s="11">
        <f>IF(ISNUMBER(VLOOKUP($A42,cash!$A$1:$AU$95,AC$1,FALSE)),VLOOKUP($A42,cash!$A$1:$AU$95,AC$1,FALSE),0)</f>
        <v>0</v>
      </c>
      <c r="AD42" s="11">
        <f>IF(ISNUMBER(VLOOKUP($A42,cash!$A$1:$AU$95,AD$1,FALSE)),VLOOKUP($A42,cash!$A$1:$AU$95,AD$1,FALSE),0)</f>
        <v>0</v>
      </c>
    </row>
    <row r="43" spans="1:30" x14ac:dyDescent="0.25">
      <c r="A43" s="3" t="s">
        <v>20</v>
      </c>
      <c r="B43" s="11">
        <f>IF(ISNUMBER(VLOOKUP($A43,cash!$A$1:$AU$95,B$1,FALSE)),VLOOKUP($A43,cash!$A$1:$AU$95,B$1,FALSE),0)</f>
        <v>-3.4083921352999997</v>
      </c>
      <c r="C43" s="11">
        <f>IF(ISNUMBER(VLOOKUP($A43,cash!$A$1:$AU$95,C$1,FALSE)),VLOOKUP($A43,cash!$A$1:$AU$95,C$1,FALSE),0)</f>
        <v>-5.5281887601999999</v>
      </c>
      <c r="D43" s="11">
        <f>IF(ISNUMBER(VLOOKUP($A43,cash!$A$1:$AU$95,D$1,FALSE)),VLOOKUP($A43,cash!$A$1:$AU$95,D$1,FALSE),0)</f>
        <v>-4.2022531575000004</v>
      </c>
      <c r="E43" s="11">
        <f>IF(ISNUMBER(VLOOKUP($A43,cash!$A$1:$AU$95,E$1,FALSE)),VLOOKUP($A43,cash!$A$1:$AU$95,E$1,FALSE),0)</f>
        <v>-11.2541556535</v>
      </c>
      <c r="F43" s="11">
        <f>IF(ISNUMBER(VLOOKUP($A43,cash!$A$1:$AU$95,F$1,FALSE)),VLOOKUP($A43,cash!$A$1:$AU$95,F$1,FALSE),0)</f>
        <v>-9.0388656014999995</v>
      </c>
      <c r="G43" s="11">
        <f>IF(ISNUMBER(VLOOKUP($A43,cash!$A$1:$AU$95,G$1,FALSE)),VLOOKUP($A43,cash!$A$1:$AU$95,G$1,FALSE),0)</f>
        <v>-5.1807983423000001</v>
      </c>
      <c r="H43" s="11">
        <f>IF(ISNUMBER(VLOOKUP($A43,cash!$A$1:$AU$95,H$1,FALSE)),VLOOKUP($A43,cash!$A$1:$AU$95,H$1,FALSE),0)</f>
        <v>-6.1830378351999995</v>
      </c>
      <c r="I43" s="11">
        <f>IF(ISNUMBER(VLOOKUP($A43,cash!$A$1:$AU$95,I$1,FALSE)),VLOOKUP($A43,cash!$A$1:$AU$95,I$1,FALSE),0)</f>
        <v>-6.0583888945000002</v>
      </c>
      <c r="J43" s="11">
        <f>IF(ISNUMBER(VLOOKUP($A43,cash!$A$1:$AU$95,J$1,FALSE)),VLOOKUP($A43,cash!$A$1:$AU$95,J$1,FALSE),0)</f>
        <v>-2.8334213813</v>
      </c>
      <c r="K43" s="11">
        <f>IF(ISNUMBER(VLOOKUP($A43,cash!$A$1:$AU$95,K$1,FALSE)),VLOOKUP($A43,cash!$A$1:$AU$95,K$1,FALSE),0)</f>
        <v>-1.4787071846000002</v>
      </c>
      <c r="L43" s="11">
        <f>IF(ISNUMBER(VLOOKUP($A43,cash!$A$1:$AU$95,L$1,FALSE)),VLOOKUP($A43,cash!$A$1:$AU$95,L$1,FALSE),0)</f>
        <v>-5.9191095852000002</v>
      </c>
      <c r="M43" s="11">
        <f>IF(ISNUMBER(VLOOKUP($A43,cash!$A$1:$AU$95,M$1,FALSE)),VLOOKUP($A43,cash!$A$1:$AU$95,M$1,FALSE),0)</f>
        <v>-3.7287000125</v>
      </c>
      <c r="N43" s="11">
        <f>IF(ISNUMBER(VLOOKUP($A43,cash!$A$1:$AU$95,N$1,FALSE)),VLOOKUP($A43,cash!$A$1:$AU$95,N$1,FALSE),0)</f>
        <v>-2.7708660018</v>
      </c>
      <c r="O43" s="11">
        <f>IF(ISNUMBER(VLOOKUP($A43,cash!$A$1:$AU$95,O$1,FALSE)),VLOOKUP($A43,cash!$A$1:$AU$95,O$1,FALSE),0)</f>
        <v>-1.7034892105999999</v>
      </c>
      <c r="P43" s="11">
        <f>IF(ISNUMBER(VLOOKUP($A43,cash!$A$1:$AU$95,P$1,FALSE)),VLOOKUP($A43,cash!$A$1:$AU$95,P$1,FALSE),0)</f>
        <v>-3.0033969211000002</v>
      </c>
      <c r="Q43" s="11">
        <f>IF(ISNUMBER(VLOOKUP($A43,cash!$A$1:$AU$95,Q$1,FALSE)),VLOOKUP($A43,cash!$A$1:$AU$95,Q$1,FALSE),0)</f>
        <v>-3.2901341507999997</v>
      </c>
      <c r="R43" s="11">
        <f>IF(ISNUMBER(VLOOKUP($A43,cash!$A$1:$AU$95,R$1,FALSE)),VLOOKUP($A43,cash!$A$1:$AU$95,R$1,FALSE),0)</f>
        <v>-2.1797954157000001</v>
      </c>
      <c r="S43" s="11">
        <f>IF(ISNUMBER(VLOOKUP($A43,cash!$A$1:$AU$95,S$1,FALSE)),VLOOKUP($A43,cash!$A$1:$AU$95,S$1,FALSE),0)</f>
        <v>-1.3416253171999999</v>
      </c>
      <c r="T43" s="11">
        <f>IF(ISNUMBER(VLOOKUP($A43,cash!$A$1:$AU$95,T$1,FALSE)),VLOOKUP($A43,cash!$A$1:$AU$95,T$1,FALSE),0)</f>
        <v>-4.2134531583000001</v>
      </c>
      <c r="U43" s="11">
        <f>IF(ISNUMBER(VLOOKUP($A43,cash!$A$1:$AU$95,U$1,FALSE)),VLOOKUP($A43,cash!$A$1:$AU$95,U$1,FALSE),0)</f>
        <v>-2.6579574155000003</v>
      </c>
      <c r="V43" s="11">
        <f>IF(ISNUMBER(VLOOKUP($A43,cash!$A$1:$AU$95,V$1,FALSE)),VLOOKUP($A43,cash!$A$1:$AU$95,V$1,FALSE),0)</f>
        <v>-4.9227911304000003</v>
      </c>
      <c r="W43" s="11">
        <f>IF(ISNUMBER(VLOOKUP($A43,cash!$A$1:$AU$95,W$1,FALSE)),VLOOKUP($A43,cash!$A$1:$AU$95,W$1,FALSE),0)</f>
        <v>-4.3667012146999999</v>
      </c>
      <c r="X43" s="11">
        <f>IF(ISNUMBER(VLOOKUP($A43,cash!$A$1:$AU$95,X$1,FALSE)),VLOOKUP($A43,cash!$A$1:$AU$95,X$1,FALSE),0)</f>
        <v>-8.5404528853000006</v>
      </c>
      <c r="Y43" s="11">
        <f>IF(ISNUMBER(VLOOKUP($A43,cash!$A$1:$AU$95,Y$1,FALSE)),VLOOKUP($A43,cash!$A$1:$AU$95,Y$1,FALSE),0)</f>
        <v>-7.0523973185999997</v>
      </c>
      <c r="Z43" s="11">
        <f>IF(ISNUMBER(VLOOKUP($A43,cash!$A$1:$AU$95,Z$1,FALSE)),VLOOKUP($A43,cash!$A$1:$AU$95,Z$1,FALSE),0)</f>
        <v>-8.7616471484999998</v>
      </c>
      <c r="AA43" s="11">
        <f>IF(ISNUMBER(VLOOKUP($A43,cash!$A$1:$AU$95,AA$1,FALSE)),VLOOKUP($A43,cash!$A$1:$AU$95,AA$1,FALSE),0)</f>
        <v>-9.1393642400000008</v>
      </c>
      <c r="AB43" s="11">
        <f>IF(ISNUMBER(VLOOKUP($A43,cash!$A$1:$AU$95,AB$1,FALSE)),VLOOKUP($A43,cash!$A$1:$AU$95,AB$1,FALSE),0)</f>
        <v>-20.8481870948</v>
      </c>
      <c r="AC43" s="11">
        <f>IF(ISNUMBER(VLOOKUP($A43,cash!$A$1:$AU$95,AC$1,FALSE)),VLOOKUP($A43,cash!$A$1:$AU$95,AC$1,FALSE),0)</f>
        <v>-15.017912588699998</v>
      </c>
      <c r="AD43" s="11">
        <f>IF(ISNUMBER(VLOOKUP($A43,cash!$A$1:$AU$95,AD$1,FALSE)),VLOOKUP($A43,cash!$A$1:$AU$95,AD$1,FALSE),0)</f>
        <v>-14.559366685599999</v>
      </c>
    </row>
    <row r="44" spans="1:30" x14ac:dyDescent="0.25">
      <c r="A44" s="3" t="s">
        <v>21</v>
      </c>
      <c r="B44" s="11">
        <f>IF(ISNUMBER(VLOOKUP($A44,cash!$A$1:$AU$95,B$1,FALSE)),VLOOKUP($A44,cash!$A$1:$AU$95,B$1,FALSE),0)</f>
        <v>-1.4409020321000001</v>
      </c>
      <c r="C44" s="11">
        <f>IF(ISNUMBER(VLOOKUP($A44,cash!$A$1:$AU$95,C$1,FALSE)),VLOOKUP($A44,cash!$A$1:$AU$95,C$1,FALSE),0)</f>
        <v>-232.82981133060002</v>
      </c>
      <c r="D44" s="11">
        <f>IF(ISNUMBER(VLOOKUP($A44,cash!$A$1:$AU$95,D$1,FALSE)),VLOOKUP($A44,cash!$A$1:$AU$95,D$1,FALSE),0)</f>
        <v>-4.5123439999999997</v>
      </c>
      <c r="E44" s="11">
        <f>IF(ISNUMBER(VLOOKUP($A44,cash!$A$1:$AU$95,E$1,FALSE)),VLOOKUP($A44,cash!$A$1:$AU$95,E$1,FALSE),0)</f>
        <v>3.74542322E-2</v>
      </c>
      <c r="F44" s="11">
        <f>IF(ISNUMBER(VLOOKUP($A44,cash!$A$1:$AU$95,F$1,FALSE)),VLOOKUP($A44,cash!$A$1:$AU$95,F$1,FALSE),0)</f>
        <v>-2.5591841447999997</v>
      </c>
      <c r="G44" s="11">
        <f>IF(ISNUMBER(VLOOKUP($A44,cash!$A$1:$AU$95,G$1,FALSE)),VLOOKUP($A44,cash!$A$1:$AU$95,G$1,FALSE),0)</f>
        <v>0</v>
      </c>
      <c r="H44" s="11">
        <f>IF(ISNUMBER(VLOOKUP($A44,cash!$A$1:$AU$95,H$1,FALSE)),VLOOKUP($A44,cash!$A$1:$AU$95,H$1,FALSE),0)</f>
        <v>0</v>
      </c>
      <c r="I44" s="11">
        <f>IF(ISNUMBER(VLOOKUP($A44,cash!$A$1:$AU$95,I$1,FALSE)),VLOOKUP($A44,cash!$A$1:$AU$95,I$1,FALSE),0)</f>
        <v>-5.7000000000000002E-2</v>
      </c>
      <c r="J44" s="11">
        <f>IF(ISNUMBER(VLOOKUP($A44,cash!$A$1:$AU$95,J$1,FALSE)),VLOOKUP($A44,cash!$A$1:$AU$95,J$1,FALSE),0)</f>
        <v>-25.804735492300001</v>
      </c>
      <c r="K44" s="11">
        <f>IF(ISNUMBER(VLOOKUP($A44,cash!$A$1:$AU$95,K$1,FALSE)),VLOOKUP($A44,cash!$A$1:$AU$95,K$1,FALSE),0)</f>
        <v>0</v>
      </c>
      <c r="L44" s="11">
        <f>IF(ISNUMBER(VLOOKUP($A44,cash!$A$1:$AU$95,L$1,FALSE)),VLOOKUP($A44,cash!$A$1:$AU$95,L$1,FALSE),0)</f>
        <v>0</v>
      </c>
      <c r="M44" s="11">
        <f>IF(ISNUMBER(VLOOKUP($A44,cash!$A$1:$AU$95,M$1,FALSE)),VLOOKUP($A44,cash!$A$1:$AU$95,M$1,FALSE),0)</f>
        <v>-0.06</v>
      </c>
      <c r="N44" s="11">
        <f>IF(ISNUMBER(VLOOKUP($A44,cash!$A$1:$AU$95,N$1,FALSE)),VLOOKUP($A44,cash!$A$1:$AU$95,N$1,FALSE),0)</f>
        <v>-85.291778808000004</v>
      </c>
      <c r="O44" s="11">
        <f>IF(ISNUMBER(VLOOKUP($A44,cash!$A$1:$AU$95,O$1,FALSE)),VLOOKUP($A44,cash!$A$1:$AU$95,O$1,FALSE),0)</f>
        <v>0</v>
      </c>
      <c r="P44" s="11">
        <f>IF(ISNUMBER(VLOOKUP($A44,cash!$A$1:$AU$95,P$1,FALSE)),VLOOKUP($A44,cash!$A$1:$AU$95,P$1,FALSE),0)</f>
        <v>0</v>
      </c>
      <c r="Q44" s="11">
        <f>IF(ISNUMBER(VLOOKUP($A44,cash!$A$1:$AU$95,Q$1,FALSE)),VLOOKUP($A44,cash!$A$1:$AU$95,Q$1,FALSE),0)</f>
        <v>-0.50448341880000003</v>
      </c>
      <c r="R44" s="11">
        <f>IF(ISNUMBER(VLOOKUP($A44,cash!$A$1:$AU$95,R$1,FALSE)),VLOOKUP($A44,cash!$A$1:$AU$95,R$1,FALSE),0)</f>
        <v>-50.009901293599995</v>
      </c>
      <c r="S44" s="11">
        <f>IF(ISNUMBER(VLOOKUP($A44,cash!$A$1:$AU$95,S$1,FALSE)),VLOOKUP($A44,cash!$A$1:$AU$95,S$1,FALSE),0)</f>
        <v>-27.7456649445</v>
      </c>
      <c r="T44" s="11">
        <f>IF(ISNUMBER(VLOOKUP($A44,cash!$A$1:$AU$95,T$1,FALSE)),VLOOKUP($A44,cash!$A$1:$AU$95,T$1,FALSE),0)</f>
        <v>-5.0850728653999999</v>
      </c>
      <c r="U44" s="11">
        <f>IF(ISNUMBER(VLOOKUP($A44,cash!$A$1:$AU$95,U$1,FALSE)),VLOOKUP($A44,cash!$A$1:$AU$95,U$1,FALSE),0)</f>
        <v>-4.6425709000000003E-3</v>
      </c>
      <c r="V44" s="11">
        <f>IF(ISNUMBER(VLOOKUP($A44,cash!$A$1:$AU$95,V$1,FALSE)),VLOOKUP($A44,cash!$A$1:$AU$95,V$1,FALSE),0)</f>
        <v>-55.526129248500006</v>
      </c>
      <c r="W44" s="11">
        <f>IF(ISNUMBER(VLOOKUP($A44,cash!$A$1:$AU$95,W$1,FALSE)),VLOOKUP($A44,cash!$A$1:$AU$95,W$1,FALSE),0)</f>
        <v>-3.0060376000000002E-3</v>
      </c>
      <c r="X44" s="11">
        <f>IF(ISNUMBER(VLOOKUP($A44,cash!$A$1:$AU$95,X$1,FALSE)),VLOOKUP($A44,cash!$A$1:$AU$95,X$1,FALSE),0)</f>
        <v>-0.34641852909999998</v>
      </c>
      <c r="Y44" s="11">
        <f>IF(ISNUMBER(VLOOKUP($A44,cash!$A$1:$AU$95,Y$1,FALSE)),VLOOKUP($A44,cash!$A$1:$AU$95,Y$1,FALSE),0)</f>
        <v>0.57965138289999996</v>
      </c>
      <c r="Z44" s="11">
        <f>IF(ISNUMBER(VLOOKUP($A44,cash!$A$1:$AU$95,Z$1,FALSE)),VLOOKUP($A44,cash!$A$1:$AU$95,Z$1,FALSE),0)</f>
        <v>0.06</v>
      </c>
      <c r="AA44" s="11">
        <f>IF(ISNUMBER(VLOOKUP($A44,cash!$A$1:$AU$95,AA$1,FALSE)),VLOOKUP($A44,cash!$A$1:$AU$95,AA$1,FALSE),0)</f>
        <v>0</v>
      </c>
      <c r="AB44" s="11">
        <f>IF(ISNUMBER(VLOOKUP($A44,cash!$A$1:$AU$95,AB$1,FALSE)),VLOOKUP($A44,cash!$A$1:$AU$95,AB$1,FALSE),0)</f>
        <v>0</v>
      </c>
      <c r="AC44" s="11">
        <f>IF(ISNUMBER(VLOOKUP($A44,cash!$A$1:$AU$95,AC$1,FALSE)),VLOOKUP($A44,cash!$A$1:$AU$95,AC$1,FALSE),0)</f>
        <v>-0.41667355569999998</v>
      </c>
      <c r="AD44" s="11">
        <f>IF(ISNUMBER(VLOOKUP($A44,cash!$A$1:$AU$95,AD$1,FALSE)),VLOOKUP($A44,cash!$A$1:$AU$95,AD$1,FALSE),0)</f>
        <v>-5.5391006444000004</v>
      </c>
    </row>
    <row r="45" spans="1:30" x14ac:dyDescent="0.25">
      <c r="A45" s="3" t="s">
        <v>11</v>
      </c>
      <c r="B45" s="11">
        <f>IF(ISNUMBER(VLOOKUP($A45,benefit!$A$1:$AQ$76,B$1,FALSE)),VLOOKUP($A45,benefit!$A$1:$AQ$76,B$1,FALSE),0)</f>
        <v>20.785698</v>
      </c>
      <c r="C45" s="11">
        <f>IF(ISNUMBER(VLOOKUP($A45,benefit!$A$1:$AQ$76,C$1,FALSE)),VLOOKUP($A45,benefit!$A$1:$AQ$76,C$1,FALSE),0)</f>
        <v>17.198830999999998</v>
      </c>
      <c r="D45" s="11">
        <f>IF(ISNUMBER(VLOOKUP($A45,benefit!$A$1:$AQ$76,D$1,FALSE)),VLOOKUP($A45,benefit!$A$1:$AQ$76,D$1,FALSE),0)</f>
        <v>20.324435000000001</v>
      </c>
      <c r="E45" s="11">
        <f>IF(ISNUMBER(VLOOKUP($A45,benefit!$A$1:$AQ$76,E$1,FALSE)),VLOOKUP($A45,benefit!$A$1:$AQ$76,E$1,FALSE),0)</f>
        <v>22.441326</v>
      </c>
      <c r="F45" s="11">
        <f>IF(ISNUMBER(VLOOKUP($A45,benefit!$A$1:$AQ$76,F$1,FALSE)),VLOOKUP($A45,benefit!$A$1:$AQ$76,F$1,FALSE),0)</f>
        <v>19.742612000000001</v>
      </c>
      <c r="G45" s="11">
        <f>IF(ISNUMBER(VLOOKUP($A45,benefit!$A$1:$AQ$76,G$1,FALSE)),VLOOKUP($A45,benefit!$A$1:$AQ$76,G$1,FALSE),0)</f>
        <v>15.041793999999999</v>
      </c>
      <c r="H45" s="11">
        <f>IF(ISNUMBER(VLOOKUP($A45,benefit!$A$1:$AQ$76,H$1,FALSE)),VLOOKUP($A45,benefit!$A$1:$AQ$76,H$1,FALSE),0)</f>
        <v>17.074407000000001</v>
      </c>
      <c r="I45" s="11">
        <f>IF(ISNUMBER(VLOOKUP($A45,benefit!$A$1:$AQ$76,I$1,FALSE)),VLOOKUP($A45,benefit!$A$1:$AQ$76,I$1,FALSE),0)</f>
        <v>18.858664000000001</v>
      </c>
      <c r="J45" s="11">
        <f>IF(ISNUMBER(VLOOKUP($A45,benefit!$A$1:$AQ$76,J$1,FALSE)),VLOOKUP($A45,benefit!$A$1:$AQ$76,J$1,FALSE),0)</f>
        <v>16.120303</v>
      </c>
      <c r="K45" s="11">
        <f>IF(ISNUMBER(VLOOKUP($A45,benefit!$A$1:$AQ$76,K$1,FALSE)),VLOOKUP($A45,benefit!$A$1:$AQ$76,K$1,FALSE),0)</f>
        <v>15.064322000000001</v>
      </c>
      <c r="L45" s="11">
        <f>IF(ISNUMBER(VLOOKUP($A45,benefit!$A$1:$AQ$76,L$1,FALSE)),VLOOKUP($A45,benefit!$A$1:$AQ$76,L$1,FALSE),0)</f>
        <v>15.185929</v>
      </c>
      <c r="M45" s="11">
        <f>IF(ISNUMBER(VLOOKUP($A45,benefit!$A$1:$AQ$76,M$1,FALSE)),VLOOKUP($A45,benefit!$A$1:$AQ$76,M$1,FALSE),0)</f>
        <v>16.669981</v>
      </c>
      <c r="N45" s="11">
        <f>IF(ISNUMBER(VLOOKUP($A45,benefit!$A$1:$AQ$76,N$1,FALSE)),VLOOKUP($A45,benefit!$A$1:$AQ$76,N$1,FALSE),0)</f>
        <v>17.622098999999999</v>
      </c>
      <c r="O45" s="11">
        <f>IF(ISNUMBER(VLOOKUP($A45,benefit!$A$1:$AQ$76,O$1,FALSE)),VLOOKUP($A45,benefit!$A$1:$AQ$76,O$1,FALSE),0)</f>
        <v>13.342307</v>
      </c>
      <c r="P45" s="11">
        <f>IF(ISNUMBER(VLOOKUP($A45,benefit!$A$1:$AQ$76,P$1,FALSE)),VLOOKUP($A45,benefit!$A$1:$AQ$76,P$1,FALSE),0)</f>
        <v>11.769977000000001</v>
      </c>
      <c r="Q45" s="11">
        <f>IF(ISNUMBER(VLOOKUP($A45,benefit!$A$1:$AQ$76,Q$1,FALSE)),VLOOKUP($A45,benefit!$A$1:$AQ$76,Q$1,FALSE),0)</f>
        <v>11.847054</v>
      </c>
      <c r="R45" s="11">
        <f>IF(ISNUMBER(VLOOKUP($A45,benefit!$A$1:$AQ$76,R$1,FALSE)),VLOOKUP($A45,benefit!$A$1:$AQ$76,R$1,FALSE),0)</f>
        <v>7.4999099999999999</v>
      </c>
      <c r="S45" s="11">
        <f>IF(ISNUMBER(VLOOKUP($A45,benefit!$A$1:$AQ$76,S$1,FALSE)),VLOOKUP($A45,benefit!$A$1:$AQ$76,S$1,FALSE),0)</f>
        <v>7.1040570000000001</v>
      </c>
      <c r="T45" s="11">
        <f>IF(ISNUMBER(VLOOKUP($A45,benefit!$A$1:$AQ$76,T$1,FALSE)),VLOOKUP($A45,benefit!$A$1:$AQ$76,T$1,FALSE),0)</f>
        <v>7.6500199999999996</v>
      </c>
      <c r="U45" s="11">
        <f>IF(ISNUMBER(VLOOKUP($A45,benefit!$A$1:$AQ$76,U$1,FALSE)),VLOOKUP($A45,benefit!$A$1:$AQ$76,U$1,FALSE),0)</f>
        <v>7.9128980000000002</v>
      </c>
      <c r="V45" s="11">
        <f>IF(ISNUMBER(VLOOKUP($A45,benefit!$A$1:$AQ$76,V$1,FALSE)),VLOOKUP($A45,benefit!$A$1:$AQ$76,V$1,FALSE),0)</f>
        <v>5.8116969999999997</v>
      </c>
      <c r="W45" s="11">
        <f>IF(ISNUMBER(VLOOKUP($A45,benefit!$A$1:$AQ$76,W$1,FALSE)),VLOOKUP($A45,benefit!$A$1:$AQ$76,W$1,FALSE),0)</f>
        <v>5.860811</v>
      </c>
      <c r="X45" s="11">
        <f>IF(ISNUMBER(VLOOKUP($A45,benefit!$A$1:$AQ$76,X$1,FALSE)),VLOOKUP($A45,benefit!$A$1:$AQ$76,X$1,FALSE),0)</f>
        <v>5.7979690000000002</v>
      </c>
      <c r="Y45" s="11">
        <f>IF(ISNUMBER(VLOOKUP($A45,benefit!$A$1:$AQ$76,Y$1,FALSE)),VLOOKUP($A45,benefit!$A$1:$AQ$76,Y$1,FALSE),0)</f>
        <v>7.4524319999999999</v>
      </c>
      <c r="Z45" s="11">
        <f>IF(ISNUMBER(VLOOKUP($A45,benefit!$A$1:$AQ$76,Z$1,FALSE)),VLOOKUP($A45,benefit!$A$1:$AQ$76,Z$1,FALSE),0)</f>
        <v>6.0576400000000001</v>
      </c>
      <c r="AA45" s="11">
        <f>IF(ISNUMBER(VLOOKUP($A45,benefit!$A$1:$AQ$76,AA$1,FALSE)),VLOOKUP($A45,benefit!$A$1:$AQ$76,AA$1,FALSE),0)</f>
        <v>4.8060809999999998</v>
      </c>
      <c r="AB45" s="11">
        <f>IF(ISNUMBER(VLOOKUP($A45,benefit!$A$1:$AQ$76,AB$1,FALSE)),VLOOKUP($A45,benefit!$A$1:$AQ$76,AB$1,FALSE),0)</f>
        <v>5.0693520000000003</v>
      </c>
      <c r="AC45" s="11">
        <f>IF(ISNUMBER(VLOOKUP($A45,benefit!$A$1:$AQ$76,AC$1,FALSE)),VLOOKUP($A45,benefit!$A$1:$AQ$76,AC$1,FALSE),0)</f>
        <v>7.5305530000000003</v>
      </c>
      <c r="AD45" s="11">
        <f>IF(ISNUMBER(VLOOKUP($A45,benefit!$A$1:$AQ$76,AD$1,FALSE)),VLOOKUP($A45,benefit!$A$1:$AQ$76,AD$1,FALSE),0)</f>
        <v>5.0829829999999996</v>
      </c>
    </row>
    <row r="46" spans="1:30" x14ac:dyDescent="0.25">
      <c r="A46" s="3" t="s">
        <v>12</v>
      </c>
      <c r="B46" s="11">
        <f>IF(ISNUMBER(VLOOKUP($A46,benefit!$A$1:$AQ$76,B$1,FALSE)),VLOOKUP($A46,benefit!$A$1:$AQ$76,B$1,FALSE),0)</f>
        <v>6.1252310000000003</v>
      </c>
      <c r="C46" s="11">
        <f>IF(ISNUMBER(VLOOKUP($A46,benefit!$A$1:$AQ$76,C$1,FALSE)),VLOOKUP($A46,benefit!$A$1:$AQ$76,C$1,FALSE),0)</f>
        <v>5.0202799999999996</v>
      </c>
      <c r="D46" s="11">
        <f>IF(ISNUMBER(VLOOKUP($A46,benefit!$A$1:$AQ$76,D$1,FALSE)),VLOOKUP($A46,benefit!$A$1:$AQ$76,D$1,FALSE),0)</f>
        <v>6.6130560000000003</v>
      </c>
      <c r="E46" s="11">
        <f>IF(ISNUMBER(VLOOKUP($A46,benefit!$A$1:$AQ$76,E$1,FALSE)),VLOOKUP($A46,benefit!$A$1:$AQ$76,E$1,FALSE),0)</f>
        <v>6.6500260000000004</v>
      </c>
      <c r="F46" s="11">
        <f>IF(ISNUMBER(VLOOKUP($A46,benefit!$A$1:$AQ$76,F$1,FALSE)),VLOOKUP($A46,benefit!$A$1:$AQ$76,F$1,FALSE),0)</f>
        <v>6.2702910000000003</v>
      </c>
      <c r="G46" s="11">
        <f>IF(ISNUMBER(VLOOKUP($A46,benefit!$A$1:$AQ$76,G$1,FALSE)),VLOOKUP($A46,benefit!$A$1:$AQ$76,G$1,FALSE),0)</f>
        <v>11.154560999999999</v>
      </c>
      <c r="H46" s="11">
        <f>IF(ISNUMBER(VLOOKUP($A46,benefit!$A$1:$AQ$76,H$1,FALSE)),VLOOKUP($A46,benefit!$A$1:$AQ$76,H$1,FALSE),0)</f>
        <v>8.7150309999999998</v>
      </c>
      <c r="I46" s="11">
        <f>IF(ISNUMBER(VLOOKUP($A46,benefit!$A$1:$AQ$76,I$1,FALSE)),VLOOKUP($A46,benefit!$A$1:$AQ$76,I$1,FALSE),0)</f>
        <v>-2.7349969999999999</v>
      </c>
      <c r="J46" s="11">
        <f>IF(ISNUMBER(VLOOKUP($A46,benefit!$A$1:$AQ$76,J$1,FALSE)),VLOOKUP($A46,benefit!$A$1:$AQ$76,J$1,FALSE),0)</f>
        <v>6.459886</v>
      </c>
      <c r="K46" s="11">
        <f>IF(ISNUMBER(VLOOKUP($A46,benefit!$A$1:$AQ$76,K$1,FALSE)),VLOOKUP($A46,benefit!$A$1:$AQ$76,K$1,FALSE),0)</f>
        <v>12.544975000000001</v>
      </c>
      <c r="L46" s="11">
        <f>IF(ISNUMBER(VLOOKUP($A46,benefit!$A$1:$AQ$76,L$1,FALSE)),VLOOKUP($A46,benefit!$A$1:$AQ$76,L$1,FALSE),0)</f>
        <v>9.4509050000000006</v>
      </c>
      <c r="M46" s="11">
        <f>IF(ISNUMBER(VLOOKUP($A46,benefit!$A$1:$AQ$76,M$1,FALSE)),VLOOKUP($A46,benefit!$A$1:$AQ$76,M$1,FALSE),0)</f>
        <v>10.081576</v>
      </c>
      <c r="N46" s="11">
        <f>IF(ISNUMBER(VLOOKUP($A46,benefit!$A$1:$AQ$76,N$1,FALSE)),VLOOKUP($A46,benefit!$A$1:$AQ$76,N$1,FALSE),0)</f>
        <v>5.9904039999999998</v>
      </c>
      <c r="O46" s="11">
        <f>IF(ISNUMBER(VLOOKUP($A46,benefit!$A$1:$AQ$76,O$1,FALSE)),VLOOKUP($A46,benefit!$A$1:$AQ$76,O$1,FALSE),0)</f>
        <v>5.2643639999999996</v>
      </c>
      <c r="P46" s="11">
        <f>IF(ISNUMBER(VLOOKUP($A46,benefit!$A$1:$AQ$76,P$1,FALSE)),VLOOKUP($A46,benefit!$A$1:$AQ$76,P$1,FALSE),0)</f>
        <v>8.5243409999999997</v>
      </c>
      <c r="Q46" s="11">
        <f>IF(ISNUMBER(VLOOKUP($A46,benefit!$A$1:$AQ$76,Q$1,FALSE)),VLOOKUP($A46,benefit!$A$1:$AQ$76,Q$1,FALSE),0)</f>
        <v>10.259416999999999</v>
      </c>
      <c r="R46" s="11">
        <f>IF(ISNUMBER(VLOOKUP($A46,benefit!$A$1:$AQ$76,R$1,FALSE)),VLOOKUP($A46,benefit!$A$1:$AQ$76,R$1,FALSE),0)</f>
        <v>2.6768860000000001</v>
      </c>
      <c r="S46" s="11">
        <f>IF(ISNUMBER(VLOOKUP($A46,benefit!$A$1:$AQ$76,S$1,FALSE)),VLOOKUP($A46,benefit!$A$1:$AQ$76,S$1,FALSE),0)</f>
        <v>2.1703619999999999</v>
      </c>
      <c r="T46" s="11">
        <f>IF(ISNUMBER(VLOOKUP($A46,benefit!$A$1:$AQ$76,T$1,FALSE)),VLOOKUP($A46,benefit!$A$1:$AQ$76,T$1,FALSE),0)</f>
        <v>1.703854</v>
      </c>
      <c r="U46" s="11">
        <f>IF(ISNUMBER(VLOOKUP($A46,benefit!$A$1:$AQ$76,U$1,FALSE)),VLOOKUP($A46,benefit!$A$1:$AQ$76,U$1,FALSE),0)</f>
        <v>5.4955999999999996</v>
      </c>
      <c r="V46" s="11">
        <f>IF(ISNUMBER(VLOOKUP($A46,benefit!$A$1:$AQ$76,V$1,FALSE)),VLOOKUP($A46,benefit!$A$1:$AQ$76,V$1,FALSE),0)</f>
        <v>3.433875</v>
      </c>
      <c r="W46" s="11">
        <f>IF(ISNUMBER(VLOOKUP($A46,benefit!$A$1:$AQ$76,W$1,FALSE)),VLOOKUP($A46,benefit!$A$1:$AQ$76,W$1,FALSE),0)</f>
        <v>3.4941420000000001</v>
      </c>
      <c r="X46" s="11">
        <f>IF(ISNUMBER(VLOOKUP($A46,benefit!$A$1:$AQ$76,X$1,FALSE)),VLOOKUP($A46,benefit!$A$1:$AQ$76,X$1,FALSE),0)</f>
        <v>2.4259979999999999</v>
      </c>
      <c r="Y46" s="11">
        <f>IF(ISNUMBER(VLOOKUP($A46,benefit!$A$1:$AQ$76,Y$1,FALSE)),VLOOKUP($A46,benefit!$A$1:$AQ$76,Y$1,FALSE),0)</f>
        <v>6.9802210000000002</v>
      </c>
      <c r="Z46" s="11">
        <f>IF(ISNUMBER(VLOOKUP($A46,benefit!$A$1:$AQ$76,Z$1,FALSE)),VLOOKUP($A46,benefit!$A$1:$AQ$76,Z$1,FALSE),0)</f>
        <v>3.2990520000000001</v>
      </c>
      <c r="AA46" s="11">
        <f>IF(ISNUMBER(VLOOKUP($A46,benefit!$A$1:$AQ$76,AA$1,FALSE)),VLOOKUP($A46,benefit!$A$1:$AQ$76,AA$1,FALSE),0)</f>
        <v>3.1766019999999999</v>
      </c>
      <c r="AB46" s="11">
        <f>IF(ISNUMBER(VLOOKUP($A46,benefit!$A$1:$AQ$76,AB$1,FALSE)),VLOOKUP($A46,benefit!$A$1:$AQ$76,AB$1,FALSE),0)</f>
        <v>3.2914590000000001</v>
      </c>
      <c r="AC46" s="11">
        <f>IF(ISNUMBER(VLOOKUP($A46,benefit!$A$1:$AQ$76,AC$1,FALSE)),VLOOKUP($A46,benefit!$A$1:$AQ$76,AC$1,FALSE),0)</f>
        <v>6.9258280000000001</v>
      </c>
      <c r="AD46" s="11">
        <f>IF(ISNUMBER(VLOOKUP($A46,benefit!$A$1:$AQ$76,AD$1,FALSE)),VLOOKUP($A46,benefit!$A$1:$AQ$76,AD$1,FALSE),0)</f>
        <v>3.6575340000000001</v>
      </c>
    </row>
    <row r="47" spans="1:30" x14ac:dyDescent="0.25">
      <c r="A47" s="3" t="s">
        <v>13</v>
      </c>
      <c r="B47" s="11">
        <f>IF(ISNUMBER(VLOOKUP($A47,benefit!$A$1:$AQ$76,B$1,FALSE)),VLOOKUP($A47,benefit!$A$1:$AQ$76,B$1,FALSE),0)</f>
        <v>15.769019</v>
      </c>
      <c r="C47" s="11">
        <f>IF(ISNUMBER(VLOOKUP($A47,benefit!$A$1:$AQ$76,C$1,FALSE)),VLOOKUP($A47,benefit!$A$1:$AQ$76,C$1,FALSE),0)</f>
        <v>14.127605000000001</v>
      </c>
      <c r="D47" s="11">
        <f>IF(ISNUMBER(VLOOKUP($A47,benefit!$A$1:$AQ$76,D$1,FALSE)),VLOOKUP($A47,benefit!$A$1:$AQ$76,D$1,FALSE),0)</f>
        <v>15.598532000000001</v>
      </c>
      <c r="E47" s="11">
        <f>IF(ISNUMBER(VLOOKUP($A47,benefit!$A$1:$AQ$76,E$1,FALSE)),VLOOKUP($A47,benefit!$A$1:$AQ$76,E$1,FALSE),0)</f>
        <v>20.285748999999999</v>
      </c>
      <c r="F47" s="11">
        <f>IF(ISNUMBER(VLOOKUP($A47,benefit!$A$1:$AQ$76,F$1,FALSE)),VLOOKUP($A47,benefit!$A$1:$AQ$76,F$1,FALSE),0)</f>
        <v>14.235493</v>
      </c>
      <c r="G47" s="11">
        <f>IF(ISNUMBER(VLOOKUP($A47,benefit!$A$1:$AQ$76,G$1,FALSE)),VLOOKUP($A47,benefit!$A$1:$AQ$76,G$1,FALSE),0)</f>
        <v>12.590555999999999</v>
      </c>
      <c r="H47" s="11">
        <f>IF(ISNUMBER(VLOOKUP($A47,benefit!$A$1:$AQ$76,H$1,FALSE)),VLOOKUP($A47,benefit!$A$1:$AQ$76,H$1,FALSE),0)</f>
        <v>14.56803</v>
      </c>
      <c r="I47" s="11">
        <f>IF(ISNUMBER(VLOOKUP($A47,benefit!$A$1:$AQ$76,I$1,FALSE)),VLOOKUP($A47,benefit!$A$1:$AQ$76,I$1,FALSE),0)</f>
        <v>16.416501</v>
      </c>
      <c r="J47" s="11">
        <f>IF(ISNUMBER(VLOOKUP($A47,benefit!$A$1:$AQ$76,J$1,FALSE)),VLOOKUP($A47,benefit!$A$1:$AQ$76,J$1,FALSE),0)</f>
        <v>12.311441</v>
      </c>
      <c r="K47" s="11">
        <f>IF(ISNUMBER(VLOOKUP($A47,benefit!$A$1:$AQ$76,K$1,FALSE)),VLOOKUP($A47,benefit!$A$1:$AQ$76,K$1,FALSE),0)</f>
        <v>12.516550000000001</v>
      </c>
      <c r="L47" s="11">
        <f>IF(ISNUMBER(VLOOKUP($A47,benefit!$A$1:$AQ$76,L$1,FALSE)),VLOOKUP($A47,benefit!$A$1:$AQ$76,L$1,FALSE),0)</f>
        <v>12.014915999999999</v>
      </c>
      <c r="M47" s="11">
        <f>IF(ISNUMBER(VLOOKUP($A47,benefit!$A$1:$AQ$76,M$1,FALSE)),VLOOKUP($A47,benefit!$A$1:$AQ$76,M$1,FALSE),0)</f>
        <v>15.980229</v>
      </c>
      <c r="N47" s="11">
        <f>IF(ISNUMBER(VLOOKUP($A47,benefit!$A$1:$AQ$76,N$1,FALSE)),VLOOKUP($A47,benefit!$A$1:$AQ$76,N$1,FALSE),0)</f>
        <v>10.715265</v>
      </c>
      <c r="O47" s="11">
        <f>IF(ISNUMBER(VLOOKUP($A47,benefit!$A$1:$AQ$76,O$1,FALSE)),VLOOKUP($A47,benefit!$A$1:$AQ$76,O$1,FALSE),0)</f>
        <v>9.1001569999999994</v>
      </c>
      <c r="P47" s="11">
        <f>IF(ISNUMBER(VLOOKUP($A47,benefit!$A$1:$AQ$76,P$1,FALSE)),VLOOKUP($A47,benefit!$A$1:$AQ$76,P$1,FALSE),0)</f>
        <v>11.222305</v>
      </c>
      <c r="Q47" s="11">
        <f>IF(ISNUMBER(VLOOKUP($A47,benefit!$A$1:$AQ$76,Q$1,FALSE)),VLOOKUP($A47,benefit!$A$1:$AQ$76,Q$1,FALSE),0)</f>
        <v>14.010856</v>
      </c>
      <c r="R47" s="11">
        <f>IF(ISNUMBER(VLOOKUP($A47,benefit!$A$1:$AQ$76,R$1,FALSE)),VLOOKUP($A47,benefit!$A$1:$AQ$76,R$1,FALSE),0)</f>
        <v>9.2651240000000001</v>
      </c>
      <c r="S47" s="11">
        <f>IF(ISNUMBER(VLOOKUP($A47,benefit!$A$1:$AQ$76,S$1,FALSE)),VLOOKUP($A47,benefit!$A$1:$AQ$76,S$1,FALSE),0)</f>
        <v>9.5457879999999999</v>
      </c>
      <c r="T47" s="11">
        <f>IF(ISNUMBER(VLOOKUP($A47,benefit!$A$1:$AQ$76,T$1,FALSE)),VLOOKUP($A47,benefit!$A$1:$AQ$76,T$1,FALSE),0)</f>
        <v>9.0501299999999993</v>
      </c>
      <c r="U47" s="11">
        <f>IF(ISNUMBER(VLOOKUP($A47,benefit!$A$1:$AQ$76,U$1,FALSE)),VLOOKUP($A47,benefit!$A$1:$AQ$76,U$1,FALSE),0)</f>
        <v>12.202712999999999</v>
      </c>
      <c r="V47" s="11">
        <f>IF(ISNUMBER(VLOOKUP($A47,benefit!$A$1:$AQ$76,V$1,FALSE)),VLOOKUP($A47,benefit!$A$1:$AQ$76,V$1,FALSE),0)</f>
        <v>7.6544910000000002</v>
      </c>
      <c r="W47" s="11">
        <f>IF(ISNUMBER(VLOOKUP($A47,benefit!$A$1:$AQ$76,W$1,FALSE)),VLOOKUP($A47,benefit!$A$1:$AQ$76,W$1,FALSE),0)</f>
        <v>9.0721120000000006</v>
      </c>
      <c r="X47" s="11">
        <f>IF(ISNUMBER(VLOOKUP($A47,benefit!$A$1:$AQ$76,X$1,FALSE)),VLOOKUP($A47,benefit!$A$1:$AQ$76,X$1,FALSE),0)</f>
        <v>9.1992039999999999</v>
      </c>
      <c r="Y47" s="11">
        <f>IF(ISNUMBER(VLOOKUP($A47,benefit!$A$1:$AQ$76,Y$1,FALSE)),VLOOKUP($A47,benefit!$A$1:$AQ$76,Y$1,FALSE),0)</f>
        <v>10.415418000000001</v>
      </c>
      <c r="Z47" s="11">
        <f>IF(ISNUMBER(VLOOKUP($A47,benefit!$A$1:$AQ$76,Z$1,FALSE)),VLOOKUP($A47,benefit!$A$1:$AQ$76,Z$1,FALSE),0)</f>
        <v>8.4414929999999995</v>
      </c>
      <c r="AA47" s="11">
        <f>IF(ISNUMBER(VLOOKUP($A47,benefit!$A$1:$AQ$76,AA$1,FALSE)),VLOOKUP($A47,benefit!$A$1:$AQ$76,AA$1,FALSE),0)</f>
        <v>7.6186119999999997</v>
      </c>
      <c r="AB47" s="11">
        <f>IF(ISNUMBER(VLOOKUP($A47,benefit!$A$1:$AQ$76,AB$1,FALSE)),VLOOKUP($A47,benefit!$A$1:$AQ$76,AB$1,FALSE),0)</f>
        <v>7.3094720000000004</v>
      </c>
      <c r="AC47" s="11">
        <f>IF(ISNUMBER(VLOOKUP($A47,benefit!$A$1:$AQ$76,AC$1,FALSE)),VLOOKUP($A47,benefit!$A$1:$AQ$76,AC$1,FALSE),0)</f>
        <v>10.913073000000001</v>
      </c>
      <c r="AD47" s="11">
        <f>IF(ISNUMBER(VLOOKUP($A47,benefit!$A$1:$AQ$76,AD$1,FALSE)),VLOOKUP($A47,benefit!$A$1:$AQ$76,AD$1,FALSE),0)</f>
        <v>5.9155559999999996</v>
      </c>
    </row>
    <row r="48" spans="1:30" x14ac:dyDescent="0.25">
      <c r="A48" s="3" t="s">
        <v>14</v>
      </c>
      <c r="B48" s="11">
        <f>IF(ISNUMBER(VLOOKUP($A48,benefit!$A$1:$AQ$76,B$1,FALSE)),VLOOKUP($A48,benefit!$A$1:$AQ$76,B$1,FALSE),0)</f>
        <v>0.14303399999999999</v>
      </c>
      <c r="C48" s="11">
        <f>IF(ISNUMBER(VLOOKUP($A48,benefit!$A$1:$AQ$76,C$1,FALSE)),VLOOKUP($A48,benefit!$A$1:$AQ$76,C$1,FALSE),0)</f>
        <v>0.13241900000000001</v>
      </c>
      <c r="D48" s="11">
        <f>IF(ISNUMBER(VLOOKUP($A48,benefit!$A$1:$AQ$76,D$1,FALSE)),VLOOKUP($A48,benefit!$A$1:$AQ$76,D$1,FALSE),0)</f>
        <v>0.103496</v>
      </c>
      <c r="E48" s="11">
        <f>IF(ISNUMBER(VLOOKUP($A48,benefit!$A$1:$AQ$76,E$1,FALSE)),VLOOKUP($A48,benefit!$A$1:$AQ$76,E$1,FALSE),0)</f>
        <v>-0.16462299999999999</v>
      </c>
      <c r="F48" s="11">
        <f>IF(ISNUMBER(VLOOKUP($A48,benefit!$A$1:$AQ$76,F$1,FALSE)),VLOOKUP($A48,benefit!$A$1:$AQ$76,F$1,FALSE),0)</f>
        <v>0.12554999999999999</v>
      </c>
      <c r="G48" s="11">
        <f>IF(ISNUMBER(VLOOKUP($A48,benefit!$A$1:$AQ$76,G$1,FALSE)),VLOOKUP($A48,benefit!$A$1:$AQ$76,G$1,FALSE),0)</f>
        <v>0.436921</v>
      </c>
      <c r="H48" s="11">
        <f>IF(ISNUMBER(VLOOKUP($A48,benefit!$A$1:$AQ$76,H$1,FALSE)),VLOOKUP($A48,benefit!$A$1:$AQ$76,H$1,FALSE),0)</f>
        <v>8.9040999999999995E-2</v>
      </c>
      <c r="I48" s="11">
        <f>IF(ISNUMBER(VLOOKUP($A48,benefit!$A$1:$AQ$76,I$1,FALSE)),VLOOKUP($A48,benefit!$A$1:$AQ$76,I$1,FALSE),0)</f>
        <v>6.7511000000000002E-2</v>
      </c>
      <c r="J48" s="11">
        <f>IF(ISNUMBER(VLOOKUP($A48,benefit!$A$1:$AQ$76,J$1,FALSE)),VLOOKUP($A48,benefit!$A$1:$AQ$76,J$1,FALSE),0)</f>
        <v>7.9336000000000004E-2</v>
      </c>
      <c r="K48" s="11">
        <f>IF(ISNUMBER(VLOOKUP($A48,benefit!$A$1:$AQ$76,K$1,FALSE)),VLOOKUP($A48,benefit!$A$1:$AQ$76,K$1,FALSE),0)</f>
        <v>4.5557E-2</v>
      </c>
      <c r="L48" s="11">
        <f>IF(ISNUMBER(VLOOKUP($A48,benefit!$A$1:$AQ$76,L$1,FALSE)),VLOOKUP($A48,benefit!$A$1:$AQ$76,L$1,FALSE),0)</f>
        <v>2.7132E-2</v>
      </c>
      <c r="M48" s="11">
        <f>IF(ISNUMBER(VLOOKUP($A48,benefit!$A$1:$AQ$76,M$1,FALSE)),VLOOKUP($A48,benefit!$A$1:$AQ$76,M$1,FALSE),0)</f>
        <v>7.4810000000000001E-2</v>
      </c>
      <c r="N48" s="11">
        <f>IF(ISNUMBER(VLOOKUP($A48,benefit!$A$1:$AQ$76,N$1,FALSE)),VLOOKUP($A48,benefit!$A$1:$AQ$76,N$1,FALSE),0)</f>
        <v>0</v>
      </c>
      <c r="O48" s="11">
        <f>IF(ISNUMBER(VLOOKUP($A48,benefit!$A$1:$AQ$76,O$1,FALSE)),VLOOKUP($A48,benefit!$A$1:$AQ$76,O$1,FALSE),0)</f>
        <v>0</v>
      </c>
      <c r="P48" s="11">
        <f>IF(ISNUMBER(VLOOKUP($A48,benefit!$A$1:$AQ$76,P$1,FALSE)),VLOOKUP($A48,benefit!$A$1:$AQ$76,P$1,FALSE),0)</f>
        <v>0</v>
      </c>
      <c r="Q48" s="11">
        <f>IF(ISNUMBER(VLOOKUP($A48,benefit!$A$1:$AQ$76,Q$1,FALSE)),VLOOKUP($A48,benefit!$A$1:$AQ$76,Q$1,FALSE),0)</f>
        <v>0</v>
      </c>
      <c r="R48" s="11">
        <f>IF(ISNUMBER(VLOOKUP($A48,benefit!$A$1:$AQ$76,R$1,FALSE)),VLOOKUP($A48,benefit!$A$1:$AQ$76,R$1,FALSE),0)</f>
        <v>0</v>
      </c>
      <c r="S48" s="11">
        <f>IF(ISNUMBER(VLOOKUP($A48,benefit!$A$1:$AQ$76,S$1,FALSE)),VLOOKUP($A48,benefit!$A$1:$AQ$76,S$1,FALSE),0)</f>
        <v>0</v>
      </c>
      <c r="T48" s="11">
        <f>IF(ISNUMBER(VLOOKUP($A48,benefit!$A$1:$AQ$76,T$1,FALSE)),VLOOKUP($A48,benefit!$A$1:$AQ$76,T$1,FALSE),0)</f>
        <v>0</v>
      </c>
      <c r="U48" s="11">
        <f>IF(ISNUMBER(VLOOKUP($A48,benefit!$A$1:$AQ$76,U$1,FALSE)),VLOOKUP($A48,benefit!$A$1:$AQ$76,U$1,FALSE),0)</f>
        <v>0</v>
      </c>
      <c r="V48" s="11">
        <f>IF(ISNUMBER(VLOOKUP($A48,benefit!$A$1:$AQ$76,V$1,FALSE)),VLOOKUP($A48,benefit!$A$1:$AQ$76,V$1,FALSE),0)</f>
        <v>0</v>
      </c>
      <c r="W48" s="11">
        <f>IF(ISNUMBER(VLOOKUP($A48,benefit!$A$1:$AQ$76,W$1,FALSE)),VLOOKUP($A48,benefit!$A$1:$AQ$76,W$1,FALSE),0)</f>
        <v>0</v>
      </c>
      <c r="X48" s="11">
        <f>IF(ISNUMBER(VLOOKUP($A48,benefit!$A$1:$AQ$76,X$1,FALSE)),VLOOKUP($A48,benefit!$A$1:$AQ$76,X$1,FALSE),0)</f>
        <v>0</v>
      </c>
      <c r="Y48" s="11">
        <f>IF(ISNUMBER(VLOOKUP($A48,benefit!$A$1:$AQ$76,Y$1,FALSE)),VLOOKUP($A48,benefit!$A$1:$AQ$76,Y$1,FALSE),0)</f>
        <v>0</v>
      </c>
      <c r="Z48" s="11">
        <f>IF(ISNUMBER(VLOOKUP($A48,benefit!$A$1:$AQ$76,Z$1,FALSE)),VLOOKUP($A48,benefit!$A$1:$AQ$76,Z$1,FALSE),0)</f>
        <v>0</v>
      </c>
      <c r="AA48" s="11">
        <f>IF(ISNUMBER(VLOOKUP($A48,benefit!$A$1:$AQ$76,AA$1,FALSE)),VLOOKUP($A48,benefit!$A$1:$AQ$76,AA$1,FALSE),0)</f>
        <v>0</v>
      </c>
      <c r="AB48" s="11">
        <f>IF(ISNUMBER(VLOOKUP($A48,benefit!$A$1:$AQ$76,AB$1,FALSE)),VLOOKUP($A48,benefit!$A$1:$AQ$76,AB$1,FALSE),0)</f>
        <v>0</v>
      </c>
      <c r="AC48" s="11">
        <f>IF(ISNUMBER(VLOOKUP($A48,benefit!$A$1:$AQ$76,AC$1,FALSE)),VLOOKUP($A48,benefit!$A$1:$AQ$76,AC$1,FALSE),0)</f>
        <v>0</v>
      </c>
      <c r="AD48" s="11">
        <f>IF(ISNUMBER(VLOOKUP($A48,benefit!$A$1:$AQ$76,AD$1,FALSE)),VLOOKUP($A48,benefit!$A$1:$AQ$76,AD$1,FALSE),0)</f>
        <v>0</v>
      </c>
    </row>
    <row r="49" spans="1:30" x14ac:dyDescent="0.25">
      <c r="A49" s="3" t="s">
        <v>15</v>
      </c>
      <c r="B49" s="11">
        <f>IF(ISNUMBER(VLOOKUP($A49,benefit!$A$1:$AQ$76,B$1,FALSE)),VLOOKUP($A49,benefit!$A$1:$AQ$76,B$1,FALSE),0)</f>
        <v>-0.82458699999999996</v>
      </c>
      <c r="C49" s="11">
        <f>IF(ISNUMBER(VLOOKUP($A49,benefit!$A$1:$AQ$76,C$1,FALSE)),VLOOKUP($A49,benefit!$A$1:$AQ$76,C$1,FALSE),0)</f>
        <v>-0.67709900000000001</v>
      </c>
      <c r="D49" s="11">
        <f>IF(ISNUMBER(VLOOKUP($A49,benefit!$A$1:$AQ$76,D$1,FALSE)),VLOOKUP($A49,benefit!$A$1:$AQ$76,D$1,FALSE),0)</f>
        <v>-5.1351000000000001E-2</v>
      </c>
      <c r="E49" s="11">
        <f>IF(ISNUMBER(VLOOKUP($A49,benefit!$A$1:$AQ$76,E$1,FALSE)),VLOOKUP($A49,benefit!$A$1:$AQ$76,E$1,FALSE),0)</f>
        <v>0.08</v>
      </c>
      <c r="F49" s="11">
        <f>IF(ISNUMBER(VLOOKUP($A49,benefit!$A$1:$AQ$76,F$1,FALSE)),VLOOKUP($A49,benefit!$A$1:$AQ$76,F$1,FALSE),0)</f>
        <v>1.3708E-2</v>
      </c>
      <c r="G49" s="11">
        <f>IF(ISNUMBER(VLOOKUP($A49,benefit!$A$1:$AQ$76,G$1,FALSE)),VLOOKUP($A49,benefit!$A$1:$AQ$76,G$1,FALSE),0)</f>
        <v>-1.5753E-2</v>
      </c>
      <c r="H49" s="11">
        <f>IF(ISNUMBER(VLOOKUP($A49,benefit!$A$1:$AQ$76,H$1,FALSE)),VLOOKUP($A49,benefit!$A$1:$AQ$76,H$1,FALSE),0)</f>
        <v>-3.375E-3</v>
      </c>
      <c r="I49" s="11">
        <f>IF(ISNUMBER(VLOOKUP($A49,benefit!$A$1:$AQ$76,I$1,FALSE)),VLOOKUP($A49,benefit!$A$1:$AQ$76,I$1,FALSE),0)</f>
        <v>8.6289999999999995E-3</v>
      </c>
      <c r="J49" s="11">
        <f>IF(ISNUMBER(VLOOKUP($A49,benefit!$A$1:$AQ$76,J$1,FALSE)),VLOOKUP($A49,benefit!$A$1:$AQ$76,J$1,FALSE),0)</f>
        <v>-1.5950000000000001E-3</v>
      </c>
      <c r="K49" s="11">
        <f>IF(ISNUMBER(VLOOKUP($A49,benefit!$A$1:$AQ$76,K$1,FALSE)),VLOOKUP($A49,benefit!$A$1:$AQ$76,K$1,FALSE),0)</f>
        <v>-7.6400000000000001E-3</v>
      </c>
      <c r="L49" s="11">
        <f>IF(ISNUMBER(VLOOKUP($A49,benefit!$A$1:$AQ$76,L$1,FALSE)),VLOOKUP($A49,benefit!$A$1:$AQ$76,L$1,FALSE),0)</f>
        <v>-3.4605999999999998E-2</v>
      </c>
      <c r="M49" s="11">
        <f>IF(ISNUMBER(VLOOKUP($A49,benefit!$A$1:$AQ$76,M$1,FALSE)),VLOOKUP($A49,benefit!$A$1:$AQ$76,M$1,FALSE),0)</f>
        <v>-0.164491</v>
      </c>
      <c r="N49" s="11">
        <f>IF(ISNUMBER(VLOOKUP($A49,benefit!$A$1:$AQ$76,N$1,FALSE)),VLOOKUP($A49,benefit!$A$1:$AQ$76,N$1,FALSE),0)</f>
        <v>-1.7680000000000001E-2</v>
      </c>
      <c r="O49" s="11">
        <f>IF(ISNUMBER(VLOOKUP($A49,benefit!$A$1:$AQ$76,O$1,FALSE)),VLOOKUP($A49,benefit!$A$1:$AQ$76,O$1,FALSE),0)</f>
        <v>-8.0109E-2</v>
      </c>
      <c r="P49" s="11">
        <f>IF(ISNUMBER(VLOOKUP($A49,benefit!$A$1:$AQ$76,P$1,FALSE)),VLOOKUP($A49,benefit!$A$1:$AQ$76,P$1,FALSE),0)</f>
        <v>-0.29494300000000001</v>
      </c>
      <c r="Q49" s="11">
        <f>IF(ISNUMBER(VLOOKUP($A49,benefit!$A$1:$AQ$76,Q$1,FALSE)),VLOOKUP($A49,benefit!$A$1:$AQ$76,Q$1,FALSE),0)</f>
        <v>-0.31873200000000002</v>
      </c>
      <c r="R49" s="11">
        <f>IF(ISNUMBER(VLOOKUP($A49,benefit!$A$1:$AQ$76,R$1,FALSE)),VLOOKUP($A49,benefit!$A$1:$AQ$76,R$1,FALSE),0)</f>
        <v>0.109241</v>
      </c>
      <c r="S49" s="11">
        <f>IF(ISNUMBER(VLOOKUP($A49,benefit!$A$1:$AQ$76,S$1,FALSE)),VLOOKUP($A49,benefit!$A$1:$AQ$76,S$1,FALSE),0)</f>
        <v>-9.1947000000000001E-2</v>
      </c>
      <c r="T49" s="11">
        <f>IF(ISNUMBER(VLOOKUP($A49,benefit!$A$1:$AQ$76,T$1,FALSE)),VLOOKUP($A49,benefit!$A$1:$AQ$76,T$1,FALSE),0)</f>
        <v>-3.0314000000000001E-2</v>
      </c>
      <c r="U49" s="11">
        <f>IF(ISNUMBER(VLOOKUP($A49,benefit!$A$1:$AQ$76,U$1,FALSE)),VLOOKUP($A49,benefit!$A$1:$AQ$76,U$1,FALSE),0)</f>
        <v>-0.15134700000000001</v>
      </c>
      <c r="V49" s="11">
        <f>IF(ISNUMBER(VLOOKUP($A49,benefit!$A$1:$AQ$76,V$1,FALSE)),VLOOKUP($A49,benefit!$A$1:$AQ$76,V$1,FALSE),0)</f>
        <v>-0.33136500000000002</v>
      </c>
      <c r="W49" s="11">
        <f>IF(ISNUMBER(VLOOKUP($A49,benefit!$A$1:$AQ$76,W$1,FALSE)),VLOOKUP($A49,benefit!$A$1:$AQ$76,W$1,FALSE),0)</f>
        <v>-0.125226</v>
      </c>
      <c r="X49" s="11">
        <f>IF(ISNUMBER(VLOOKUP($A49,benefit!$A$1:$AQ$76,X$1,FALSE)),VLOOKUP($A49,benefit!$A$1:$AQ$76,X$1,FALSE),0)</f>
        <v>-6.4729999999999996E-2</v>
      </c>
      <c r="Y49" s="11">
        <f>IF(ISNUMBER(VLOOKUP($A49,benefit!$A$1:$AQ$76,Y$1,FALSE)),VLOOKUP($A49,benefit!$A$1:$AQ$76,Y$1,FALSE),0)</f>
        <v>-0.27396700000000002</v>
      </c>
      <c r="Z49" s="11">
        <f>IF(ISNUMBER(VLOOKUP($A49,benefit!$A$1:$AQ$76,Z$1,FALSE)),VLOOKUP($A49,benefit!$A$1:$AQ$76,Z$1,FALSE),0)</f>
        <v>-0.41882900000000001</v>
      </c>
      <c r="AA49" s="11">
        <f>IF(ISNUMBER(VLOOKUP($A49,benefit!$A$1:$AQ$76,AA$1,FALSE)),VLOOKUP($A49,benefit!$A$1:$AQ$76,AA$1,FALSE),0)</f>
        <v>-0.29765999999999998</v>
      </c>
      <c r="AB49" s="11">
        <f>IF(ISNUMBER(VLOOKUP($A49,benefit!$A$1:$AQ$76,AB$1,FALSE)),VLOOKUP($A49,benefit!$A$1:$AQ$76,AB$1,FALSE),0)</f>
        <v>-0.241232</v>
      </c>
      <c r="AC49" s="11">
        <f>IF(ISNUMBER(VLOOKUP($A49,benefit!$A$1:$AQ$76,AC$1,FALSE)),VLOOKUP($A49,benefit!$A$1:$AQ$76,AC$1,FALSE),0)</f>
        <v>-0.85247499999999998</v>
      </c>
      <c r="AD49" s="11">
        <f>IF(ISNUMBER(VLOOKUP($A49,benefit!$A$1:$AQ$76,AD$1,FALSE)),VLOOKUP($A49,benefit!$A$1:$AQ$76,AD$1,FALSE),0)</f>
        <v>-1.0503629999999999</v>
      </c>
    </row>
    <row r="50" spans="1:30" x14ac:dyDescent="0.25">
      <c r="A50" s="3" t="s">
        <v>16</v>
      </c>
      <c r="B50" s="11">
        <f>IF(ISNUMBER(VLOOKUP($A50,benefit!$A$1:$AQ$76,B$1,FALSE)),VLOOKUP($A50,benefit!$A$1:$AQ$76,B$1,FALSE),0)</f>
        <v>159.0490596267</v>
      </c>
      <c r="C50" s="11">
        <f>IF(ISNUMBER(VLOOKUP($A50,benefit!$A$1:$AQ$76,C$1,FALSE)),VLOOKUP($A50,benefit!$A$1:$AQ$76,C$1,FALSE),0)</f>
        <v>135.20293981430001</v>
      </c>
      <c r="D50" s="11">
        <f>IF(ISNUMBER(VLOOKUP($A50,benefit!$A$1:$AQ$76,D$1,FALSE)),VLOOKUP($A50,benefit!$A$1:$AQ$76,D$1,FALSE),0)</f>
        <v>185.60620625580003</v>
      </c>
      <c r="E50" s="11">
        <f>IF(ISNUMBER(VLOOKUP($A50,benefit!$A$1:$AQ$76,E$1,FALSE)),VLOOKUP($A50,benefit!$A$1:$AQ$76,E$1,FALSE),0)</f>
        <v>157.2918192674</v>
      </c>
      <c r="F50" s="11">
        <f>IF(ISNUMBER(VLOOKUP($A50,benefit!$A$1:$AQ$76,F$1,FALSE)),VLOOKUP($A50,benefit!$A$1:$AQ$76,F$1,FALSE),0)</f>
        <v>149.1431101867</v>
      </c>
      <c r="G50" s="11">
        <f>IF(ISNUMBER(VLOOKUP($A50,benefit!$A$1:$AQ$76,G$1,FALSE)),VLOOKUP($A50,benefit!$A$1:$AQ$76,G$1,FALSE),0)</f>
        <v>124.0177405375</v>
      </c>
      <c r="H50" s="11">
        <f>IF(ISNUMBER(VLOOKUP($A50,benefit!$A$1:$AQ$76,H$1,FALSE)),VLOOKUP($A50,benefit!$A$1:$AQ$76,H$1,FALSE),0)</f>
        <v>159.96222276980001</v>
      </c>
      <c r="I50" s="11">
        <f>IF(ISNUMBER(VLOOKUP($A50,benefit!$A$1:$AQ$76,I$1,FALSE)),VLOOKUP($A50,benefit!$A$1:$AQ$76,I$1,FALSE),0)</f>
        <v>155.0506845358</v>
      </c>
      <c r="J50" s="11">
        <f>IF(ISNUMBER(VLOOKUP($A50,benefit!$A$1:$AQ$76,J$1,FALSE)),VLOOKUP($A50,benefit!$A$1:$AQ$76,J$1,FALSE),0)</f>
        <v>129.58023407100001</v>
      </c>
      <c r="K50" s="11">
        <f>IF(ISNUMBER(VLOOKUP($A50,benefit!$A$1:$AQ$76,K$1,FALSE)),VLOOKUP($A50,benefit!$A$1:$AQ$76,K$1,FALSE),0)</f>
        <v>107.0221742754</v>
      </c>
      <c r="L50" s="11">
        <f>IF(ISNUMBER(VLOOKUP($A50,benefit!$A$1:$AQ$76,L$1,FALSE)),VLOOKUP($A50,benefit!$A$1:$AQ$76,L$1,FALSE),0)</f>
        <v>121.77678392959999</v>
      </c>
      <c r="M50" s="11">
        <f>IF(ISNUMBER(VLOOKUP($A50,benefit!$A$1:$AQ$76,M$1,FALSE)),VLOOKUP($A50,benefit!$A$1:$AQ$76,M$1,FALSE),0)</f>
        <v>103.030641481</v>
      </c>
      <c r="N50" s="11">
        <f>IF(ISNUMBER(VLOOKUP($A50,benefit!$A$1:$AQ$76,N$1,FALSE)),VLOOKUP($A50,benefit!$A$1:$AQ$76,N$1,FALSE),0)</f>
        <v>125.1317346908</v>
      </c>
      <c r="O50" s="11">
        <f>IF(ISNUMBER(VLOOKUP($A50,benefit!$A$1:$AQ$76,O$1,FALSE)),VLOOKUP($A50,benefit!$A$1:$AQ$76,O$1,FALSE),0)</f>
        <v>73.3361715371</v>
      </c>
      <c r="P50" s="11">
        <f>IF(ISNUMBER(VLOOKUP($A50,benefit!$A$1:$AQ$76,P$1,FALSE)),VLOOKUP($A50,benefit!$A$1:$AQ$76,P$1,FALSE),0)</f>
        <v>87.901527625599996</v>
      </c>
      <c r="Q50" s="11">
        <f>IF(ISNUMBER(VLOOKUP($A50,benefit!$A$1:$AQ$76,Q$1,FALSE)),VLOOKUP($A50,benefit!$A$1:$AQ$76,Q$1,FALSE),0)</f>
        <v>61.160469659899995</v>
      </c>
      <c r="R50" s="11">
        <f>IF(ISNUMBER(VLOOKUP($A50,benefit!$A$1:$AQ$76,R$1,FALSE)),VLOOKUP($A50,benefit!$A$1:$AQ$76,R$1,FALSE),0)</f>
        <v>53.894547345699998</v>
      </c>
      <c r="S50" s="11">
        <f>IF(ISNUMBER(VLOOKUP($A50,benefit!$A$1:$AQ$76,S$1,FALSE)),VLOOKUP($A50,benefit!$A$1:$AQ$76,S$1,FALSE),0)</f>
        <v>55.575603616499997</v>
      </c>
      <c r="T50" s="11">
        <f>IF(ISNUMBER(VLOOKUP($A50,benefit!$A$1:$AQ$76,T$1,FALSE)),VLOOKUP($A50,benefit!$A$1:$AQ$76,T$1,FALSE),0)</f>
        <v>72.025631072099998</v>
      </c>
      <c r="U50" s="11">
        <f>IF(ISNUMBER(VLOOKUP($A50,benefit!$A$1:$AQ$76,U$1,FALSE)),VLOOKUP($A50,benefit!$A$1:$AQ$76,U$1,FALSE),0)</f>
        <v>58.640127153199998</v>
      </c>
      <c r="V50" s="11">
        <f>IF(ISNUMBER(VLOOKUP($A50,benefit!$A$1:$AQ$76,V$1,FALSE)),VLOOKUP($A50,benefit!$A$1:$AQ$76,V$1,FALSE),0)</f>
        <v>51.433653626499996</v>
      </c>
      <c r="W50" s="11">
        <f>IF(ISNUMBER(VLOOKUP($A50,benefit!$A$1:$AQ$76,W$1,FALSE)),VLOOKUP($A50,benefit!$A$1:$AQ$76,W$1,FALSE),0)</f>
        <v>49.472818651700003</v>
      </c>
      <c r="X50" s="11">
        <f>IF(ISNUMBER(VLOOKUP($A50,benefit!$A$1:$AQ$76,X$1,FALSE)),VLOOKUP($A50,benefit!$A$1:$AQ$76,X$1,FALSE),0)</f>
        <v>62.043320197299998</v>
      </c>
      <c r="Y50" s="11">
        <f>IF(ISNUMBER(VLOOKUP($A50,benefit!$A$1:$AQ$76,Y$1,FALSE)),VLOOKUP($A50,benefit!$A$1:$AQ$76,Y$1,FALSE),0)</f>
        <v>67.865285126000003</v>
      </c>
      <c r="Z50" s="11">
        <f>IF(ISNUMBER(VLOOKUP($A50,benefit!$A$1:$AQ$76,Z$1,FALSE)),VLOOKUP($A50,benefit!$A$1:$AQ$76,Z$1,FALSE),0)</f>
        <v>50.654677541999995</v>
      </c>
      <c r="AA50" s="11">
        <f>IF(ISNUMBER(VLOOKUP($A50,benefit!$A$1:$AQ$76,AA$1,FALSE)),VLOOKUP($A50,benefit!$A$1:$AQ$76,AA$1,FALSE),0)</f>
        <v>49.310574192299995</v>
      </c>
      <c r="AB50" s="11">
        <f>IF(ISNUMBER(VLOOKUP($A50,benefit!$A$1:$AQ$76,AB$1,FALSE)),VLOOKUP($A50,benefit!$A$1:$AQ$76,AB$1,FALSE),0)</f>
        <v>53.199195648699998</v>
      </c>
      <c r="AC50" s="11">
        <f>IF(ISNUMBER(VLOOKUP($A50,benefit!$A$1:$AQ$76,AC$1,FALSE)),VLOOKUP($A50,benefit!$A$1:$AQ$76,AC$1,FALSE),0)</f>
        <v>57.783354091599996</v>
      </c>
      <c r="AD50" s="11">
        <f>IF(ISNUMBER(VLOOKUP($A50,benefit!$A$1:$AQ$76,AD$1,FALSE)),VLOOKUP($A50,benefit!$A$1:$AQ$76,AD$1,FALSE),0)</f>
        <v>56.154631220200002</v>
      </c>
    </row>
    <row r="51" spans="1:30" x14ac:dyDescent="0.25">
      <c r="A51" s="3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</row>
    <row r="52" spans="1:30" x14ac:dyDescent="0.25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3" spans="1:30" x14ac:dyDescent="0.25">
      <c r="A53" s="9" t="s">
        <v>10</v>
      </c>
      <c r="B53" s="10">
        <f>VLOOKUP($A53,debt!$A$1:$N$92,B$1,FALSE)</f>
        <v>2019</v>
      </c>
      <c r="C53" s="10">
        <f>VLOOKUP($A53,debt!$A$1:$N$92,C$1,FALSE)</f>
        <v>2018</v>
      </c>
      <c r="D53" s="10">
        <f>VLOOKUP($A53,debt!$A$1:$N$92,D$1,FALSE)</f>
        <v>2017</v>
      </c>
      <c r="E53" s="10">
        <f>VLOOKUP($A53,debt!$A$1:$N$92,E$1,FALSE)</f>
        <v>2016</v>
      </c>
      <c r="F53" s="10">
        <f>VLOOKUP($A53,debt!$A$1:$N$92,F$1,FALSE)</f>
        <v>2015</v>
      </c>
      <c r="G53" s="10">
        <f>VLOOKUP($A53,debt!$A$1:$N$92,G$1,FALSE)</f>
        <v>2014</v>
      </c>
      <c r="H53" s="10">
        <f>VLOOKUP($A53,debt!$A$1:$N$92,H$1,FALSE)</f>
        <v>2013</v>
      </c>
      <c r="I53" s="10">
        <f>VLOOKUP($A53,debt!$A$1:$N$92,I$1,FALSE)</f>
        <v>2012</v>
      </c>
      <c r="J53" s="10">
        <f>VLOOKUP($A53,debt!$A$1:$N$92,J$1,FALSE)</f>
        <v>2011</v>
      </c>
      <c r="K53" s="10">
        <f>VLOOKUP($A53,debt!$A$1:$N$92,K$1,FALSE)</f>
        <v>2010</v>
      </c>
      <c r="L53" s="10">
        <f>VLOOKUP($A53,debt!$A$1:$N$92,L$1,FALSE)</f>
        <v>2009</v>
      </c>
      <c r="M53" s="10">
        <f>VLOOKUP($A53,debt!$A$1:$N$92,M$1,FALSE)</f>
        <v>2008</v>
      </c>
      <c r="N53" s="10">
        <f>VLOOKUP($A53,debt!$A$1:$N$92,N$1,FALSE)</f>
        <v>2007</v>
      </c>
      <c r="O53" s="10" t="e">
        <f>VLOOKUP($A53,debt!$A$1:$N$92,O$1,FALSE)</f>
        <v>#REF!</v>
      </c>
      <c r="P53" s="10" t="e">
        <f>VLOOKUP($A53,debt!$A$1:$N$92,P$1,FALSE)</f>
        <v>#REF!</v>
      </c>
      <c r="Q53" s="10" t="e">
        <f>VLOOKUP($A53,debt!$A$1:$N$92,Q$1,FALSE)</f>
        <v>#REF!</v>
      </c>
      <c r="R53" s="10" t="e">
        <f>VLOOKUP($A53,debt!$A$1:$N$92,R$1,FALSE)</f>
        <v>#REF!</v>
      </c>
      <c r="S53" s="10" t="e">
        <f>VLOOKUP($A53,debt!$A$1:$N$92,S$1,FALSE)</f>
        <v>#REF!</v>
      </c>
      <c r="T53" s="10" t="e">
        <f>VLOOKUP($A53,debt!$A$1:$N$92,T$1,FALSE)</f>
        <v>#REF!</v>
      </c>
      <c r="U53" s="10" t="e">
        <f>VLOOKUP($A53,debt!$A$1:$N$92,U$1,FALSE)</f>
        <v>#REF!</v>
      </c>
      <c r="V53" s="10" t="e">
        <f>VLOOKUP($A53,debt!$A$1:$N$92,V$1,FALSE)</f>
        <v>#REF!</v>
      </c>
      <c r="W53" s="10" t="e">
        <f>VLOOKUP($A53,debt!$A$1:$N$92,W$1,FALSE)</f>
        <v>#REF!</v>
      </c>
      <c r="X53" s="10" t="e">
        <f>VLOOKUP($A53,debt!$A$1:$N$92,X$1,FALSE)</f>
        <v>#REF!</v>
      </c>
      <c r="Y53" s="10" t="e">
        <f>VLOOKUP($A53,debt!$A$1:$N$92,Y$1,FALSE)</f>
        <v>#REF!</v>
      </c>
      <c r="Z53" s="10" t="e">
        <f>VLOOKUP($A53,debt!$A$1:$N$92,Z$1,FALSE)</f>
        <v>#REF!</v>
      </c>
      <c r="AA53" s="10" t="e">
        <f>VLOOKUP($A53,debt!$A$1:$N$92,AA$1,FALSE)</f>
        <v>#REF!</v>
      </c>
      <c r="AB53" s="10" t="e">
        <f>VLOOKUP($A53,debt!$A$1:$N$92,AB$1,FALSE)</f>
        <v>#REF!</v>
      </c>
      <c r="AC53" s="10" t="e">
        <f>VLOOKUP($A53,debt!$A$1:$N$92,AC$1,FALSE)</f>
        <v>#REF!</v>
      </c>
      <c r="AD53" s="10" t="e">
        <f>VLOOKUP($A53,debt!$A$1:$N$92,AD$1,FALSE)</f>
        <v>#REF!</v>
      </c>
    </row>
    <row r="54" spans="1:30" x14ac:dyDescent="0.25">
      <c r="A54" s="3" t="s">
        <v>23</v>
      </c>
      <c r="B54" s="11">
        <f>VLOOKUP($A54,debt!$A$1:$N$92,B$1,FALSE)</f>
        <v>132.51817199999999</v>
      </c>
      <c r="C54" s="11">
        <f>VLOOKUP($A54,debt!$A$1:$N$92,C$1,FALSE)</f>
        <v>1120.747914</v>
      </c>
      <c r="D54" s="11">
        <f>VLOOKUP($A54,debt!$A$1:$N$92,D$1,FALSE)</f>
        <v>878.68869900000004</v>
      </c>
      <c r="E54" s="11">
        <f>VLOOKUP($A54,debt!$A$1:$N$92,E$1,FALSE)</f>
        <v>668.549621</v>
      </c>
      <c r="F54" s="11">
        <f>VLOOKUP($A54,debt!$A$1:$N$92,F$1,FALSE)</f>
        <v>368.007499</v>
      </c>
      <c r="G54" s="11">
        <f>VLOOKUP($A54,debt!$A$1:$N$92,G$1,FALSE)</f>
        <v>277.10717699999998</v>
      </c>
      <c r="H54" s="11">
        <f>VLOOKUP($A54,debt!$A$1:$N$92,H$1,FALSE)</f>
        <v>251.85009299999999</v>
      </c>
      <c r="I54" s="11">
        <f>VLOOKUP($A54,debt!$A$1:$N$92,I$1,FALSE)</f>
        <v>220.61999900000001</v>
      </c>
      <c r="J54" s="11">
        <f>VLOOKUP($A54,debt!$A$1:$N$92,J$1,FALSE)</f>
        <v>182.54690199999999</v>
      </c>
      <c r="K54" s="11">
        <f>VLOOKUP($A54,debt!$A$1:$N$92,K$1,FALSE)</f>
        <v>128.883939</v>
      </c>
      <c r="L54" s="11">
        <f>VLOOKUP($A54,debt!$A$1:$N$92,L$1,FALSE)</f>
        <v>97.431522000000001</v>
      </c>
      <c r="M54" s="11">
        <f>VLOOKUP($A54,debt!$A$1:$N$92,M$1,FALSE)</f>
        <v>80.937218999999999</v>
      </c>
      <c r="N54" s="11">
        <f>VLOOKUP($A54,debt!$A$1:$N$92,N$1,FALSE)</f>
        <v>47.227063000000001</v>
      </c>
      <c r="O54" s="11" t="e">
        <f>VLOOKUP($A54,debt!$A$1:$N$92,O$1,FALSE)</f>
        <v>#REF!</v>
      </c>
      <c r="P54" s="11" t="e">
        <f>VLOOKUP($A54,debt!$A$1:$N$92,P$1,FALSE)</f>
        <v>#REF!</v>
      </c>
      <c r="Q54" s="11" t="e">
        <f>VLOOKUP($A54,debt!$A$1:$N$92,Q$1,FALSE)</f>
        <v>#REF!</v>
      </c>
      <c r="R54" s="11" t="e">
        <f>VLOOKUP($A54,debt!$A$1:$N$92,R$1,FALSE)</f>
        <v>#REF!</v>
      </c>
      <c r="S54" s="11" t="e">
        <f>VLOOKUP($A54,debt!$A$1:$N$92,S$1,FALSE)</f>
        <v>#REF!</v>
      </c>
      <c r="T54" s="11" t="e">
        <f>VLOOKUP($A54,debt!$A$1:$N$92,T$1,FALSE)</f>
        <v>#REF!</v>
      </c>
      <c r="U54" s="11" t="e">
        <f>VLOOKUP($A54,debt!$A$1:$N$92,U$1,FALSE)</f>
        <v>#REF!</v>
      </c>
      <c r="V54" s="11" t="e">
        <f>VLOOKUP($A54,debt!$A$1:$N$92,V$1,FALSE)</f>
        <v>#REF!</v>
      </c>
      <c r="W54" s="11" t="e">
        <f>VLOOKUP($A54,debt!$A$1:$N$92,W$1,FALSE)</f>
        <v>#REF!</v>
      </c>
      <c r="X54" s="11" t="e">
        <f>VLOOKUP($A54,debt!$A$1:$N$92,X$1,FALSE)</f>
        <v>#REF!</v>
      </c>
      <c r="Y54" s="11" t="e">
        <f>VLOOKUP($A54,debt!$A$1:$N$92,Y$1,FALSE)</f>
        <v>#REF!</v>
      </c>
      <c r="Z54" s="11" t="e">
        <f>VLOOKUP($A54,debt!$A$1:$N$92,Z$1,FALSE)</f>
        <v>#REF!</v>
      </c>
      <c r="AA54" s="11" t="e">
        <f>VLOOKUP($A54,debt!$A$1:$N$92,AA$1,FALSE)</f>
        <v>#REF!</v>
      </c>
      <c r="AB54" s="11" t="e">
        <f>VLOOKUP($A54,debt!$A$1:$N$92,AB$1,FALSE)</f>
        <v>#REF!</v>
      </c>
      <c r="AC54" s="11" t="e">
        <f>VLOOKUP($A54,debt!$A$1:$N$92,AC$1,FALSE)</f>
        <v>#REF!</v>
      </c>
      <c r="AD54" s="11" t="e">
        <f>VLOOKUP($A54,debt!$A$1:$N$92,AD$1,FALSE)</f>
        <v>#REF!</v>
      </c>
    </row>
    <row r="55" spans="1:30" x14ac:dyDescent="0.25">
      <c r="A55" s="3" t="s">
        <v>24</v>
      </c>
      <c r="B55" s="11">
        <f>VLOOKUP($A55,debt!$A$1:$N$92,B$1,FALSE)</f>
        <v>1590.2447199999999</v>
      </c>
      <c r="C55" s="11">
        <f>VLOOKUP($A55,debt!$A$1:$N$92,C$1,FALSE)</f>
        <v>1378.6183530000001</v>
      </c>
      <c r="D55" s="11">
        <f>VLOOKUP($A55,debt!$A$1:$N$92,D$1,FALSE)</f>
        <v>1122.4918600000001</v>
      </c>
      <c r="E55" s="11">
        <f>VLOOKUP($A55,debt!$A$1:$N$92,E$1,FALSE)</f>
        <v>901.80548799999997</v>
      </c>
      <c r="F55" s="11">
        <f>VLOOKUP($A55,debt!$A$1:$N$92,F$1,FALSE)</f>
        <v>650.04513999999995</v>
      </c>
      <c r="G55" s="11">
        <f>VLOOKUP($A55,debt!$A$1:$N$92,G$1,FALSE)</f>
        <v>475.70929100000001</v>
      </c>
      <c r="H55" s="11">
        <f>VLOOKUP($A55,debt!$A$1:$N$92,H$1,FALSE)</f>
        <v>419.315834</v>
      </c>
      <c r="I55" s="11">
        <f>VLOOKUP($A55,debt!$A$1:$N$92,I$1,FALSE)</f>
        <v>362.250766</v>
      </c>
      <c r="J55" s="11">
        <f>VLOOKUP($A55,debt!$A$1:$N$92,J$1,FALSE)</f>
        <v>278.29632199999998</v>
      </c>
      <c r="K55" s="11">
        <f>VLOOKUP($A55,debt!$A$1:$N$92,K$1,FALSE)</f>
        <v>203.002848</v>
      </c>
      <c r="L55" s="11">
        <f>VLOOKUP($A55,debt!$A$1:$N$92,L$1,FALSE)</f>
        <v>156.55585400000001</v>
      </c>
      <c r="M55" s="11">
        <f>VLOOKUP($A55,debt!$A$1:$N$92,M$1,FALSE)</f>
        <v>122.407509</v>
      </c>
      <c r="N55" s="11">
        <f>VLOOKUP($A55,debt!$A$1:$N$92,N$1,FALSE)</f>
        <v>79.044396000000006</v>
      </c>
      <c r="O55" s="11" t="e">
        <f>VLOOKUP($A55,debt!$A$1:$N$92,O$1,FALSE)</f>
        <v>#REF!</v>
      </c>
      <c r="P55" s="11" t="e">
        <f>VLOOKUP($A55,debt!$A$1:$N$92,P$1,FALSE)</f>
        <v>#REF!</v>
      </c>
      <c r="Q55" s="11" t="e">
        <f>VLOOKUP($A55,debt!$A$1:$N$92,Q$1,FALSE)</f>
        <v>#REF!</v>
      </c>
      <c r="R55" s="11" t="e">
        <f>VLOOKUP($A55,debt!$A$1:$N$92,R$1,FALSE)</f>
        <v>#REF!</v>
      </c>
      <c r="S55" s="11" t="e">
        <f>VLOOKUP($A55,debt!$A$1:$N$92,S$1,FALSE)</f>
        <v>#REF!</v>
      </c>
      <c r="T55" s="11" t="e">
        <f>VLOOKUP($A55,debt!$A$1:$N$92,T$1,FALSE)</f>
        <v>#REF!</v>
      </c>
      <c r="U55" s="11" t="e">
        <f>VLOOKUP($A55,debt!$A$1:$N$92,U$1,FALSE)</f>
        <v>#REF!</v>
      </c>
      <c r="V55" s="11" t="e">
        <f>VLOOKUP($A55,debt!$A$1:$N$92,V$1,FALSE)</f>
        <v>#REF!</v>
      </c>
      <c r="W55" s="11" t="e">
        <f>VLOOKUP($A55,debt!$A$1:$N$92,W$1,FALSE)</f>
        <v>#REF!</v>
      </c>
      <c r="X55" s="11" t="e">
        <f>VLOOKUP($A55,debt!$A$1:$N$92,X$1,FALSE)</f>
        <v>#REF!</v>
      </c>
      <c r="Y55" s="11" t="e">
        <f>VLOOKUP($A55,debt!$A$1:$N$92,Y$1,FALSE)</f>
        <v>#REF!</v>
      </c>
      <c r="Z55" s="11" t="e">
        <f>VLOOKUP($A55,debt!$A$1:$N$92,Z$1,FALSE)</f>
        <v>#REF!</v>
      </c>
      <c r="AA55" s="11" t="e">
        <f>VLOOKUP($A55,debt!$A$1:$N$92,AA$1,FALSE)</f>
        <v>#REF!</v>
      </c>
      <c r="AB55" s="11" t="e">
        <f>VLOOKUP($A55,debt!$A$1:$N$92,AB$1,FALSE)</f>
        <v>#REF!</v>
      </c>
      <c r="AC55" s="11" t="e">
        <f>VLOOKUP($A55,debt!$A$1:$N$92,AC$1,FALSE)</f>
        <v>#REF!</v>
      </c>
      <c r="AD55" s="11" t="e">
        <f>VLOOKUP($A55,debt!$A$1:$N$92,AD$1,FALSE)</f>
        <v>#REF!</v>
      </c>
    </row>
    <row r="56" spans="1:30" x14ac:dyDescent="0.25">
      <c r="A56" s="3" t="s">
        <v>25</v>
      </c>
      <c r="B56" s="11">
        <f>VLOOKUP($A56,debt!$A$1:$N$92,B$1,FALSE)</f>
        <v>151.44182699999999</v>
      </c>
      <c r="C56" s="11">
        <f>VLOOKUP($A56,debt!$A$1:$N$92,C$1,FALSE)</f>
        <v>152.48556600000001</v>
      </c>
      <c r="D56" s="11">
        <f>VLOOKUP($A56,debt!$A$1:$N$92,D$1,FALSE)</f>
        <v>152.440966</v>
      </c>
      <c r="E56" s="11">
        <f>VLOOKUP($A56,debt!$A$1:$N$92,E$1,FALSE)</f>
        <v>144.53177400000001</v>
      </c>
      <c r="F56" s="11">
        <f>VLOOKUP($A56,debt!$A$1:$N$92,F$1,FALSE)</f>
        <v>114.166358</v>
      </c>
      <c r="G56" s="11">
        <f>VLOOKUP($A56,debt!$A$1:$N$92,G$1,FALSE)</f>
        <v>103.757578</v>
      </c>
      <c r="H56" s="11">
        <f>VLOOKUP($A56,debt!$A$1:$N$92,H$1,FALSE)</f>
        <v>85.232569999999996</v>
      </c>
      <c r="I56" s="11">
        <f>VLOOKUP($A56,debt!$A$1:$N$92,I$1,FALSE)</f>
        <v>68.073331999999994</v>
      </c>
      <c r="J56" s="11">
        <f>VLOOKUP($A56,debt!$A$1:$N$92,J$1,FALSE)</f>
        <v>54.260123</v>
      </c>
      <c r="K56" s="11">
        <f>VLOOKUP($A56,debt!$A$1:$N$92,K$1,FALSE)</f>
        <v>41.918511000000002</v>
      </c>
      <c r="L56" s="11">
        <f>VLOOKUP($A56,debt!$A$1:$N$92,L$1,FALSE)</f>
        <v>31.687252000000001</v>
      </c>
      <c r="M56" s="11">
        <f>VLOOKUP($A56,debt!$A$1:$N$92,M$1,FALSE)</f>
        <v>21.901719</v>
      </c>
      <c r="N56" s="11">
        <f>VLOOKUP($A56,debt!$A$1:$N$92,N$1,FALSE)</f>
        <v>18.269833999999999</v>
      </c>
      <c r="O56" s="11" t="e">
        <f>VLOOKUP($A56,debt!$A$1:$N$92,O$1,FALSE)</f>
        <v>#REF!</v>
      </c>
      <c r="P56" s="11" t="e">
        <f>VLOOKUP($A56,debt!$A$1:$N$92,P$1,FALSE)</f>
        <v>#REF!</v>
      </c>
      <c r="Q56" s="11" t="e">
        <f>VLOOKUP($A56,debt!$A$1:$N$92,Q$1,FALSE)</f>
        <v>#REF!</v>
      </c>
      <c r="R56" s="11" t="e">
        <f>VLOOKUP($A56,debt!$A$1:$N$92,R$1,FALSE)</f>
        <v>#REF!</v>
      </c>
      <c r="S56" s="11" t="e">
        <f>VLOOKUP($A56,debt!$A$1:$N$92,S$1,FALSE)</f>
        <v>#REF!</v>
      </c>
      <c r="T56" s="11" t="e">
        <f>VLOOKUP($A56,debt!$A$1:$N$92,T$1,FALSE)</f>
        <v>#REF!</v>
      </c>
      <c r="U56" s="11" t="e">
        <f>VLOOKUP($A56,debt!$A$1:$N$92,U$1,FALSE)</f>
        <v>#REF!</v>
      </c>
      <c r="V56" s="11" t="e">
        <f>VLOOKUP($A56,debt!$A$1:$N$92,V$1,FALSE)</f>
        <v>#REF!</v>
      </c>
      <c r="W56" s="11" t="e">
        <f>VLOOKUP($A56,debt!$A$1:$N$92,W$1,FALSE)</f>
        <v>#REF!</v>
      </c>
      <c r="X56" s="11" t="e">
        <f>VLOOKUP($A56,debt!$A$1:$N$92,X$1,FALSE)</f>
        <v>#REF!</v>
      </c>
      <c r="Y56" s="11" t="e">
        <f>VLOOKUP($A56,debt!$A$1:$N$92,Y$1,FALSE)</f>
        <v>#REF!</v>
      </c>
      <c r="Z56" s="11" t="e">
        <f>VLOOKUP($A56,debt!$A$1:$N$92,Z$1,FALSE)</f>
        <v>#REF!</v>
      </c>
      <c r="AA56" s="11" t="e">
        <f>VLOOKUP($A56,debt!$A$1:$N$92,AA$1,FALSE)</f>
        <v>#REF!</v>
      </c>
      <c r="AB56" s="11" t="e">
        <f>VLOOKUP($A56,debt!$A$1:$N$92,AB$1,FALSE)</f>
        <v>#REF!</v>
      </c>
      <c r="AC56" s="11" t="e">
        <f>VLOOKUP($A56,debt!$A$1:$N$92,AC$1,FALSE)</f>
        <v>#REF!</v>
      </c>
      <c r="AD56" s="11" t="e">
        <f>VLOOKUP($A56,debt!$A$1:$N$92,AD$1,FALSE)</f>
        <v>#REF!</v>
      </c>
    </row>
    <row r="57" spans="1:30" x14ac:dyDescent="0.25">
      <c r="A57" s="3" t="s">
        <v>26</v>
      </c>
      <c r="B57" s="11">
        <f>VLOOKUP($A57,debt!$A$1:$N$92,B$1,FALSE)</f>
        <v>240.179</v>
      </c>
      <c r="C57" s="11">
        <f>VLOOKUP($A57,debt!$A$1:$N$92,C$1,FALSE)</f>
        <v>219.84839400000001</v>
      </c>
      <c r="D57" s="11">
        <f>VLOOKUP($A57,debt!$A$1:$N$92,D$1,FALSE)</f>
        <v>223.609309</v>
      </c>
      <c r="E57" s="11">
        <f>VLOOKUP($A57,debt!$A$1:$N$92,E$1,FALSE)</f>
        <v>227.539895</v>
      </c>
      <c r="F57" s="11">
        <f>VLOOKUP($A57,debt!$A$1:$N$92,F$1,FALSE)</f>
        <v>212.969494</v>
      </c>
      <c r="G57" s="11">
        <f>VLOOKUP($A57,debt!$A$1:$N$92,G$1,FALSE)</f>
        <v>183.02236199999999</v>
      </c>
      <c r="H57" s="11">
        <f>VLOOKUP($A57,debt!$A$1:$N$92,H$1,FALSE)</f>
        <v>135.225672</v>
      </c>
      <c r="I57" s="11">
        <f>VLOOKUP($A57,debt!$A$1:$N$92,I$1,FALSE)</f>
        <v>87.731323000000003</v>
      </c>
      <c r="J57" s="11">
        <f>VLOOKUP($A57,debt!$A$1:$N$92,J$1,FALSE)</f>
        <v>70.712367999999998</v>
      </c>
      <c r="K57" s="11">
        <f>VLOOKUP($A57,debt!$A$1:$N$92,K$1,FALSE)</f>
        <v>52.872951</v>
      </c>
      <c r="L57" s="11">
        <f>VLOOKUP($A57,debt!$A$1:$N$92,L$1,FALSE)</f>
        <v>41.140377999999998</v>
      </c>
      <c r="M57" s="11">
        <f>VLOOKUP($A57,debt!$A$1:$N$92,M$1,FALSE)</f>
        <v>35.134369999999997</v>
      </c>
      <c r="N57" s="11">
        <f>VLOOKUP($A57,debt!$A$1:$N$92,N$1,FALSE)</f>
        <v>25.770322</v>
      </c>
      <c r="O57" s="11" t="e">
        <f>VLOOKUP($A57,debt!$A$1:$N$92,O$1,FALSE)</f>
        <v>#REF!</v>
      </c>
      <c r="P57" s="11" t="e">
        <f>VLOOKUP($A57,debt!$A$1:$N$92,P$1,FALSE)</f>
        <v>#REF!</v>
      </c>
      <c r="Q57" s="11" t="e">
        <f>VLOOKUP($A57,debt!$A$1:$N$92,Q$1,FALSE)</f>
        <v>#REF!</v>
      </c>
      <c r="R57" s="11" t="e">
        <f>VLOOKUP($A57,debt!$A$1:$N$92,R$1,FALSE)</f>
        <v>#REF!</v>
      </c>
      <c r="S57" s="11" t="e">
        <f>VLOOKUP($A57,debt!$A$1:$N$92,S$1,FALSE)</f>
        <v>#REF!</v>
      </c>
      <c r="T57" s="11" t="e">
        <f>VLOOKUP($A57,debt!$A$1:$N$92,T$1,FALSE)</f>
        <v>#REF!</v>
      </c>
      <c r="U57" s="11" t="e">
        <f>VLOOKUP($A57,debt!$A$1:$N$92,U$1,FALSE)</f>
        <v>#REF!</v>
      </c>
      <c r="V57" s="11" t="e">
        <f>VLOOKUP($A57,debt!$A$1:$N$92,V$1,FALSE)</f>
        <v>#REF!</v>
      </c>
      <c r="W57" s="11" t="e">
        <f>VLOOKUP($A57,debt!$A$1:$N$92,W$1,FALSE)</f>
        <v>#REF!</v>
      </c>
      <c r="X57" s="11" t="e">
        <f>VLOOKUP($A57,debt!$A$1:$N$92,X$1,FALSE)</f>
        <v>#REF!</v>
      </c>
      <c r="Y57" s="11" t="e">
        <f>VLOOKUP($A57,debt!$A$1:$N$92,Y$1,FALSE)</f>
        <v>#REF!</v>
      </c>
      <c r="Z57" s="11" t="e">
        <f>VLOOKUP($A57,debt!$A$1:$N$92,Z$1,FALSE)</f>
        <v>#REF!</v>
      </c>
      <c r="AA57" s="11" t="e">
        <f>VLOOKUP($A57,debt!$A$1:$N$92,AA$1,FALSE)</f>
        <v>#REF!</v>
      </c>
      <c r="AB57" s="11" t="e">
        <f>VLOOKUP($A57,debt!$A$1:$N$92,AB$1,FALSE)</f>
        <v>#REF!</v>
      </c>
      <c r="AC57" s="11" t="e">
        <f>VLOOKUP($A57,debt!$A$1:$N$92,AC$1,FALSE)</f>
        <v>#REF!</v>
      </c>
      <c r="AD57" s="11" t="e">
        <f>VLOOKUP($A57,debt!$A$1:$N$92,AD$1,FALSE)</f>
        <v>#REF!</v>
      </c>
    </row>
    <row r="58" spans="1:30" x14ac:dyDescent="0.25">
      <c r="A58" s="3" t="s">
        <v>27</v>
      </c>
      <c r="B58" s="11">
        <f>VLOOKUP($A58,debt!$A$1:$N$92,B$1,FALSE)</f>
        <v>1830.42372</v>
      </c>
      <c r="C58" s="11">
        <f>VLOOKUP($A58,debt!$A$1:$N$92,C$1,FALSE)</f>
        <v>1598.4667469999999</v>
      </c>
      <c r="D58" s="11">
        <f>VLOOKUP($A58,debt!$A$1:$N$92,D$1,FALSE)</f>
        <v>1346.101169</v>
      </c>
      <c r="E58" s="11">
        <f>VLOOKUP($A58,debt!$A$1:$N$92,E$1,FALSE)</f>
        <v>1129.3453830000001</v>
      </c>
      <c r="F58" s="11">
        <f>VLOOKUP($A58,debt!$A$1:$N$92,F$1,FALSE)</f>
        <v>863.014634</v>
      </c>
      <c r="G58" s="11">
        <f>VLOOKUP($A58,debt!$A$1:$N$92,G$1,FALSE)</f>
        <v>658.73165200000005</v>
      </c>
      <c r="H58" s="11">
        <f>VLOOKUP($A58,debt!$A$1:$N$92,H$1,FALSE)</f>
        <v>554.54150700000002</v>
      </c>
      <c r="I58" s="11">
        <f>VLOOKUP($A58,debt!$A$1:$N$92,I$1,FALSE)</f>
        <v>449.98209000000003</v>
      </c>
      <c r="J58" s="11">
        <f>VLOOKUP($A58,debt!$A$1:$N$92,J$1,FALSE)</f>
        <v>349.00869</v>
      </c>
      <c r="K58" s="11">
        <f>VLOOKUP($A58,debt!$A$1:$N$92,K$1,FALSE)</f>
        <v>255.875799</v>
      </c>
      <c r="L58" s="11">
        <f>VLOOKUP($A58,debt!$A$1:$N$92,L$1,FALSE)</f>
        <v>197.69623100000001</v>
      </c>
      <c r="M58" s="11">
        <f>VLOOKUP($A58,debt!$A$1:$N$92,M$1,FALSE)</f>
        <v>157.541878</v>
      </c>
      <c r="N58" s="11">
        <f>VLOOKUP($A58,debt!$A$1:$N$92,N$1,FALSE)</f>
        <v>104.814718</v>
      </c>
      <c r="O58" s="11" t="e">
        <f>VLOOKUP($A58,debt!$A$1:$N$92,O$1,FALSE)</f>
        <v>#REF!</v>
      </c>
      <c r="P58" s="11" t="e">
        <f>VLOOKUP($A58,debt!$A$1:$N$92,P$1,FALSE)</f>
        <v>#REF!</v>
      </c>
      <c r="Q58" s="11" t="e">
        <f>VLOOKUP($A58,debt!$A$1:$N$92,Q$1,FALSE)</f>
        <v>#REF!</v>
      </c>
      <c r="R58" s="11" t="e">
        <f>VLOOKUP($A58,debt!$A$1:$N$92,R$1,FALSE)</f>
        <v>#REF!</v>
      </c>
      <c r="S58" s="11" t="e">
        <f>VLOOKUP($A58,debt!$A$1:$N$92,S$1,FALSE)</f>
        <v>#REF!</v>
      </c>
      <c r="T58" s="11" t="e">
        <f>VLOOKUP($A58,debt!$A$1:$N$92,T$1,FALSE)</f>
        <v>#REF!</v>
      </c>
      <c r="U58" s="11" t="e">
        <f>VLOOKUP($A58,debt!$A$1:$N$92,U$1,FALSE)</f>
        <v>#REF!</v>
      </c>
      <c r="V58" s="11" t="e">
        <f>VLOOKUP($A58,debt!$A$1:$N$92,V$1,FALSE)</f>
        <v>#REF!</v>
      </c>
      <c r="W58" s="11" t="e">
        <f>VLOOKUP($A58,debt!$A$1:$N$92,W$1,FALSE)</f>
        <v>#REF!</v>
      </c>
      <c r="X58" s="11" t="e">
        <f>VLOOKUP($A58,debt!$A$1:$N$92,X$1,FALSE)</f>
        <v>#REF!</v>
      </c>
      <c r="Y58" s="11" t="e">
        <f>VLOOKUP($A58,debt!$A$1:$N$92,Y$1,FALSE)</f>
        <v>#REF!</v>
      </c>
      <c r="Z58" s="11" t="e">
        <f>VLOOKUP($A58,debt!$A$1:$N$92,Z$1,FALSE)</f>
        <v>#REF!</v>
      </c>
      <c r="AA58" s="11" t="e">
        <f>VLOOKUP($A58,debt!$A$1:$N$92,AA$1,FALSE)</f>
        <v>#REF!</v>
      </c>
      <c r="AB58" s="11" t="e">
        <f>VLOOKUP($A58,debt!$A$1:$N$92,AB$1,FALSE)</f>
        <v>#REF!</v>
      </c>
      <c r="AC58" s="11" t="e">
        <f>VLOOKUP($A58,debt!$A$1:$N$92,AC$1,FALSE)</f>
        <v>#REF!</v>
      </c>
      <c r="AD58" s="11" t="e">
        <f>VLOOKUP($A58,debt!$A$1:$N$92,AD$1,FALSE)</f>
        <v>#REF!</v>
      </c>
    </row>
    <row r="59" spans="1:30" x14ac:dyDescent="0.25">
      <c r="A59" s="3" t="s">
        <v>28</v>
      </c>
      <c r="B59" s="11">
        <f>VLOOKUP($A59,debt!$A$1:$N$92,B$1,FALSE)</f>
        <v>410.93299200000001</v>
      </c>
      <c r="C59" s="11">
        <f>VLOOKUP($A59,debt!$A$1:$N$92,C$1,FALSE)</f>
        <v>424.381868</v>
      </c>
      <c r="D59" s="11">
        <f>VLOOKUP($A59,debt!$A$1:$N$92,D$1,FALSE)</f>
        <v>385.74919399999999</v>
      </c>
      <c r="E59" s="11">
        <f>VLOOKUP($A59,debt!$A$1:$N$92,E$1,FALSE)</f>
        <v>370.20425399999999</v>
      </c>
      <c r="F59" s="11">
        <f>VLOOKUP($A59,debt!$A$1:$N$92,F$1,FALSE)</f>
        <v>200.51723000000001</v>
      </c>
      <c r="G59" s="11">
        <f>VLOOKUP($A59,debt!$A$1:$N$92,G$1,FALSE)</f>
        <v>105.438444</v>
      </c>
      <c r="H59" s="11">
        <f>VLOOKUP($A59,debt!$A$1:$N$92,H$1,FALSE)</f>
        <v>113.072884</v>
      </c>
      <c r="I59" s="11">
        <f>VLOOKUP($A59,debt!$A$1:$N$92,I$1,FALSE)</f>
        <v>95.264026000000001</v>
      </c>
      <c r="J59" s="11">
        <f>VLOOKUP($A59,debt!$A$1:$N$92,J$1,FALSE)</f>
        <v>94.807193999999996</v>
      </c>
      <c r="K59" s="11">
        <f>VLOOKUP($A59,debt!$A$1:$N$92,K$1,FALSE)</f>
        <v>70.281902000000002</v>
      </c>
      <c r="L59" s="11">
        <f>VLOOKUP($A59,debt!$A$1:$N$92,L$1,FALSE)</f>
        <v>51.080578000000003</v>
      </c>
      <c r="M59" s="11">
        <f>VLOOKUP($A59,debt!$A$1:$N$92,M$1,FALSE)</f>
        <v>42.507694999999998</v>
      </c>
      <c r="N59" s="11">
        <f>VLOOKUP($A59,debt!$A$1:$N$92,N$1,FALSE)</f>
        <v>21.126161</v>
      </c>
      <c r="O59" s="11" t="e">
        <f>VLOOKUP($A59,debt!$A$1:$N$92,O$1,FALSE)</f>
        <v>#REF!</v>
      </c>
      <c r="P59" s="11" t="e">
        <f>VLOOKUP($A59,debt!$A$1:$N$92,P$1,FALSE)</f>
        <v>#REF!</v>
      </c>
      <c r="Q59" s="11" t="e">
        <f>VLOOKUP($A59,debt!$A$1:$N$92,Q$1,FALSE)</f>
        <v>#REF!</v>
      </c>
      <c r="R59" s="11" t="e">
        <f>VLOOKUP($A59,debt!$A$1:$N$92,R$1,FALSE)</f>
        <v>#REF!</v>
      </c>
      <c r="S59" s="11" t="e">
        <f>VLOOKUP($A59,debt!$A$1:$N$92,S$1,FALSE)</f>
        <v>#REF!</v>
      </c>
      <c r="T59" s="11" t="e">
        <f>VLOOKUP($A59,debt!$A$1:$N$92,T$1,FALSE)</f>
        <v>#REF!</v>
      </c>
      <c r="U59" s="11" t="e">
        <f>VLOOKUP($A59,debt!$A$1:$N$92,U$1,FALSE)</f>
        <v>#REF!</v>
      </c>
      <c r="V59" s="11" t="e">
        <f>VLOOKUP($A59,debt!$A$1:$N$92,V$1,FALSE)</f>
        <v>#REF!</v>
      </c>
      <c r="W59" s="11" t="e">
        <f>VLOOKUP($A59,debt!$A$1:$N$92,W$1,FALSE)</f>
        <v>#REF!</v>
      </c>
      <c r="X59" s="11" t="e">
        <f>VLOOKUP($A59,debt!$A$1:$N$92,X$1,FALSE)</f>
        <v>#REF!</v>
      </c>
      <c r="Y59" s="11" t="e">
        <f>VLOOKUP($A59,debt!$A$1:$N$92,Y$1,FALSE)</f>
        <v>#REF!</v>
      </c>
      <c r="Z59" s="11" t="e">
        <f>VLOOKUP($A59,debt!$A$1:$N$92,Z$1,FALSE)</f>
        <v>#REF!</v>
      </c>
      <c r="AA59" s="11" t="e">
        <f>VLOOKUP($A59,debt!$A$1:$N$92,AA$1,FALSE)</f>
        <v>#REF!</v>
      </c>
      <c r="AB59" s="11" t="e">
        <f>VLOOKUP($A59,debt!$A$1:$N$92,AB$1,FALSE)</f>
        <v>#REF!</v>
      </c>
      <c r="AC59" s="11" t="e">
        <f>VLOOKUP($A59,debt!$A$1:$N$92,AC$1,FALSE)</f>
        <v>#REF!</v>
      </c>
      <c r="AD59" s="11" t="e">
        <f>VLOOKUP($A59,debt!$A$1:$N$92,AD$1,FALSE)</f>
        <v>#REF!</v>
      </c>
    </row>
    <row r="60" spans="1:30" x14ac:dyDescent="0.25">
      <c r="A60" s="3" t="s">
        <v>29</v>
      </c>
      <c r="B60" s="11">
        <f>VLOOKUP($A60,debt!$A$1:$N$92,B$1,FALSE)</f>
        <v>0.72692599999999996</v>
      </c>
      <c r="C60" s="11" t="str">
        <f>VLOOKUP($A60,debt!$A$1:$N$92,C$1,FALSE)</f>
        <v>--</v>
      </c>
      <c r="D60" s="11">
        <f>VLOOKUP($A60,debt!$A$1:$N$92,D$1,FALSE)</f>
        <v>0.15570000000000001</v>
      </c>
      <c r="E60" s="11">
        <f>VLOOKUP($A60,debt!$A$1:$N$92,E$1,FALSE)</f>
        <v>0.15570000000000001</v>
      </c>
      <c r="F60" s="11">
        <f>VLOOKUP($A60,debt!$A$1:$N$92,F$1,FALSE)</f>
        <v>0.15570000000000001</v>
      </c>
      <c r="G60" s="11">
        <f>VLOOKUP($A60,debt!$A$1:$N$92,G$1,FALSE)</f>
        <v>0.1777</v>
      </c>
      <c r="H60" s="11">
        <f>VLOOKUP($A60,debt!$A$1:$N$92,H$1,FALSE)</f>
        <v>0.1777</v>
      </c>
      <c r="I60" s="11">
        <f>VLOOKUP($A60,debt!$A$1:$N$92,I$1,FALSE)</f>
        <v>0.1777</v>
      </c>
      <c r="J60" s="11">
        <f>VLOOKUP($A60,debt!$A$1:$N$92,J$1,FALSE)</f>
        <v>0.16769999999999999</v>
      </c>
      <c r="K60" s="11">
        <f>VLOOKUP($A60,debt!$A$1:$N$92,K$1,FALSE)</f>
        <v>0.1</v>
      </c>
      <c r="L60" s="11">
        <f>VLOOKUP($A60,debt!$A$1:$N$92,L$1,FALSE)</f>
        <v>0.1</v>
      </c>
      <c r="M60" s="11" t="str">
        <f>VLOOKUP($A60,debt!$A$1:$N$92,M$1,FALSE)</f>
        <v>--</v>
      </c>
      <c r="N60" s="11" t="str">
        <f>VLOOKUP($A60,debt!$A$1:$N$92,N$1,FALSE)</f>
        <v>--</v>
      </c>
      <c r="O60" s="11" t="e">
        <f>VLOOKUP($A60,debt!$A$1:$N$92,O$1,FALSE)</f>
        <v>#REF!</v>
      </c>
      <c r="P60" s="11" t="e">
        <f>VLOOKUP($A60,debt!$A$1:$N$92,P$1,FALSE)</f>
        <v>#REF!</v>
      </c>
      <c r="Q60" s="11" t="e">
        <f>VLOOKUP($A60,debt!$A$1:$N$92,Q$1,FALSE)</f>
        <v>#REF!</v>
      </c>
      <c r="R60" s="11" t="e">
        <f>VLOOKUP($A60,debt!$A$1:$N$92,R$1,FALSE)</f>
        <v>#REF!</v>
      </c>
      <c r="S60" s="11" t="e">
        <f>VLOOKUP($A60,debt!$A$1:$N$92,S$1,FALSE)</f>
        <v>#REF!</v>
      </c>
      <c r="T60" s="11" t="e">
        <f>VLOOKUP($A60,debt!$A$1:$N$92,T$1,FALSE)</f>
        <v>#REF!</v>
      </c>
      <c r="U60" s="11" t="e">
        <f>VLOOKUP($A60,debt!$A$1:$N$92,U$1,FALSE)</f>
        <v>#REF!</v>
      </c>
      <c r="V60" s="11" t="e">
        <f>VLOOKUP($A60,debt!$A$1:$N$92,V$1,FALSE)</f>
        <v>#REF!</v>
      </c>
      <c r="W60" s="11" t="e">
        <f>VLOOKUP($A60,debt!$A$1:$N$92,W$1,FALSE)</f>
        <v>#REF!</v>
      </c>
      <c r="X60" s="11" t="e">
        <f>VLOOKUP($A60,debt!$A$1:$N$92,X$1,FALSE)</f>
        <v>#REF!</v>
      </c>
      <c r="Y60" s="11" t="e">
        <f>VLOOKUP($A60,debt!$A$1:$N$92,Y$1,FALSE)</f>
        <v>#REF!</v>
      </c>
      <c r="Z60" s="11" t="e">
        <f>VLOOKUP($A60,debt!$A$1:$N$92,Z$1,FALSE)</f>
        <v>#REF!</v>
      </c>
      <c r="AA60" s="11" t="e">
        <f>VLOOKUP($A60,debt!$A$1:$N$92,AA$1,FALSE)</f>
        <v>#REF!</v>
      </c>
      <c r="AB60" s="11" t="e">
        <f>VLOOKUP($A60,debt!$A$1:$N$92,AB$1,FALSE)</f>
        <v>#REF!</v>
      </c>
      <c r="AC60" s="11" t="e">
        <f>VLOOKUP($A60,debt!$A$1:$N$92,AC$1,FALSE)</f>
        <v>#REF!</v>
      </c>
      <c r="AD60" s="11" t="e">
        <f>VLOOKUP($A60,debt!$A$1:$N$92,AD$1,FALSE)</f>
        <v>#REF!</v>
      </c>
    </row>
    <row r="61" spans="1:30" x14ac:dyDescent="0.25">
      <c r="A61" s="3" t="s">
        <v>30</v>
      </c>
      <c r="B61" s="11">
        <f>VLOOKUP($A61,debt!$A$1:$N$92,B$1,FALSE)</f>
        <v>411.659918</v>
      </c>
      <c r="C61" s="11">
        <f>VLOOKUP($A61,debt!$A$1:$N$92,C$1,FALSE)</f>
        <v>424.381868</v>
      </c>
      <c r="D61" s="11">
        <f>VLOOKUP($A61,debt!$A$1:$N$92,D$1,FALSE)</f>
        <v>385.90489400000001</v>
      </c>
      <c r="E61" s="11">
        <f>VLOOKUP($A61,debt!$A$1:$N$92,E$1,FALSE)</f>
        <v>370.35995400000002</v>
      </c>
      <c r="F61" s="11">
        <f>VLOOKUP($A61,debt!$A$1:$N$92,F$1,FALSE)</f>
        <v>200.67293000000001</v>
      </c>
      <c r="G61" s="11">
        <f>VLOOKUP($A61,debt!$A$1:$N$92,G$1,FALSE)</f>
        <v>105.61614400000001</v>
      </c>
      <c r="H61" s="11">
        <f>VLOOKUP($A61,debt!$A$1:$N$92,H$1,FALSE)</f>
        <v>113.250584</v>
      </c>
      <c r="I61" s="11">
        <f>VLOOKUP($A61,debt!$A$1:$N$92,I$1,FALSE)</f>
        <v>95.441726000000003</v>
      </c>
      <c r="J61" s="11">
        <f>VLOOKUP($A61,debt!$A$1:$N$92,J$1,FALSE)</f>
        <v>94.974894000000006</v>
      </c>
      <c r="K61" s="11">
        <f>VLOOKUP($A61,debt!$A$1:$N$92,K$1,FALSE)</f>
        <v>70.381901999999997</v>
      </c>
      <c r="L61" s="11">
        <f>VLOOKUP($A61,debt!$A$1:$N$92,L$1,FALSE)</f>
        <v>51.180577999999997</v>
      </c>
      <c r="M61" s="11">
        <f>VLOOKUP($A61,debt!$A$1:$N$92,M$1,FALSE)</f>
        <v>42.507694999999998</v>
      </c>
      <c r="N61" s="11">
        <f>VLOOKUP($A61,debt!$A$1:$N$92,N$1,FALSE)</f>
        <v>21.126161</v>
      </c>
      <c r="O61" s="11" t="e">
        <f>VLOOKUP($A61,debt!$A$1:$N$92,O$1,FALSE)</f>
        <v>#REF!</v>
      </c>
      <c r="P61" s="11" t="e">
        <f>VLOOKUP($A61,debt!$A$1:$N$92,P$1,FALSE)</f>
        <v>#REF!</v>
      </c>
      <c r="Q61" s="11" t="e">
        <f>VLOOKUP($A61,debt!$A$1:$N$92,Q$1,FALSE)</f>
        <v>#REF!</v>
      </c>
      <c r="R61" s="11" t="e">
        <f>VLOOKUP($A61,debt!$A$1:$N$92,R$1,FALSE)</f>
        <v>#REF!</v>
      </c>
      <c r="S61" s="11" t="e">
        <f>VLOOKUP($A61,debt!$A$1:$N$92,S$1,FALSE)</f>
        <v>#REF!</v>
      </c>
      <c r="T61" s="11" t="e">
        <f>VLOOKUP($A61,debt!$A$1:$N$92,T$1,FALSE)</f>
        <v>#REF!</v>
      </c>
      <c r="U61" s="11" t="e">
        <f>VLOOKUP($A61,debt!$A$1:$N$92,U$1,FALSE)</f>
        <v>#REF!</v>
      </c>
      <c r="V61" s="11" t="e">
        <f>VLOOKUP($A61,debt!$A$1:$N$92,V$1,FALSE)</f>
        <v>#REF!</v>
      </c>
      <c r="W61" s="11" t="e">
        <f>VLOOKUP($A61,debt!$A$1:$N$92,W$1,FALSE)</f>
        <v>#REF!</v>
      </c>
      <c r="X61" s="11" t="e">
        <f>VLOOKUP($A61,debt!$A$1:$N$92,X$1,FALSE)</f>
        <v>#REF!</v>
      </c>
      <c r="Y61" s="11" t="e">
        <f>VLOOKUP($A61,debt!$A$1:$N$92,Y$1,FALSE)</f>
        <v>#REF!</v>
      </c>
      <c r="Z61" s="11" t="e">
        <f>VLOOKUP($A61,debt!$A$1:$N$92,Z$1,FALSE)</f>
        <v>#REF!</v>
      </c>
      <c r="AA61" s="11" t="e">
        <f>VLOOKUP($A61,debt!$A$1:$N$92,AA$1,FALSE)</f>
        <v>#REF!</v>
      </c>
      <c r="AB61" s="11" t="e">
        <f>VLOOKUP($A61,debt!$A$1:$N$92,AB$1,FALSE)</f>
        <v>#REF!</v>
      </c>
      <c r="AC61" s="11" t="e">
        <f>VLOOKUP($A61,debt!$A$1:$N$92,AC$1,FALSE)</f>
        <v>#REF!</v>
      </c>
      <c r="AD61" s="11" t="e">
        <f>VLOOKUP($A61,debt!$A$1:$N$92,AD$1,FALSE)</f>
        <v>#REF!</v>
      </c>
    </row>
    <row r="62" spans="1:30" x14ac:dyDescent="0.25">
      <c r="A62" s="3" t="s">
        <v>31</v>
      </c>
      <c r="B62" s="11">
        <f>VLOOKUP($A62,debt!$A$1:$N$92,B$1,FALSE)</f>
        <v>1360.1034990000001</v>
      </c>
      <c r="C62" s="11">
        <f>VLOOKUP($A62,debt!$A$1:$N$92,C$1,FALSE)</f>
        <v>1128.3856430000001</v>
      </c>
      <c r="D62" s="11">
        <f>VLOOKUP($A62,debt!$A$1:$N$92,D$1,FALSE)</f>
        <v>914.51522799999998</v>
      </c>
      <c r="E62" s="11">
        <f>VLOOKUP($A62,debt!$A$1:$N$92,E$1,FALSE)</f>
        <v>728.94137799999999</v>
      </c>
      <c r="F62" s="11">
        <f>VLOOKUP($A62,debt!$A$1:$N$92,F$1,FALSE)</f>
        <v>639.25978399999997</v>
      </c>
      <c r="G62" s="11">
        <f>VLOOKUP($A62,debt!$A$1:$N$92,G$1,FALSE)</f>
        <v>534.30402400000003</v>
      </c>
      <c r="H62" s="11">
        <f>VLOOKUP($A62,debt!$A$1:$N$92,H$1,FALSE)</f>
        <v>426.22216500000002</v>
      </c>
      <c r="I62" s="11">
        <f>VLOOKUP($A62,debt!$A$1:$N$92,I$1,FALSE)</f>
        <v>341.49654099999998</v>
      </c>
      <c r="J62" s="11">
        <f>VLOOKUP($A62,debt!$A$1:$N$92,J$1,FALSE)</f>
        <v>249.9118</v>
      </c>
      <c r="K62" s="11">
        <f>VLOOKUP($A62,debt!$A$1:$N$92,K$1,FALSE)</f>
        <v>183.987741</v>
      </c>
      <c r="L62" s="11">
        <f>VLOOKUP($A62,debt!$A$1:$N$92,L$1,FALSE)</f>
        <v>144.659828</v>
      </c>
      <c r="M62" s="11">
        <f>VLOOKUP($A62,debt!$A$1:$N$92,M$1,FALSE)</f>
        <v>112.445695</v>
      </c>
      <c r="N62" s="11">
        <f>VLOOKUP($A62,debt!$A$1:$N$92,N$1,FALSE)</f>
        <v>82.341058000000004</v>
      </c>
      <c r="O62" s="11" t="e">
        <f>VLOOKUP($A62,debt!$A$1:$N$92,O$1,FALSE)</f>
        <v>#REF!</v>
      </c>
      <c r="P62" s="11" t="e">
        <f>VLOOKUP($A62,debt!$A$1:$N$92,P$1,FALSE)</f>
        <v>#REF!</v>
      </c>
      <c r="Q62" s="11" t="e">
        <f>VLOOKUP($A62,debt!$A$1:$N$92,Q$1,FALSE)</f>
        <v>#REF!</v>
      </c>
      <c r="R62" s="11" t="e">
        <f>VLOOKUP($A62,debt!$A$1:$N$92,R$1,FALSE)</f>
        <v>#REF!</v>
      </c>
      <c r="S62" s="11" t="e">
        <f>VLOOKUP($A62,debt!$A$1:$N$92,S$1,FALSE)</f>
        <v>#REF!</v>
      </c>
      <c r="T62" s="11" t="e">
        <f>VLOOKUP($A62,debt!$A$1:$N$92,T$1,FALSE)</f>
        <v>#REF!</v>
      </c>
      <c r="U62" s="11" t="e">
        <f>VLOOKUP($A62,debt!$A$1:$N$92,U$1,FALSE)</f>
        <v>#REF!</v>
      </c>
      <c r="V62" s="11" t="e">
        <f>VLOOKUP($A62,debt!$A$1:$N$92,V$1,FALSE)</f>
        <v>#REF!</v>
      </c>
      <c r="W62" s="11" t="e">
        <f>VLOOKUP($A62,debt!$A$1:$N$92,W$1,FALSE)</f>
        <v>#REF!</v>
      </c>
      <c r="X62" s="11" t="e">
        <f>VLOOKUP($A62,debt!$A$1:$N$92,X$1,FALSE)</f>
        <v>#REF!</v>
      </c>
      <c r="Y62" s="11" t="e">
        <f>VLOOKUP($A62,debt!$A$1:$N$92,Y$1,FALSE)</f>
        <v>#REF!</v>
      </c>
      <c r="Z62" s="11" t="e">
        <f>VLOOKUP($A62,debt!$A$1:$N$92,Z$1,FALSE)</f>
        <v>#REF!</v>
      </c>
      <c r="AA62" s="11" t="e">
        <f>VLOOKUP($A62,debt!$A$1:$N$92,AA$1,FALSE)</f>
        <v>#REF!</v>
      </c>
      <c r="AB62" s="11" t="e">
        <f>VLOOKUP($A62,debt!$A$1:$N$92,AB$1,FALSE)</f>
        <v>#REF!</v>
      </c>
      <c r="AC62" s="11" t="e">
        <f>VLOOKUP($A62,debt!$A$1:$N$92,AC$1,FALSE)</f>
        <v>#REF!</v>
      </c>
      <c r="AD62" s="11" t="e">
        <f>VLOOKUP($A62,debt!$A$1:$N$92,AD$1,FALSE)</f>
        <v>#REF!</v>
      </c>
    </row>
    <row r="63" spans="1:30" x14ac:dyDescent="0.25">
      <c r="A63" s="3" t="s">
        <v>32</v>
      </c>
      <c r="B63" s="11">
        <f>VLOOKUP($A63,debt!$A$1:$N$92,B$1,FALSE)</f>
        <v>1418.7638019999999</v>
      </c>
      <c r="C63" s="11">
        <f>VLOOKUP($A63,debt!$A$1:$N$92,C$1,FALSE)</f>
        <v>1174.084879</v>
      </c>
      <c r="D63" s="11">
        <f>VLOOKUP($A63,debt!$A$1:$N$92,D$1,FALSE)</f>
        <v>960.19627500000001</v>
      </c>
      <c r="E63" s="11">
        <f>VLOOKUP($A63,debt!$A$1:$N$92,E$1,FALSE)</f>
        <v>758.98542899999995</v>
      </c>
      <c r="F63" s="11">
        <f>VLOOKUP($A63,debt!$A$1:$N$92,F$1,FALSE)</f>
        <v>662.34170400000005</v>
      </c>
      <c r="G63" s="11">
        <f>VLOOKUP($A63,debt!$A$1:$N$92,G$1,FALSE)</f>
        <v>553.11550799999998</v>
      </c>
      <c r="H63" s="11">
        <f>VLOOKUP($A63,debt!$A$1:$N$92,H$1,FALSE)</f>
        <v>441.29092300000002</v>
      </c>
      <c r="I63" s="11">
        <f>VLOOKUP($A63,debt!$A$1:$N$92,I$1,FALSE)</f>
        <v>354.54036400000001</v>
      </c>
      <c r="J63" s="11">
        <f>VLOOKUP($A63,debt!$A$1:$N$92,J$1,FALSE)</f>
        <v>254.033796</v>
      </c>
      <c r="K63" s="11">
        <f>VLOOKUP($A63,debt!$A$1:$N$92,K$1,FALSE)</f>
        <v>185.493897</v>
      </c>
      <c r="L63" s="11">
        <f>VLOOKUP($A63,debt!$A$1:$N$92,L$1,FALSE)</f>
        <v>146.51565400000001</v>
      </c>
      <c r="M63" s="11">
        <f>VLOOKUP($A63,debt!$A$1:$N$92,M$1,FALSE)</f>
        <v>115.034183</v>
      </c>
      <c r="N63" s="11">
        <f>VLOOKUP($A63,debt!$A$1:$N$92,N$1,FALSE)</f>
        <v>83.688558</v>
      </c>
      <c r="O63" s="11" t="e">
        <f>VLOOKUP($A63,debt!$A$1:$N$92,O$1,FALSE)</f>
        <v>#REF!</v>
      </c>
      <c r="P63" s="11" t="e">
        <f>VLOOKUP($A63,debt!$A$1:$N$92,P$1,FALSE)</f>
        <v>#REF!</v>
      </c>
      <c r="Q63" s="11" t="e">
        <f>VLOOKUP($A63,debt!$A$1:$N$92,Q$1,FALSE)</f>
        <v>#REF!</v>
      </c>
      <c r="R63" s="11" t="e">
        <f>VLOOKUP($A63,debt!$A$1:$N$92,R$1,FALSE)</f>
        <v>#REF!</v>
      </c>
      <c r="S63" s="11" t="e">
        <f>VLOOKUP($A63,debt!$A$1:$N$92,S$1,FALSE)</f>
        <v>#REF!</v>
      </c>
      <c r="T63" s="11" t="e">
        <f>VLOOKUP($A63,debt!$A$1:$N$92,T$1,FALSE)</f>
        <v>#REF!</v>
      </c>
      <c r="U63" s="11" t="e">
        <f>VLOOKUP($A63,debt!$A$1:$N$92,U$1,FALSE)</f>
        <v>#REF!</v>
      </c>
      <c r="V63" s="11" t="e">
        <f>VLOOKUP($A63,debt!$A$1:$N$92,V$1,FALSE)</f>
        <v>#REF!</v>
      </c>
      <c r="W63" s="11" t="e">
        <f>VLOOKUP($A63,debt!$A$1:$N$92,W$1,FALSE)</f>
        <v>#REF!</v>
      </c>
      <c r="X63" s="11" t="e">
        <f>VLOOKUP($A63,debt!$A$1:$N$92,X$1,FALSE)</f>
        <v>#REF!</v>
      </c>
      <c r="Y63" s="11" t="e">
        <f>VLOOKUP($A63,debt!$A$1:$N$92,Y$1,FALSE)</f>
        <v>#REF!</v>
      </c>
      <c r="Z63" s="11" t="e">
        <f>VLOOKUP($A63,debt!$A$1:$N$92,Z$1,FALSE)</f>
        <v>#REF!</v>
      </c>
      <c r="AA63" s="11" t="e">
        <f>VLOOKUP($A63,debt!$A$1:$N$92,AA$1,FALSE)</f>
        <v>#REF!</v>
      </c>
      <c r="AB63" s="11" t="e">
        <f>VLOOKUP($A63,debt!$A$1:$N$92,AB$1,FALSE)</f>
        <v>#REF!</v>
      </c>
      <c r="AC63" s="11" t="e">
        <f>VLOOKUP($A63,debt!$A$1:$N$92,AC$1,FALSE)</f>
        <v>#REF!</v>
      </c>
      <c r="AD63" s="11" t="e">
        <f>VLOOKUP($A63,debt!$A$1:$N$92,AD$1,FALSE)</f>
        <v>#REF!</v>
      </c>
    </row>
    <row r="64" spans="1:30" x14ac:dyDescent="0.25">
      <c r="A64" s="8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</row>
    <row r="65" spans="1:30" x14ac:dyDescent="0.25">
      <c r="A65" s="3" t="s">
        <v>37</v>
      </c>
      <c r="B65" s="12">
        <f>B39-B45</f>
        <v>218.61935784950001</v>
      </c>
      <c r="C65" s="12">
        <f t="shared" ref="C65:AD65" si="41">C39-C45</f>
        <v>186.1599614964</v>
      </c>
      <c r="D65" s="12">
        <f t="shared" si="41"/>
        <v>232.66048525939999</v>
      </c>
      <c r="E65" s="12">
        <f t="shared" si="41"/>
        <v>231.01541842060001</v>
      </c>
      <c r="F65" s="12">
        <f t="shared" si="41"/>
        <v>203.61720536759998</v>
      </c>
      <c r="G65" s="12">
        <f t="shared" si="41"/>
        <v>171.8797665525</v>
      </c>
      <c r="H65" s="12">
        <f t="shared" si="41"/>
        <v>207.73084554689999</v>
      </c>
      <c r="I65" s="12">
        <f t="shared" si="41"/>
        <v>203.442512588</v>
      </c>
      <c r="J65" s="12">
        <f t="shared" si="41"/>
        <v>181.05771368090001</v>
      </c>
      <c r="K65" s="12">
        <f t="shared" si="41"/>
        <v>153.49775737370001</v>
      </c>
      <c r="L65" s="12">
        <f t="shared" si="41"/>
        <v>168.76663945960001</v>
      </c>
      <c r="M65" s="12">
        <f t="shared" si="41"/>
        <v>149.0838419472</v>
      </c>
      <c r="N65" s="12">
        <f t="shared" si="41"/>
        <v>172.31267926410001</v>
      </c>
      <c r="O65" s="12">
        <f t="shared" si="41"/>
        <v>102.46254675729999</v>
      </c>
      <c r="P65" s="12">
        <f t="shared" si="41"/>
        <v>127.36413669299999</v>
      </c>
      <c r="Q65" s="12">
        <f t="shared" si="41"/>
        <v>114.3764386191</v>
      </c>
      <c r="R65" s="12">
        <f t="shared" si="41"/>
        <v>80.451270592000014</v>
      </c>
      <c r="S65" s="12">
        <f t="shared" si="41"/>
        <v>77.763438081300009</v>
      </c>
      <c r="T65" s="12">
        <f t="shared" si="41"/>
        <v>94.858655836900013</v>
      </c>
      <c r="U65" s="12">
        <f t="shared" si="41"/>
        <v>89.212499951000012</v>
      </c>
      <c r="V65" s="12">
        <f t="shared" si="41"/>
        <v>69.674979810100012</v>
      </c>
      <c r="W65" s="12">
        <f t="shared" si="41"/>
        <v>68.392025412500004</v>
      </c>
      <c r="X65" s="12">
        <f t="shared" si="41"/>
        <v>81.805710282199996</v>
      </c>
      <c r="Y65" s="12">
        <f t="shared" si="41"/>
        <v>92.987128187600007</v>
      </c>
      <c r="Z65" s="12">
        <f t="shared" si="41"/>
        <v>69.518544642099997</v>
      </c>
      <c r="AA65" s="12">
        <f t="shared" si="41"/>
        <v>65.532915239700003</v>
      </c>
      <c r="AB65" s="12">
        <f t="shared" si="41"/>
        <v>70.748044341400004</v>
      </c>
      <c r="AC65" s="12">
        <f t="shared" si="41"/>
        <v>83.151595510700005</v>
      </c>
      <c r="AD65" s="12">
        <f t="shared" si="41"/>
        <v>73.566513345700002</v>
      </c>
    </row>
    <row r="66" spans="1:30" x14ac:dyDescent="0.25">
      <c r="A66" s="3" t="s">
        <v>36</v>
      </c>
      <c r="B66" s="12">
        <f>B40-(B41-B42)</f>
        <v>118.39153400000001</v>
      </c>
      <c r="C66" s="12">
        <f t="shared" ref="C66:AD66" si="42">C40-(C41-C42)</f>
        <v>97.680495999999991</v>
      </c>
      <c r="D66" s="12">
        <f t="shared" si="42"/>
        <v>18.886469999999999</v>
      </c>
      <c r="E66" s="12">
        <f t="shared" si="42"/>
        <v>167.743854</v>
      </c>
      <c r="F66" s="12">
        <f t="shared" si="42"/>
        <v>23.252344000000001</v>
      </c>
      <c r="G66" s="12">
        <f t="shared" si="42"/>
        <v>223.824005</v>
      </c>
      <c r="H66" s="12">
        <f t="shared" si="42"/>
        <v>5.7972770000000002</v>
      </c>
      <c r="I66" s="12">
        <f t="shared" si="42"/>
        <v>125.73676200000001</v>
      </c>
      <c r="J66" s="12">
        <f t="shared" si="42"/>
        <v>101.864169</v>
      </c>
      <c r="K66" s="12">
        <f t="shared" si="42"/>
        <v>126.575293</v>
      </c>
      <c r="L66" s="12">
        <f t="shared" si="42"/>
        <v>43.608618</v>
      </c>
      <c r="M66" s="12">
        <f t="shared" si="42"/>
        <v>-10.017538</v>
      </c>
      <c r="N66" s="12">
        <f t="shared" si="42"/>
        <v>155.75411600000001</v>
      </c>
      <c r="O66" s="12">
        <f t="shared" si="42"/>
        <v>6.5275529999999993</v>
      </c>
      <c r="P66" s="12">
        <f t="shared" si="42"/>
        <v>58.016058000000001</v>
      </c>
      <c r="Q66" s="12">
        <f t="shared" si="42"/>
        <v>46.72025</v>
      </c>
      <c r="R66" s="12">
        <f t="shared" si="42"/>
        <v>186.527084</v>
      </c>
      <c r="S66" s="12">
        <f t="shared" si="42"/>
        <v>60.383548999999995</v>
      </c>
      <c r="T66" s="12">
        <f t="shared" si="42"/>
        <v>70.690750000000008</v>
      </c>
      <c r="U66" s="12">
        <f t="shared" si="42"/>
        <v>57.710582000000002</v>
      </c>
      <c r="V66" s="12">
        <f t="shared" si="42"/>
        <v>59.868022000000003</v>
      </c>
      <c r="W66" s="12">
        <f t="shared" si="42"/>
        <v>23.798777000000001</v>
      </c>
      <c r="X66" s="12">
        <f t="shared" si="42"/>
        <v>12.459033</v>
      </c>
      <c r="Y66" s="12">
        <f t="shared" si="42"/>
        <v>42.296452000000002</v>
      </c>
      <c r="Z66" s="12">
        <f t="shared" si="42"/>
        <v>25.383632000000002</v>
      </c>
      <c r="AA66" s="12">
        <f t="shared" si="42"/>
        <v>32.945547000000005</v>
      </c>
      <c r="AB66" s="12">
        <f t="shared" si="42"/>
        <v>-18.508788000000003</v>
      </c>
      <c r="AC66" s="12">
        <f t="shared" si="42"/>
        <v>19.488298</v>
      </c>
      <c r="AD66" s="12">
        <f t="shared" si="42"/>
        <v>26.126265000000004</v>
      </c>
    </row>
    <row r="67" spans="1:30" x14ac:dyDescent="0.25">
      <c r="A67" s="19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</row>
    <row r="68" spans="1:30" x14ac:dyDescent="0.25">
      <c r="A68" s="1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</row>
    <row r="69" spans="1:30" x14ac:dyDescent="0.25">
      <c r="A69" s="3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</row>
    <row r="70" spans="1:30" x14ac:dyDescent="0.25">
      <c r="A70" s="19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</row>
    <row r="71" spans="1:30" x14ac:dyDescent="0.25">
      <c r="A71" s="19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</row>
    <row r="72" spans="1:30" x14ac:dyDescent="0.25">
      <c r="A72" s="3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</row>
    <row r="73" spans="1:30" x14ac:dyDescent="0.25">
      <c r="A73" s="19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</row>
    <row r="74" spans="1:30" x14ac:dyDescent="0.25">
      <c r="A74" s="19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</row>
    <row r="75" spans="1:30" x14ac:dyDescent="0.25">
      <c r="A75" s="3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</row>
    <row r="76" spans="1:30" x14ac:dyDescent="0.25">
      <c r="A76" s="19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</row>
    <row r="77" spans="1:30" x14ac:dyDescent="0.25">
      <c r="A77" s="19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</row>
    <row r="78" spans="1:30" x14ac:dyDescent="0.25">
      <c r="A78" s="3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</row>
    <row r="79" spans="1:30" x14ac:dyDescent="0.25">
      <c r="A79" s="19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</row>
    <row r="80" spans="1:30" x14ac:dyDescent="0.25">
      <c r="A80" s="19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</row>
    <row r="81" spans="1:30" x14ac:dyDescent="0.25">
      <c r="A81" s="3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</row>
    <row r="82" spans="1:30" x14ac:dyDescent="0.25">
      <c r="A82" s="19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</row>
    <row r="83" spans="1:30" x14ac:dyDescent="0.25">
      <c r="A83" s="19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</row>
    <row r="84" spans="1:30" x14ac:dyDescent="0.25">
      <c r="A84" s="3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</row>
    <row r="85" spans="1:30" x14ac:dyDescent="0.2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</row>
    <row r="86" spans="1:30" x14ac:dyDescent="0.2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</row>
    <row r="87" spans="1:30" x14ac:dyDescent="0.2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</row>
    <row r="88" spans="1:30" x14ac:dyDescent="0.2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</row>
    <row r="89" spans="1:30" x14ac:dyDescent="0.2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H59"/>
  <sheetViews>
    <sheetView topLeftCell="A34" workbookViewId="0">
      <selection activeCell="H58" sqref="H58"/>
    </sheetView>
  </sheetViews>
  <sheetFormatPr defaultRowHeight="15" x14ac:dyDescent="0.25"/>
  <sheetData>
    <row r="3" spans="3:8" x14ac:dyDescent="0.25">
      <c r="C3" t="s">
        <v>8</v>
      </c>
    </row>
    <row r="5" spans="3:8" x14ac:dyDescent="0.25">
      <c r="C5" t="s">
        <v>1</v>
      </c>
      <c r="H5" s="1" t="s">
        <v>0</v>
      </c>
    </row>
    <row r="7" spans="3:8" x14ac:dyDescent="0.25">
      <c r="C7" t="s">
        <v>2</v>
      </c>
    </row>
    <row r="9" spans="3:8" x14ac:dyDescent="0.25">
      <c r="C9" t="s">
        <v>3</v>
      </c>
    </row>
    <row r="11" spans="3:8" x14ac:dyDescent="0.25">
      <c r="C11" t="s">
        <v>9</v>
      </c>
    </row>
    <row r="13" spans="3:8" x14ac:dyDescent="0.25">
      <c r="C13" t="s">
        <v>4</v>
      </c>
    </row>
    <row r="15" spans="3:8" x14ac:dyDescent="0.25">
      <c r="C15" t="s">
        <v>5</v>
      </c>
    </row>
    <row r="23" spans="3:3" x14ac:dyDescent="0.25">
      <c r="C23" t="s">
        <v>6</v>
      </c>
    </row>
    <row r="30" spans="3:3" x14ac:dyDescent="0.25">
      <c r="C30" t="s">
        <v>35</v>
      </c>
    </row>
    <row r="38" spans="3:3" x14ac:dyDescent="0.25">
      <c r="C38" t="s">
        <v>7</v>
      </c>
    </row>
    <row r="45" spans="3:3" x14ac:dyDescent="0.25">
      <c r="C45" t="s">
        <v>38</v>
      </c>
    </row>
    <row r="52" spans="3:3" x14ac:dyDescent="0.25">
      <c r="C52" t="s">
        <v>55</v>
      </c>
    </row>
    <row r="59" spans="3:3" x14ac:dyDescent="0.25">
      <c r="C59" t="s">
        <v>841</v>
      </c>
    </row>
  </sheetData>
  <hyperlinks>
    <hyperlink ref="H5" r:id="rId1" location="finance" xr:uid="{3110B34D-0800-413A-924F-6C6D95FCA8A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1.GetFilesUnMerge">
                <anchor moveWithCells="1" sizeWithCells="1">
                  <from>
                    <xdr:col>2</xdr:col>
                    <xdr:colOff>571500</xdr:colOff>
                    <xdr:row>16</xdr:row>
                    <xdr:rowOff>66675</xdr:rowOff>
                  </from>
                  <to>
                    <xdr:col>8</xdr:col>
                    <xdr:colOff>457200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hange_unit">
                <anchor moveWithCells="1" sizeWithCells="1">
                  <from>
                    <xdr:col>3</xdr:col>
                    <xdr:colOff>9525</xdr:colOff>
                    <xdr:row>24</xdr:row>
                    <xdr:rowOff>28575</xdr:rowOff>
                  </from>
                  <to>
                    <xdr:col>8</xdr:col>
                    <xdr:colOff>371475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change_unit_2">
                <anchor moveWithCells="1" sizeWithCells="1">
                  <from>
                    <xdr:col>9</xdr:col>
                    <xdr:colOff>28575</xdr:colOff>
                    <xdr:row>24</xdr:row>
                    <xdr:rowOff>38100</xdr:rowOff>
                  </from>
                  <to>
                    <xdr:col>13</xdr:col>
                    <xdr:colOff>66675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ey_data_extraction">
                <anchor moveWithCells="1" sizeWithCells="1">
                  <from>
                    <xdr:col>3</xdr:col>
                    <xdr:colOff>47625</xdr:colOff>
                    <xdr:row>31</xdr:row>
                    <xdr:rowOff>47625</xdr:rowOff>
                  </from>
                  <to>
                    <xdr:col>8</xdr:col>
                    <xdr:colOff>361950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create_charts">
                <anchor moveWithCells="1" sizeWithCells="1">
                  <from>
                    <xdr:col>3</xdr:col>
                    <xdr:colOff>66675</xdr:colOff>
                    <xdr:row>39</xdr:row>
                    <xdr:rowOff>47625</xdr:rowOff>
                  </from>
                  <to>
                    <xdr:col>8</xdr:col>
                    <xdr:colOff>304800</xdr:colOff>
                    <xdr:row>43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create_charts_2">
                <anchor moveWithCells="1" sizeWithCells="1">
                  <from>
                    <xdr:col>9</xdr:col>
                    <xdr:colOff>66675</xdr:colOff>
                    <xdr:row>39</xdr:row>
                    <xdr:rowOff>76200</xdr:rowOff>
                  </from>
                  <to>
                    <xdr:col>12</xdr:col>
                    <xdr:colOff>142875</xdr:colOff>
                    <xdr:row>43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verse_Order">
                <anchor moveWithCells="1" sizeWithCells="1">
                  <from>
                    <xdr:col>12</xdr:col>
                    <xdr:colOff>476250</xdr:colOff>
                    <xdr:row>39</xdr:row>
                    <xdr:rowOff>133350</xdr:rowOff>
                  </from>
                  <to>
                    <xdr:col>16</xdr:col>
                    <xdr:colOff>228600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create_charts_3">
                <anchor moveWithCells="1" sizeWithCells="1">
                  <from>
                    <xdr:col>17</xdr:col>
                    <xdr:colOff>0</xdr:colOff>
                    <xdr:row>39</xdr:row>
                    <xdr:rowOff>161925</xdr:rowOff>
                  </from>
                  <to>
                    <xdr:col>20</xdr:col>
                    <xdr:colOff>533400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calculate_ratio">
                <anchor moveWithCells="1" sizeWithCells="1">
                  <from>
                    <xdr:col>3</xdr:col>
                    <xdr:colOff>85725</xdr:colOff>
                    <xdr:row>45</xdr:row>
                    <xdr:rowOff>152400</xdr:rowOff>
                  </from>
                  <to>
                    <xdr:col>8</xdr:col>
                    <xdr:colOff>276225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Button 18">
              <controlPr defaultSize="0" print="0" autoFill="0" autoPict="0" macro="[0]!key_data_patch_1">
                <anchor moveWithCells="1" sizeWithCells="1">
                  <from>
                    <xdr:col>9</xdr:col>
                    <xdr:colOff>19050</xdr:colOff>
                    <xdr:row>31</xdr:row>
                    <xdr:rowOff>123825</xdr:rowOff>
                  </from>
                  <to>
                    <xdr:col>13</xdr:col>
                    <xdr:colOff>76200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Button 19">
              <controlPr defaultSize="0" print="0" autoFill="0" autoPict="0" macro="[0]!code_friendly">
                <anchor moveWithCells="1" sizeWithCells="1">
                  <from>
                    <xdr:col>3</xdr:col>
                    <xdr:colOff>114300</xdr:colOff>
                    <xdr:row>52</xdr:row>
                    <xdr:rowOff>95250</xdr:rowOff>
                  </from>
                  <to>
                    <xdr:col>8</xdr:col>
                    <xdr:colOff>285750</xdr:colOff>
                    <xdr:row>56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Button 20">
              <controlPr defaultSize="0" print="0" autoFill="0" autoPict="0" macro="[0]!flip">
                <anchor moveWithCells="1" sizeWithCells="1">
                  <from>
                    <xdr:col>3</xdr:col>
                    <xdr:colOff>76200</xdr:colOff>
                    <xdr:row>60</xdr:row>
                    <xdr:rowOff>47625</xdr:rowOff>
                  </from>
                  <to>
                    <xdr:col>7</xdr:col>
                    <xdr:colOff>0</xdr:colOff>
                    <xdr:row>63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print="0" autoFill="0" autoPict="0" macro="[0]!code_friendly_patch_1">
                <anchor moveWithCells="1" sizeWithCells="1">
                  <from>
                    <xdr:col>7</xdr:col>
                    <xdr:colOff>342900</xdr:colOff>
                    <xdr:row>60</xdr:row>
                    <xdr:rowOff>76200</xdr:rowOff>
                  </from>
                  <to>
                    <xdr:col>10</xdr:col>
                    <xdr:colOff>600075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main_original</vt:lpstr>
      <vt:lpstr>debt_original</vt:lpstr>
      <vt:lpstr>cash_original</vt:lpstr>
      <vt:lpstr>benefit_original</vt:lpstr>
      <vt:lpstr>main</vt:lpstr>
      <vt:lpstr>debt</vt:lpstr>
      <vt:lpstr>cash</vt:lpstr>
      <vt:lpstr>benefit</vt:lpstr>
      <vt:lpstr>keyData</vt:lpstr>
      <vt:lpstr>Charts Here</vt:lpstr>
      <vt:lpstr>code</vt:lpstr>
      <vt:lpstr>Instruction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Yizhen Yan</dc:creator>
  <cp:lastModifiedBy>Yizhen Yan</cp:lastModifiedBy>
  <dcterms:created xsi:type="dcterms:W3CDTF">2015-06-05T18:17:20Z</dcterms:created>
  <dcterms:modified xsi:type="dcterms:W3CDTF">2021-03-17T23:11:22Z</dcterms:modified>
</cp:coreProperties>
</file>